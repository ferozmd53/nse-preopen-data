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oiku\Desktop\"/>
    </mc:Choice>
  </mc:AlternateContent>
  <xr:revisionPtr revIDLastSave="0" documentId="13_ncr:1_{3F97A808-9799-4D17-9DD0-D4DB9EB8F599}" xr6:coauthVersionLast="36" xr6:coauthVersionMax="47" xr10:uidLastSave="{00000000-0000-0000-0000-000000000000}"/>
  <bookViews>
    <workbookView xWindow="0" yWindow="0" windowWidth="17256" windowHeight="5556" tabRatio="881" firstSheet="2" activeTab="9" xr2:uid="{00000000-000D-0000-FFFF-FFFF00000000}"/>
  </bookViews>
  <sheets>
    <sheet name="COOKIES" sheetId="11" r:id="rId1"/>
    <sheet name="User_Credential" sheetId="1" r:id="rId2"/>
    <sheet name="OrderBook" sheetId="9" r:id="rId3"/>
    <sheet name="Data" sheetId="8" r:id="rId4"/>
    <sheet name="luxalgo" sheetId="14" r:id="rId5"/>
    <sheet name="M_W_BOLLI" sheetId="13" r:id="rId6"/>
    <sheet name="live" sheetId="10" r:id="rId7"/>
    <sheet name="fno_qty" sheetId="12" r:id="rId8"/>
    <sheet name="CONTRACTS" sheetId="16" r:id="rId9"/>
    <sheet name="preopen" sheetId="15" r:id="rId10"/>
    <sheet name="downtrend" sheetId="17" r:id="rId11"/>
    <sheet name="uptrend" sheetId="18" r:id="rId12"/>
  </sheets>
  <definedNames>
    <definedName name="ExternalData_1" localSheetId="7" hidden="1">fno_qty!#REF!</definedName>
    <definedName name="ExternalData_1" localSheetId="9" hidden="1">preopen!$A$1:$G$211</definedName>
    <definedName name="ExternalData_2" localSheetId="7" hidden="1">fno_qty!#REF!</definedName>
    <definedName name="ExternalData_3" localSheetId="8" hidden="1">CONTRACTS!#REF!</definedName>
    <definedName name="ExternalData_3" localSheetId="7" hidden="1">fno_qty!#REF!</definedName>
    <definedName name="ExternalData_4" localSheetId="7" hidden="1">fno_qty!$A$1:$H$212</definedName>
    <definedName name="ExternalData_5" localSheetId="8" hidden="1">CONTRACTS!#REF!</definedName>
    <definedName name="ExternalData_6" localSheetId="8" hidden="1">CONTRACTS!$A$11:$S$29</definedName>
    <definedName name="ExternalData_7" localSheetId="8" hidden="1">CONTRACTS!$U$1:$U$9</definedName>
    <definedName name="ExternalData_8" localSheetId="8" hidden="1">CONTRACTS!$W$1:$W$9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dex_date_expiry_hist_1889e5b6-822b-4221-b3b0-154a7b13e1cd" name="index_date_expiry_hist" connection="Query - index_date_expiry_hist"/>
        </x15:modelTables>
      </x15:dataModel>
    </ext>
  </extLst>
</workbook>
</file>

<file path=xl/calcChain.xml><?xml version="1.0" encoding="utf-8"?>
<calcChain xmlns="http://schemas.openxmlformats.org/spreadsheetml/2006/main">
  <c r="F10" i="10" l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2" i="10"/>
  <c r="F3" i="10"/>
  <c r="F4" i="10"/>
  <c r="F5" i="10"/>
  <c r="F6" i="10"/>
  <c r="F7" i="10"/>
  <c r="F8" i="10"/>
  <c r="F9" i="10"/>
  <c r="E9" i="10"/>
  <c r="S8" i="8" l="1"/>
  <c r="S9" i="8"/>
  <c r="S10" i="8"/>
  <c r="S11" i="8"/>
  <c r="S12" i="8"/>
  <c r="S13" i="8"/>
  <c r="S14" i="8"/>
  <c r="S15" i="8"/>
  <c r="S16" i="8"/>
  <c r="S17" i="8"/>
  <c r="AF3" i="8" l="1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7" i="8"/>
  <c r="AF88" i="8"/>
  <c r="AF89" i="8"/>
  <c r="AF90" i="8"/>
  <c r="AF91" i="8"/>
  <c r="AF92" i="8"/>
  <c r="AF93" i="8"/>
  <c r="AF94" i="8"/>
  <c r="AF95" i="8"/>
  <c r="AF96" i="8"/>
  <c r="AF97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2" i="8"/>
  <c r="BW2" i="8"/>
  <c r="BX2" i="8" s="1"/>
  <c r="BW3" i="8"/>
  <c r="BX3" i="8" s="1"/>
  <c r="BW4" i="8"/>
  <c r="BX4" i="8" s="1"/>
  <c r="BW5" i="8"/>
  <c r="BX5" i="8" s="1"/>
  <c r="BW6" i="8"/>
  <c r="BX6" i="8" s="1"/>
  <c r="BW7" i="8"/>
  <c r="BX7" i="8" s="1"/>
  <c r="BW8" i="8"/>
  <c r="BX8" i="8" s="1"/>
  <c r="BW9" i="8"/>
  <c r="BX9" i="8" s="1"/>
  <c r="BW10" i="8"/>
  <c r="BX10" i="8" s="1"/>
  <c r="BW11" i="8"/>
  <c r="BX11" i="8" s="1"/>
  <c r="BW12" i="8"/>
  <c r="BX12" i="8" s="1"/>
  <c r="BW13" i="8"/>
  <c r="BX13" i="8" s="1"/>
  <c r="BW14" i="8"/>
  <c r="BX14" i="8" s="1"/>
  <c r="BW15" i="8"/>
  <c r="BX15" i="8" s="1"/>
  <c r="BW16" i="8"/>
  <c r="BX16" i="8" s="1"/>
  <c r="BW17" i="8"/>
  <c r="BX17" i="8" s="1"/>
  <c r="BW18" i="8"/>
  <c r="BX18" i="8" s="1"/>
  <c r="BW19" i="8"/>
  <c r="BX19" i="8" s="1"/>
  <c r="BW20" i="8"/>
  <c r="BX20" i="8" s="1"/>
  <c r="BW21" i="8"/>
  <c r="BX21" i="8" s="1"/>
  <c r="BW22" i="8"/>
  <c r="BX22" i="8" s="1"/>
  <c r="BW23" i="8"/>
  <c r="BX23" i="8" s="1"/>
  <c r="BW24" i="8"/>
  <c r="BX24" i="8" s="1"/>
  <c r="BW25" i="8"/>
  <c r="BX25" i="8" s="1"/>
  <c r="BW26" i="8"/>
  <c r="BX26" i="8" s="1"/>
  <c r="BW27" i="8"/>
  <c r="BX27" i="8" s="1"/>
  <c r="BW28" i="8"/>
  <c r="BX28" i="8" s="1"/>
  <c r="BW29" i="8"/>
  <c r="BX29" i="8" s="1"/>
  <c r="BW30" i="8"/>
  <c r="BX30" i="8" s="1"/>
  <c r="BW31" i="8"/>
  <c r="BX31" i="8" s="1"/>
  <c r="BW32" i="8"/>
  <c r="BX32" i="8" s="1"/>
  <c r="BW33" i="8"/>
  <c r="BX33" i="8" s="1"/>
  <c r="BW34" i="8"/>
  <c r="BX34" i="8" s="1"/>
  <c r="BW35" i="8"/>
  <c r="BX35" i="8" s="1"/>
  <c r="BW36" i="8"/>
  <c r="BX36" i="8" s="1"/>
  <c r="BW37" i="8"/>
  <c r="BX37" i="8" s="1"/>
  <c r="BW38" i="8"/>
  <c r="BX38" i="8" s="1"/>
  <c r="BW39" i="8"/>
  <c r="BX39" i="8" s="1"/>
  <c r="BW40" i="8"/>
  <c r="BX40" i="8" s="1"/>
  <c r="BW41" i="8"/>
  <c r="BX41" i="8" s="1"/>
  <c r="BW42" i="8"/>
  <c r="BX42" i="8" s="1"/>
  <c r="BW43" i="8"/>
  <c r="BX43" i="8" s="1"/>
  <c r="BW44" i="8"/>
  <c r="BX44" i="8" s="1"/>
  <c r="BW45" i="8"/>
  <c r="BX45" i="8" s="1"/>
  <c r="BW46" i="8"/>
  <c r="BX46" i="8" s="1"/>
  <c r="BW47" i="8"/>
  <c r="BX47" i="8" s="1"/>
  <c r="BW48" i="8"/>
  <c r="BX48" i="8" s="1"/>
  <c r="BW49" i="8"/>
  <c r="BX49" i="8" s="1"/>
  <c r="BW50" i="8"/>
  <c r="BX50" i="8" s="1"/>
  <c r="BW51" i="8"/>
  <c r="BX51" i="8" s="1"/>
  <c r="BW52" i="8"/>
  <c r="BX52" i="8" s="1"/>
  <c r="BW53" i="8"/>
  <c r="BX53" i="8" s="1"/>
  <c r="BW54" i="8"/>
  <c r="BX54" i="8" s="1"/>
  <c r="BW55" i="8"/>
  <c r="BX55" i="8" s="1"/>
  <c r="BW56" i="8"/>
  <c r="BX56" i="8" s="1"/>
  <c r="BW57" i="8"/>
  <c r="BX57" i="8" s="1"/>
  <c r="BW58" i="8"/>
  <c r="BX58" i="8" s="1"/>
  <c r="BW59" i="8"/>
  <c r="BX59" i="8" s="1"/>
  <c r="BW60" i="8"/>
  <c r="BX60" i="8" s="1"/>
  <c r="BW61" i="8"/>
  <c r="BX61" i="8" s="1"/>
  <c r="BW62" i="8"/>
  <c r="BX62" i="8" s="1"/>
  <c r="BW63" i="8"/>
  <c r="BX63" i="8" s="1"/>
  <c r="BW64" i="8"/>
  <c r="BX64" i="8" s="1"/>
  <c r="BW65" i="8"/>
  <c r="BX65" i="8" s="1"/>
  <c r="BW66" i="8"/>
  <c r="BX66" i="8" s="1"/>
  <c r="BW67" i="8"/>
  <c r="BX67" i="8" s="1"/>
  <c r="BW68" i="8"/>
  <c r="BX68" i="8" s="1"/>
  <c r="BW69" i="8"/>
  <c r="BX69" i="8" s="1"/>
  <c r="BW70" i="8"/>
  <c r="BX70" i="8" s="1"/>
  <c r="BW71" i="8"/>
  <c r="BX71" i="8" s="1"/>
  <c r="BW72" i="8"/>
  <c r="BX72" i="8" s="1"/>
  <c r="BW73" i="8"/>
  <c r="BX73" i="8" s="1"/>
  <c r="BW74" i="8"/>
  <c r="BX74" i="8" s="1"/>
  <c r="BW75" i="8"/>
  <c r="BX75" i="8" s="1"/>
  <c r="BW76" i="8"/>
  <c r="BX76" i="8" s="1"/>
  <c r="BW77" i="8"/>
  <c r="BX77" i="8" s="1"/>
  <c r="BW78" i="8"/>
  <c r="BX78" i="8" s="1"/>
  <c r="BW79" i="8"/>
  <c r="BX79" i="8" s="1"/>
  <c r="BW80" i="8"/>
  <c r="BX80" i="8" s="1"/>
  <c r="BW81" i="8"/>
  <c r="BX81" i="8" s="1"/>
  <c r="BW82" i="8"/>
  <c r="BX82" i="8" s="1"/>
  <c r="BW83" i="8"/>
  <c r="BX83" i="8" s="1"/>
  <c r="BW84" i="8"/>
  <c r="BX84" i="8" s="1"/>
  <c r="BW85" i="8"/>
  <c r="BX85" i="8" s="1"/>
  <c r="BW86" i="8"/>
  <c r="BX86" i="8" s="1"/>
  <c r="BW87" i="8"/>
  <c r="BX87" i="8" s="1"/>
  <c r="BW88" i="8"/>
  <c r="BX88" i="8" s="1"/>
  <c r="BW89" i="8"/>
  <c r="BX89" i="8" s="1"/>
  <c r="BW90" i="8"/>
  <c r="BX90" i="8" s="1"/>
  <c r="BW91" i="8"/>
  <c r="BX91" i="8" s="1"/>
  <c r="BW92" i="8"/>
  <c r="BX92" i="8" s="1"/>
  <c r="BW93" i="8"/>
  <c r="BX93" i="8" s="1"/>
  <c r="BW94" i="8"/>
  <c r="BX94" i="8" s="1"/>
  <c r="BW95" i="8"/>
  <c r="BX95" i="8" s="1"/>
  <c r="BW96" i="8"/>
  <c r="BX96" i="8" s="1"/>
  <c r="BW97" i="8"/>
  <c r="BX97" i="8" s="1"/>
  <c r="BW98" i="8"/>
  <c r="BX98" i="8" s="1"/>
  <c r="BW99" i="8"/>
  <c r="BX99" i="8" s="1"/>
  <c r="BW100" i="8"/>
  <c r="BX100" i="8" s="1"/>
  <c r="BW101" i="8"/>
  <c r="BX101" i="8" s="1"/>
  <c r="BW102" i="8"/>
  <c r="BX102" i="8" s="1"/>
  <c r="BW103" i="8"/>
  <c r="BX103" i="8" s="1"/>
  <c r="BW104" i="8"/>
  <c r="BX104" i="8" s="1"/>
  <c r="BW105" i="8"/>
  <c r="BX105" i="8" s="1"/>
  <c r="BW106" i="8"/>
  <c r="BX106" i="8" s="1"/>
  <c r="BW107" i="8"/>
  <c r="BX107" i="8" s="1"/>
  <c r="BW108" i="8"/>
  <c r="BX108" i="8" s="1"/>
  <c r="BW109" i="8"/>
  <c r="BX109" i="8" s="1"/>
  <c r="BW110" i="8"/>
  <c r="BX110" i="8" s="1"/>
  <c r="BW111" i="8"/>
  <c r="BX111" i="8" s="1"/>
  <c r="BW112" i="8"/>
  <c r="BX112" i="8" s="1"/>
  <c r="BW113" i="8"/>
  <c r="BX113" i="8" s="1"/>
  <c r="BW114" i="8"/>
  <c r="BX114" i="8" s="1"/>
  <c r="BW115" i="8"/>
  <c r="BX115" i="8" s="1"/>
  <c r="BW116" i="8"/>
  <c r="BX116" i="8" s="1"/>
  <c r="BW117" i="8"/>
  <c r="BX117" i="8" s="1"/>
  <c r="BW118" i="8"/>
  <c r="BX118" i="8" s="1"/>
  <c r="BW119" i="8"/>
  <c r="BX119" i="8" s="1"/>
  <c r="BW120" i="8"/>
  <c r="BX120" i="8" s="1"/>
  <c r="BW121" i="8"/>
  <c r="BX121" i="8" s="1"/>
  <c r="BW122" i="8"/>
  <c r="BX122" i="8" s="1"/>
  <c r="BW123" i="8"/>
  <c r="BX123" i="8" s="1"/>
  <c r="BW124" i="8"/>
  <c r="BX124" i="8" s="1"/>
  <c r="BW125" i="8"/>
  <c r="BX125" i="8" s="1"/>
  <c r="BW126" i="8"/>
  <c r="BX126" i="8" s="1"/>
  <c r="BW127" i="8"/>
  <c r="BX127" i="8" s="1"/>
  <c r="BW128" i="8"/>
  <c r="BX128" i="8" s="1"/>
  <c r="BW129" i="8"/>
  <c r="BX129" i="8" s="1"/>
  <c r="BW130" i="8"/>
  <c r="BX130" i="8" s="1"/>
  <c r="BW131" i="8"/>
  <c r="BX131" i="8" s="1"/>
  <c r="BW132" i="8"/>
  <c r="BX132" i="8" s="1"/>
  <c r="BW133" i="8"/>
  <c r="BX133" i="8" s="1"/>
  <c r="BW134" i="8"/>
  <c r="BX134" i="8" s="1"/>
  <c r="BW135" i="8"/>
  <c r="BX135" i="8" s="1"/>
  <c r="BW136" i="8"/>
  <c r="BX136" i="8" s="1"/>
  <c r="BW137" i="8"/>
  <c r="BX137" i="8" s="1"/>
  <c r="BW138" i="8"/>
  <c r="BX138" i="8" s="1"/>
  <c r="BW139" i="8"/>
  <c r="BX139" i="8" s="1"/>
  <c r="BW140" i="8"/>
  <c r="BX140" i="8" s="1"/>
  <c r="BW141" i="8"/>
  <c r="BX141" i="8" s="1"/>
  <c r="BW142" i="8"/>
  <c r="BX142" i="8" s="1"/>
  <c r="BW143" i="8"/>
  <c r="BX143" i="8" s="1"/>
  <c r="BW144" i="8"/>
  <c r="BX144" i="8" s="1"/>
  <c r="BW145" i="8"/>
  <c r="BX145" i="8" s="1"/>
  <c r="BW146" i="8"/>
  <c r="BX146" i="8" s="1"/>
  <c r="BW147" i="8"/>
  <c r="BX147" i="8" s="1"/>
  <c r="BW148" i="8"/>
  <c r="BX148" i="8" s="1"/>
  <c r="BW149" i="8"/>
  <c r="BX149" i="8" s="1"/>
  <c r="BW150" i="8"/>
  <c r="BX150" i="8" s="1"/>
  <c r="BW151" i="8"/>
  <c r="BX151" i="8" s="1"/>
  <c r="BW152" i="8"/>
  <c r="BX152" i="8" s="1"/>
  <c r="BW153" i="8"/>
  <c r="BX153" i="8" s="1"/>
  <c r="BW154" i="8"/>
  <c r="BX154" i="8" s="1"/>
  <c r="BW155" i="8"/>
  <c r="BX155" i="8" s="1"/>
  <c r="BW156" i="8"/>
  <c r="BX156" i="8" s="1"/>
  <c r="BW157" i="8"/>
  <c r="BX157" i="8" s="1"/>
  <c r="BW158" i="8"/>
  <c r="BX158" i="8" s="1"/>
  <c r="BW159" i="8"/>
  <c r="BX159" i="8" s="1"/>
  <c r="BW160" i="8"/>
  <c r="BX160" i="8" s="1"/>
  <c r="BW161" i="8"/>
  <c r="BX161" i="8" s="1"/>
  <c r="BW162" i="8"/>
  <c r="BX162" i="8" s="1"/>
  <c r="BW163" i="8"/>
  <c r="BX163" i="8" s="1"/>
  <c r="BW164" i="8"/>
  <c r="BX164" i="8" s="1"/>
  <c r="BW165" i="8"/>
  <c r="BX165" i="8" s="1"/>
  <c r="BW166" i="8"/>
  <c r="BX166" i="8" s="1"/>
  <c r="BW167" i="8"/>
  <c r="BX167" i="8" s="1"/>
  <c r="BW168" i="8"/>
  <c r="BX168" i="8" s="1"/>
  <c r="BW169" i="8"/>
  <c r="BX169" i="8" s="1"/>
  <c r="BW170" i="8"/>
  <c r="BX170" i="8" s="1"/>
  <c r="BW171" i="8"/>
  <c r="BX171" i="8" s="1"/>
  <c r="BW172" i="8"/>
  <c r="BX172" i="8" s="1"/>
  <c r="BW173" i="8"/>
  <c r="BX173" i="8" s="1"/>
  <c r="BW174" i="8"/>
  <c r="BX174" i="8" s="1"/>
  <c r="BW175" i="8"/>
  <c r="BX175" i="8" s="1"/>
  <c r="BW176" i="8"/>
  <c r="BX176" i="8" s="1"/>
  <c r="BW177" i="8"/>
  <c r="BX177" i="8" s="1"/>
  <c r="BW178" i="8"/>
  <c r="BX178" i="8" s="1"/>
  <c r="BW179" i="8"/>
  <c r="BX179" i="8" s="1"/>
  <c r="BW180" i="8"/>
  <c r="BX180" i="8" s="1"/>
  <c r="BW181" i="8"/>
  <c r="BX181" i="8" s="1"/>
  <c r="BW182" i="8"/>
  <c r="BX182" i="8" s="1"/>
  <c r="BW183" i="8"/>
  <c r="BX183" i="8" s="1"/>
  <c r="BZ183" i="8" s="1"/>
  <c r="BW184" i="8"/>
  <c r="BX184" i="8" s="1"/>
  <c r="BJ3" i="8"/>
  <c r="BK3" i="8" s="1"/>
  <c r="BJ4" i="8"/>
  <c r="BK4" i="8" s="1"/>
  <c r="BJ5" i="8"/>
  <c r="BK5" i="8" s="1"/>
  <c r="BJ6" i="8"/>
  <c r="BK6" i="8" s="1"/>
  <c r="BJ7" i="8"/>
  <c r="BK7" i="8" s="1"/>
  <c r="BJ8" i="8"/>
  <c r="BK8" i="8" s="1"/>
  <c r="BJ9" i="8"/>
  <c r="BK9" i="8" s="1"/>
  <c r="BJ10" i="8"/>
  <c r="BK10" i="8" s="1"/>
  <c r="BJ11" i="8"/>
  <c r="BK11" i="8" s="1"/>
  <c r="BJ12" i="8"/>
  <c r="BK12" i="8" s="1"/>
  <c r="BJ13" i="8"/>
  <c r="BK13" i="8" s="1"/>
  <c r="BJ14" i="8"/>
  <c r="BK14" i="8" s="1"/>
  <c r="BJ15" i="8"/>
  <c r="BK15" i="8" s="1"/>
  <c r="BJ16" i="8"/>
  <c r="BK16" i="8" s="1"/>
  <c r="BJ17" i="8"/>
  <c r="BK17" i="8" s="1"/>
  <c r="BJ18" i="8"/>
  <c r="BK18" i="8" s="1"/>
  <c r="BJ19" i="8"/>
  <c r="BK19" i="8" s="1"/>
  <c r="BJ20" i="8"/>
  <c r="BK20" i="8" s="1"/>
  <c r="BJ21" i="8"/>
  <c r="BK21" i="8" s="1"/>
  <c r="BJ22" i="8"/>
  <c r="BK22" i="8" s="1"/>
  <c r="BJ23" i="8"/>
  <c r="BK23" i="8" s="1"/>
  <c r="BJ24" i="8"/>
  <c r="BK24" i="8" s="1"/>
  <c r="BJ25" i="8"/>
  <c r="BK25" i="8" s="1"/>
  <c r="BJ26" i="8"/>
  <c r="BK26" i="8" s="1"/>
  <c r="BJ27" i="8"/>
  <c r="BK27" i="8" s="1"/>
  <c r="BJ28" i="8"/>
  <c r="BK28" i="8" s="1"/>
  <c r="BJ29" i="8"/>
  <c r="BK29" i="8" s="1"/>
  <c r="BJ30" i="8"/>
  <c r="BK30" i="8" s="1"/>
  <c r="BJ31" i="8"/>
  <c r="BK31" i="8" s="1"/>
  <c r="BJ32" i="8"/>
  <c r="BK32" i="8" s="1"/>
  <c r="BJ33" i="8"/>
  <c r="BK33" i="8" s="1"/>
  <c r="BJ34" i="8"/>
  <c r="BK34" i="8" s="1"/>
  <c r="BJ35" i="8"/>
  <c r="BK35" i="8" s="1"/>
  <c r="BJ36" i="8"/>
  <c r="BK36" i="8" s="1"/>
  <c r="BJ37" i="8"/>
  <c r="BK37" i="8" s="1"/>
  <c r="BJ38" i="8"/>
  <c r="BK38" i="8" s="1"/>
  <c r="BJ39" i="8"/>
  <c r="BK39" i="8" s="1"/>
  <c r="BJ40" i="8"/>
  <c r="BK40" i="8" s="1"/>
  <c r="BJ41" i="8"/>
  <c r="BK41" i="8" s="1"/>
  <c r="BJ42" i="8"/>
  <c r="BK42" i="8" s="1"/>
  <c r="BJ43" i="8"/>
  <c r="BK43" i="8" s="1"/>
  <c r="BJ44" i="8"/>
  <c r="BK44" i="8" s="1"/>
  <c r="BJ45" i="8"/>
  <c r="BK45" i="8" s="1"/>
  <c r="BJ46" i="8"/>
  <c r="BK46" i="8" s="1"/>
  <c r="BJ47" i="8"/>
  <c r="BK47" i="8" s="1"/>
  <c r="BJ48" i="8"/>
  <c r="BK48" i="8" s="1"/>
  <c r="BJ49" i="8"/>
  <c r="BK49" i="8" s="1"/>
  <c r="BJ50" i="8"/>
  <c r="BK50" i="8" s="1"/>
  <c r="BJ51" i="8"/>
  <c r="BK51" i="8" s="1"/>
  <c r="BJ52" i="8"/>
  <c r="BK52" i="8" s="1"/>
  <c r="BJ53" i="8"/>
  <c r="BK53" i="8" s="1"/>
  <c r="BJ54" i="8"/>
  <c r="BK54" i="8" s="1"/>
  <c r="BJ55" i="8"/>
  <c r="BK55" i="8" s="1"/>
  <c r="BJ56" i="8"/>
  <c r="BK56" i="8" s="1"/>
  <c r="BJ57" i="8"/>
  <c r="BK57" i="8" s="1"/>
  <c r="BJ58" i="8"/>
  <c r="BK58" i="8" s="1"/>
  <c r="BJ59" i="8"/>
  <c r="BK59" i="8" s="1"/>
  <c r="BJ60" i="8"/>
  <c r="BK60" i="8" s="1"/>
  <c r="BJ61" i="8"/>
  <c r="BK61" i="8" s="1"/>
  <c r="BJ62" i="8"/>
  <c r="BK62" i="8" s="1"/>
  <c r="BJ63" i="8"/>
  <c r="BK63" i="8" s="1"/>
  <c r="BJ64" i="8"/>
  <c r="BK64" i="8" s="1"/>
  <c r="BJ65" i="8"/>
  <c r="BK65" i="8" s="1"/>
  <c r="BJ66" i="8"/>
  <c r="BK66" i="8" s="1"/>
  <c r="BJ67" i="8"/>
  <c r="BK67" i="8" s="1"/>
  <c r="BJ68" i="8"/>
  <c r="BK68" i="8" s="1"/>
  <c r="BJ69" i="8"/>
  <c r="BK69" i="8" s="1"/>
  <c r="BJ70" i="8"/>
  <c r="BK70" i="8" s="1"/>
  <c r="BJ71" i="8"/>
  <c r="BK71" i="8" s="1"/>
  <c r="BJ72" i="8"/>
  <c r="BK72" i="8" s="1"/>
  <c r="BJ73" i="8"/>
  <c r="BK73" i="8" s="1"/>
  <c r="BJ74" i="8"/>
  <c r="BK74" i="8" s="1"/>
  <c r="BJ75" i="8"/>
  <c r="BK75" i="8" s="1"/>
  <c r="BJ76" i="8"/>
  <c r="BK76" i="8" s="1"/>
  <c r="BJ77" i="8"/>
  <c r="BK77" i="8" s="1"/>
  <c r="BJ78" i="8"/>
  <c r="BK78" i="8" s="1"/>
  <c r="BJ79" i="8"/>
  <c r="BK79" i="8" s="1"/>
  <c r="BJ80" i="8"/>
  <c r="BK80" i="8" s="1"/>
  <c r="BJ81" i="8"/>
  <c r="BK81" i="8" s="1"/>
  <c r="BJ82" i="8"/>
  <c r="BK82" i="8" s="1"/>
  <c r="BJ83" i="8"/>
  <c r="BK83" i="8" s="1"/>
  <c r="BJ84" i="8"/>
  <c r="BK84" i="8" s="1"/>
  <c r="BJ85" i="8"/>
  <c r="BK85" i="8" s="1"/>
  <c r="BJ86" i="8"/>
  <c r="BK86" i="8" s="1"/>
  <c r="BJ87" i="8"/>
  <c r="BK87" i="8" s="1"/>
  <c r="BJ88" i="8"/>
  <c r="BK88" i="8" s="1"/>
  <c r="BJ89" i="8"/>
  <c r="BK89" i="8" s="1"/>
  <c r="BJ90" i="8"/>
  <c r="BK90" i="8" s="1"/>
  <c r="BJ91" i="8"/>
  <c r="BK91" i="8" s="1"/>
  <c r="BJ92" i="8"/>
  <c r="BK92" i="8" s="1"/>
  <c r="BJ93" i="8"/>
  <c r="BK93" i="8" s="1"/>
  <c r="BJ94" i="8"/>
  <c r="BK94" i="8" s="1"/>
  <c r="BJ95" i="8"/>
  <c r="BK95" i="8" s="1"/>
  <c r="BJ96" i="8"/>
  <c r="BK96" i="8" s="1"/>
  <c r="BJ97" i="8"/>
  <c r="BK97" i="8" s="1"/>
  <c r="BJ98" i="8"/>
  <c r="BK98" i="8" s="1"/>
  <c r="BJ99" i="8"/>
  <c r="BK99" i="8" s="1"/>
  <c r="BJ100" i="8"/>
  <c r="BK100" i="8" s="1"/>
  <c r="BJ101" i="8"/>
  <c r="BK101" i="8" s="1"/>
  <c r="BJ102" i="8"/>
  <c r="BK102" i="8" s="1"/>
  <c r="BJ103" i="8"/>
  <c r="BK103" i="8" s="1"/>
  <c r="BJ104" i="8"/>
  <c r="BK104" i="8" s="1"/>
  <c r="BJ105" i="8"/>
  <c r="BK105" i="8" s="1"/>
  <c r="BJ106" i="8"/>
  <c r="BK106" i="8" s="1"/>
  <c r="BJ107" i="8"/>
  <c r="BK107" i="8" s="1"/>
  <c r="BJ108" i="8"/>
  <c r="BK108" i="8" s="1"/>
  <c r="BJ109" i="8"/>
  <c r="BK109" i="8" s="1"/>
  <c r="BJ110" i="8"/>
  <c r="BK110" i="8" s="1"/>
  <c r="BJ111" i="8"/>
  <c r="BK111" i="8" s="1"/>
  <c r="BJ112" i="8"/>
  <c r="BK112" i="8" s="1"/>
  <c r="BJ113" i="8"/>
  <c r="BK113" i="8" s="1"/>
  <c r="BJ114" i="8"/>
  <c r="BK114" i="8" s="1"/>
  <c r="BJ115" i="8"/>
  <c r="BK115" i="8" s="1"/>
  <c r="BJ116" i="8"/>
  <c r="BK116" i="8" s="1"/>
  <c r="BJ117" i="8"/>
  <c r="BK117" i="8" s="1"/>
  <c r="BJ118" i="8"/>
  <c r="BK118" i="8" s="1"/>
  <c r="BJ119" i="8"/>
  <c r="BK119" i="8" s="1"/>
  <c r="BJ120" i="8"/>
  <c r="BK120" i="8" s="1"/>
  <c r="BJ121" i="8"/>
  <c r="BK121" i="8" s="1"/>
  <c r="BJ122" i="8"/>
  <c r="BK122" i="8" s="1"/>
  <c r="BJ123" i="8"/>
  <c r="BK123" i="8" s="1"/>
  <c r="BJ124" i="8"/>
  <c r="BK124" i="8" s="1"/>
  <c r="BJ125" i="8"/>
  <c r="BK125" i="8" s="1"/>
  <c r="BJ126" i="8"/>
  <c r="BK126" i="8" s="1"/>
  <c r="BJ127" i="8"/>
  <c r="BK127" i="8" s="1"/>
  <c r="BJ128" i="8"/>
  <c r="BK128" i="8" s="1"/>
  <c r="BJ129" i="8"/>
  <c r="BK129" i="8" s="1"/>
  <c r="BJ130" i="8"/>
  <c r="BK130" i="8" s="1"/>
  <c r="BJ131" i="8"/>
  <c r="BK131" i="8" s="1"/>
  <c r="BJ132" i="8"/>
  <c r="BK132" i="8" s="1"/>
  <c r="BJ133" i="8"/>
  <c r="BK133" i="8" s="1"/>
  <c r="BJ134" i="8"/>
  <c r="BK134" i="8" s="1"/>
  <c r="BJ135" i="8"/>
  <c r="BK135" i="8" s="1"/>
  <c r="BJ136" i="8"/>
  <c r="BK136" i="8" s="1"/>
  <c r="BJ137" i="8"/>
  <c r="BK137" i="8" s="1"/>
  <c r="BJ138" i="8"/>
  <c r="BK138" i="8" s="1"/>
  <c r="BJ139" i="8"/>
  <c r="BK139" i="8" s="1"/>
  <c r="BJ140" i="8"/>
  <c r="BK140" i="8" s="1"/>
  <c r="BJ141" i="8"/>
  <c r="BK141" i="8" s="1"/>
  <c r="BJ142" i="8"/>
  <c r="BK142" i="8" s="1"/>
  <c r="BJ143" i="8"/>
  <c r="BK143" i="8" s="1"/>
  <c r="BJ144" i="8"/>
  <c r="BK144" i="8" s="1"/>
  <c r="BJ145" i="8"/>
  <c r="BK145" i="8" s="1"/>
  <c r="BJ146" i="8"/>
  <c r="BK146" i="8" s="1"/>
  <c r="BJ147" i="8"/>
  <c r="BK147" i="8" s="1"/>
  <c r="BJ148" i="8"/>
  <c r="BK148" i="8" s="1"/>
  <c r="BJ149" i="8"/>
  <c r="BK149" i="8" s="1"/>
  <c r="BJ150" i="8"/>
  <c r="BK150" i="8" s="1"/>
  <c r="BJ151" i="8"/>
  <c r="BK151" i="8" s="1"/>
  <c r="BJ152" i="8"/>
  <c r="BK152" i="8" s="1"/>
  <c r="BJ153" i="8"/>
  <c r="BK153" i="8" s="1"/>
  <c r="BJ154" i="8"/>
  <c r="BK154" i="8" s="1"/>
  <c r="BJ155" i="8"/>
  <c r="BK155" i="8" s="1"/>
  <c r="BJ156" i="8"/>
  <c r="BK156" i="8" s="1"/>
  <c r="BJ157" i="8"/>
  <c r="BK157" i="8" s="1"/>
  <c r="BJ158" i="8"/>
  <c r="BK158" i="8" s="1"/>
  <c r="BJ159" i="8"/>
  <c r="BJ160" i="8"/>
  <c r="BJ161" i="8"/>
  <c r="BJ162" i="8"/>
  <c r="BJ163" i="8"/>
  <c r="BJ164" i="8"/>
  <c r="BJ165" i="8"/>
  <c r="BJ166" i="8"/>
  <c r="BJ167" i="8"/>
  <c r="BJ168" i="8"/>
  <c r="BJ169" i="8"/>
  <c r="BJ170" i="8"/>
  <c r="BJ171" i="8"/>
  <c r="BJ172" i="8"/>
  <c r="BJ173" i="8"/>
  <c r="BJ174" i="8"/>
  <c r="BJ175" i="8"/>
  <c r="BJ176" i="8"/>
  <c r="BJ177" i="8"/>
  <c r="BJ178" i="8"/>
  <c r="BJ179" i="8"/>
  <c r="BJ180" i="8"/>
  <c r="BJ181" i="8"/>
  <c r="BJ182" i="8"/>
  <c r="BJ183" i="8"/>
  <c r="BJ2" i="8"/>
  <c r="BK2" i="8" s="1"/>
  <c r="BK159" i="8"/>
  <c r="BZ159" i="8" s="1"/>
  <c r="BK160" i="8"/>
  <c r="BZ160" i="8" s="1"/>
  <c r="BK161" i="8"/>
  <c r="BZ161" i="8" s="1"/>
  <c r="BK162" i="8"/>
  <c r="BZ162" i="8" s="1"/>
  <c r="BK163" i="8"/>
  <c r="BZ163" i="8" s="1"/>
  <c r="BK164" i="8"/>
  <c r="BZ164" i="8" s="1"/>
  <c r="BK165" i="8"/>
  <c r="BZ165" i="8" s="1"/>
  <c r="BK166" i="8"/>
  <c r="BZ166" i="8" s="1"/>
  <c r="BK167" i="8"/>
  <c r="BZ167" i="8" s="1"/>
  <c r="BK168" i="8"/>
  <c r="BZ168" i="8" s="1"/>
  <c r="BK169" i="8"/>
  <c r="BZ169" i="8" s="1"/>
  <c r="BK170" i="8"/>
  <c r="BZ170" i="8" s="1"/>
  <c r="BK171" i="8"/>
  <c r="BZ171" i="8" s="1"/>
  <c r="BK172" i="8"/>
  <c r="BZ172" i="8" s="1"/>
  <c r="BK173" i="8"/>
  <c r="BZ173" i="8" s="1"/>
  <c r="BK174" i="8"/>
  <c r="BZ174" i="8" s="1"/>
  <c r="BK175" i="8"/>
  <c r="BZ175" i="8" s="1"/>
  <c r="BK176" i="8"/>
  <c r="BZ176" i="8" s="1"/>
  <c r="BK177" i="8"/>
  <c r="BZ177" i="8" s="1"/>
  <c r="BK178" i="8"/>
  <c r="BZ178" i="8" s="1"/>
  <c r="BK179" i="8"/>
  <c r="BZ179" i="8" s="1"/>
  <c r="BK180" i="8"/>
  <c r="BZ180" i="8" s="1"/>
  <c r="BK181" i="8"/>
  <c r="BZ181" i="8" s="1"/>
  <c r="BK182" i="8"/>
  <c r="BZ182" i="8" s="1"/>
  <c r="BK184" i="8"/>
  <c r="BZ110" i="8" l="1"/>
  <c r="BZ78" i="8"/>
  <c r="BZ46" i="8"/>
  <c r="BZ30" i="8"/>
  <c r="BZ62" i="8"/>
  <c r="BZ93" i="8"/>
  <c r="BZ45" i="8"/>
  <c r="BZ157" i="8"/>
  <c r="BZ141" i="8"/>
  <c r="BZ77" i="8"/>
  <c r="BZ61" i="8"/>
  <c r="BZ29" i="8"/>
  <c r="BZ126" i="8"/>
  <c r="BZ142" i="8"/>
  <c r="BZ158" i="8"/>
  <c r="BZ127" i="8"/>
  <c r="BZ111" i="8"/>
  <c r="BZ124" i="8"/>
  <c r="BZ44" i="8"/>
  <c r="BZ28" i="8"/>
  <c r="BZ76" i="8"/>
  <c r="BZ79" i="8"/>
  <c r="BZ50" i="8"/>
  <c r="BZ109" i="8"/>
  <c r="BZ48" i="8"/>
  <c r="BZ32" i="8"/>
  <c r="BZ18" i="8"/>
  <c r="BZ95" i="8"/>
  <c r="BZ63" i="8"/>
  <c r="BZ47" i="8"/>
  <c r="BZ31" i="8"/>
  <c r="BZ146" i="8"/>
  <c r="BZ130" i="8"/>
  <c r="BZ114" i="8"/>
  <c r="BZ98" i="8"/>
  <c r="BZ66" i="8"/>
  <c r="BZ34" i="8"/>
  <c r="BZ145" i="8"/>
  <c r="BZ129" i="8"/>
  <c r="BZ113" i="8"/>
  <c r="BZ97" i="8"/>
  <c r="BZ81" i="8"/>
  <c r="BZ65" i="8"/>
  <c r="BZ49" i="8"/>
  <c r="BZ33" i="8"/>
  <c r="BZ17" i="8"/>
  <c r="BZ147" i="8"/>
  <c r="BZ131" i="8"/>
  <c r="BZ115" i="8"/>
  <c r="BZ83" i="8"/>
  <c r="BZ67" i="8"/>
  <c r="BZ128" i="8"/>
  <c r="BZ96" i="8"/>
  <c r="BZ80" i="8"/>
  <c r="BZ64" i="8"/>
  <c r="BZ94" i="8"/>
  <c r="BZ92" i="8"/>
  <c r="BZ143" i="8"/>
  <c r="BZ51" i="8"/>
  <c r="BZ108" i="8"/>
  <c r="BZ99" i="8"/>
  <c r="BZ19" i="8"/>
  <c r="BZ16" i="8"/>
  <c r="BZ140" i="8"/>
  <c r="BZ144" i="8"/>
  <c r="BZ112" i="8"/>
  <c r="BZ82" i="8"/>
  <c r="BZ27" i="8"/>
  <c r="BZ11" i="8"/>
  <c r="BZ43" i="8"/>
  <c r="BZ35" i="8"/>
  <c r="BZ139" i="8"/>
  <c r="BZ75" i="8"/>
  <c r="BZ123" i="8"/>
  <c r="BZ107" i="8"/>
  <c r="BZ59" i="8"/>
  <c r="BZ155" i="8"/>
  <c r="BZ91" i="8"/>
  <c r="BZ156" i="8"/>
  <c r="BZ40" i="8"/>
  <c r="BZ125" i="8"/>
  <c r="BZ36" i="8"/>
  <c r="BZ60" i="8"/>
  <c r="BZ100" i="8"/>
  <c r="BZ116" i="8"/>
  <c r="BZ150" i="8"/>
  <c r="BZ118" i="8"/>
  <c r="BZ102" i="8"/>
  <c r="BZ86" i="8"/>
  <c r="BZ70" i="8"/>
  <c r="BZ54" i="8"/>
  <c r="BZ38" i="8"/>
  <c r="BZ22" i="8"/>
  <c r="BZ6" i="8"/>
  <c r="BZ24" i="8"/>
  <c r="BZ149" i="8"/>
  <c r="BZ117" i="8"/>
  <c r="BZ85" i="8"/>
  <c r="BZ69" i="8"/>
  <c r="BZ53" i="8"/>
  <c r="BZ37" i="8"/>
  <c r="BZ21" i="8"/>
  <c r="BZ134" i="8"/>
  <c r="BZ133" i="8"/>
  <c r="BZ101" i="8"/>
  <c r="BZ74" i="8"/>
  <c r="BZ148" i="8"/>
  <c r="BZ73" i="8"/>
  <c r="BZ105" i="8"/>
  <c r="BZ68" i="8"/>
  <c r="BZ25" i="8"/>
  <c r="BZ57" i="8"/>
  <c r="BZ106" i="8"/>
  <c r="BZ42" i="8"/>
  <c r="BZ138" i="8"/>
  <c r="BZ137" i="8"/>
  <c r="BZ154" i="8"/>
  <c r="BZ89" i="8"/>
  <c r="BZ153" i="8"/>
  <c r="BZ121" i="8"/>
  <c r="BZ41" i="8"/>
  <c r="BZ9" i="8"/>
  <c r="BZ58" i="8"/>
  <c r="BZ90" i="8"/>
  <c r="BZ132" i="8"/>
  <c r="BZ52" i="8"/>
  <c r="BZ122" i="8"/>
  <c r="BZ84" i="8"/>
  <c r="BZ2" i="8"/>
  <c r="BZ151" i="8"/>
  <c r="BZ135" i="8"/>
  <c r="BZ119" i="8"/>
  <c r="BZ103" i="8"/>
  <c r="BZ87" i="8"/>
  <c r="BZ71" i="8"/>
  <c r="BZ55" i="8"/>
  <c r="BZ39" i="8"/>
  <c r="BZ152" i="8"/>
  <c r="BZ104" i="8"/>
  <c r="BZ88" i="8"/>
  <c r="BZ23" i="8"/>
  <c r="BZ120" i="8"/>
  <c r="BZ72" i="8"/>
  <c r="BZ20" i="8"/>
  <c r="BZ26" i="8"/>
  <c r="BZ10" i="8"/>
  <c r="BZ8" i="8"/>
  <c r="BZ7" i="8"/>
  <c r="BZ136" i="8"/>
  <c r="BZ56" i="8"/>
  <c r="BY1" i="8"/>
  <c r="BZ5" i="8"/>
  <c r="BZ4" i="8"/>
  <c r="BZ3" i="8"/>
  <c r="BZ13" i="8"/>
  <c r="BZ15" i="8"/>
  <c r="BZ14" i="8"/>
  <c r="BZ12" i="8"/>
  <c r="BZ184" i="8"/>
  <c r="BL1" i="8"/>
  <c r="AL1" i="8" s="1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AW1" i="13"/>
  <c r="AK1" i="13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AG2" i="8"/>
  <c r="AG3" i="8"/>
  <c r="AH3" i="8"/>
  <c r="AG4" i="8"/>
  <c r="AH4" i="8"/>
  <c r="AG5" i="8"/>
  <c r="AH5" i="8"/>
  <c r="AG6" i="8"/>
  <c r="AH6" i="8"/>
  <c r="AG7" i="8"/>
  <c r="AH7" i="8"/>
  <c r="AG8" i="8"/>
  <c r="AH8" i="8"/>
  <c r="AG9" i="8"/>
  <c r="AH9" i="8"/>
  <c r="AG10" i="8"/>
  <c r="AH10" i="8"/>
  <c r="AG11" i="8"/>
  <c r="AH11" i="8"/>
  <c r="AG12" i="8"/>
  <c r="AH12" i="8"/>
  <c r="AG13" i="8"/>
  <c r="AH13" i="8"/>
  <c r="AG14" i="8"/>
  <c r="AH14" i="8"/>
  <c r="AG15" i="8"/>
  <c r="AH15" i="8"/>
  <c r="AG16" i="8"/>
  <c r="AH16" i="8"/>
  <c r="AG17" i="8"/>
  <c r="AH17" i="8"/>
  <c r="AG18" i="8"/>
  <c r="AH18" i="8"/>
  <c r="AG19" i="8"/>
  <c r="AH19" i="8"/>
  <c r="AG20" i="8"/>
  <c r="AH20" i="8"/>
  <c r="AG21" i="8"/>
  <c r="AH21" i="8"/>
  <c r="AG22" i="8"/>
  <c r="AH22" i="8"/>
  <c r="AG23" i="8"/>
  <c r="AH23" i="8"/>
  <c r="AG24" i="8"/>
  <c r="AH24" i="8"/>
  <c r="AG25" i="8"/>
  <c r="AH25" i="8"/>
  <c r="AG26" i="8"/>
  <c r="AH26" i="8"/>
  <c r="AG27" i="8"/>
  <c r="AH27" i="8"/>
  <c r="AG28" i="8"/>
  <c r="AH28" i="8"/>
  <c r="AG29" i="8"/>
  <c r="AH29" i="8"/>
  <c r="AG30" i="8"/>
  <c r="AH30" i="8"/>
  <c r="AG31" i="8"/>
  <c r="AH31" i="8"/>
  <c r="AG32" i="8"/>
  <c r="AH32" i="8"/>
  <c r="AG33" i="8"/>
  <c r="AH33" i="8"/>
  <c r="AG34" i="8"/>
  <c r="AH34" i="8"/>
  <c r="AG35" i="8"/>
  <c r="AH35" i="8"/>
  <c r="AG36" i="8"/>
  <c r="AH36" i="8"/>
  <c r="AG37" i="8"/>
  <c r="AH37" i="8"/>
  <c r="AG38" i="8"/>
  <c r="AH38" i="8"/>
  <c r="AG39" i="8"/>
  <c r="AH39" i="8"/>
  <c r="AG40" i="8"/>
  <c r="AH40" i="8"/>
  <c r="AG41" i="8"/>
  <c r="AH41" i="8"/>
  <c r="AG42" i="8"/>
  <c r="AH42" i="8"/>
  <c r="AG43" i="8"/>
  <c r="AH43" i="8"/>
  <c r="AG44" i="8"/>
  <c r="AH44" i="8"/>
  <c r="AG45" i="8"/>
  <c r="AH45" i="8"/>
  <c r="AG46" i="8"/>
  <c r="AH46" i="8"/>
  <c r="AG47" i="8"/>
  <c r="AH47" i="8"/>
  <c r="AG48" i="8"/>
  <c r="AH48" i="8"/>
  <c r="AG49" i="8"/>
  <c r="AH49" i="8"/>
  <c r="AG50" i="8"/>
  <c r="AH50" i="8"/>
  <c r="AG51" i="8"/>
  <c r="AH51" i="8"/>
  <c r="AG52" i="8"/>
  <c r="AH52" i="8"/>
  <c r="AG53" i="8"/>
  <c r="AH53" i="8"/>
  <c r="AG54" i="8"/>
  <c r="AH54" i="8"/>
  <c r="AG55" i="8"/>
  <c r="AH55" i="8"/>
  <c r="AG56" i="8"/>
  <c r="AH56" i="8"/>
  <c r="AG57" i="8"/>
  <c r="AH57" i="8"/>
  <c r="AG58" i="8"/>
  <c r="AH58" i="8"/>
  <c r="AG59" i="8"/>
  <c r="AH59" i="8"/>
  <c r="AG60" i="8"/>
  <c r="AH60" i="8"/>
  <c r="AG61" i="8"/>
  <c r="AH61" i="8"/>
  <c r="AG62" i="8"/>
  <c r="AH62" i="8"/>
  <c r="AG63" i="8"/>
  <c r="AH63" i="8"/>
  <c r="AG64" i="8"/>
  <c r="AH64" i="8"/>
  <c r="AG65" i="8"/>
  <c r="AH65" i="8"/>
  <c r="AG66" i="8"/>
  <c r="AH66" i="8"/>
  <c r="AG67" i="8"/>
  <c r="AH67" i="8"/>
  <c r="AG68" i="8"/>
  <c r="AH68" i="8"/>
  <c r="AG69" i="8"/>
  <c r="AH69" i="8"/>
  <c r="AG70" i="8"/>
  <c r="AH70" i="8"/>
  <c r="AG71" i="8"/>
  <c r="AH71" i="8"/>
  <c r="AG72" i="8"/>
  <c r="AH72" i="8"/>
  <c r="AG73" i="8"/>
  <c r="AH73" i="8"/>
  <c r="AG74" i="8"/>
  <c r="AH74" i="8"/>
  <c r="AG75" i="8"/>
  <c r="AH75" i="8"/>
  <c r="AG76" i="8"/>
  <c r="AH76" i="8"/>
  <c r="AG77" i="8"/>
  <c r="AH77" i="8"/>
  <c r="AG78" i="8"/>
  <c r="AH78" i="8"/>
  <c r="AG79" i="8"/>
  <c r="AH79" i="8"/>
  <c r="AG80" i="8"/>
  <c r="AH80" i="8"/>
  <c r="AG81" i="8"/>
  <c r="AH81" i="8"/>
  <c r="AG82" i="8"/>
  <c r="AH82" i="8"/>
  <c r="AG83" i="8"/>
  <c r="AH83" i="8"/>
  <c r="AG84" i="8"/>
  <c r="AH84" i="8"/>
  <c r="AG85" i="8"/>
  <c r="AH85" i="8"/>
  <c r="AG86" i="8"/>
  <c r="AH86" i="8"/>
  <c r="AG87" i="8"/>
  <c r="AH87" i="8"/>
  <c r="AG88" i="8"/>
  <c r="AH88" i="8"/>
  <c r="AG89" i="8"/>
  <c r="AH89" i="8"/>
  <c r="AG90" i="8"/>
  <c r="AH90" i="8"/>
  <c r="AG91" i="8"/>
  <c r="AH91" i="8"/>
  <c r="AG92" i="8"/>
  <c r="AH92" i="8"/>
  <c r="AG93" i="8"/>
  <c r="AH93" i="8"/>
  <c r="AG94" i="8"/>
  <c r="AH94" i="8"/>
  <c r="AG95" i="8"/>
  <c r="AH95" i="8"/>
  <c r="AG96" i="8"/>
  <c r="AH96" i="8"/>
  <c r="AG97" i="8"/>
  <c r="AH97" i="8"/>
  <c r="AG98" i="8"/>
  <c r="AH98" i="8"/>
  <c r="AG99" i="8"/>
  <c r="AH99" i="8"/>
  <c r="AG100" i="8"/>
  <c r="AH100" i="8"/>
  <c r="AG101" i="8"/>
  <c r="AH101" i="8"/>
  <c r="AG102" i="8"/>
  <c r="AH102" i="8"/>
  <c r="AG103" i="8"/>
  <c r="AH103" i="8"/>
  <c r="AG104" i="8"/>
  <c r="AH104" i="8"/>
  <c r="AG105" i="8"/>
  <c r="AH105" i="8"/>
  <c r="AG106" i="8"/>
  <c r="AH106" i="8"/>
  <c r="AG107" i="8"/>
  <c r="AH107" i="8"/>
  <c r="AG108" i="8"/>
  <c r="AH108" i="8"/>
  <c r="AG109" i="8"/>
  <c r="AH109" i="8"/>
  <c r="AG110" i="8"/>
  <c r="AH110" i="8"/>
  <c r="AG111" i="8"/>
  <c r="AH111" i="8"/>
  <c r="AG112" i="8"/>
  <c r="AH112" i="8"/>
  <c r="AG113" i="8"/>
  <c r="AH113" i="8"/>
  <c r="AG114" i="8"/>
  <c r="AH114" i="8"/>
  <c r="AG115" i="8"/>
  <c r="AH115" i="8"/>
  <c r="AG116" i="8"/>
  <c r="AH116" i="8"/>
  <c r="AG117" i="8"/>
  <c r="AH117" i="8"/>
  <c r="AG118" i="8"/>
  <c r="AH118" i="8"/>
  <c r="AG119" i="8"/>
  <c r="AH119" i="8"/>
  <c r="AG120" i="8"/>
  <c r="AH120" i="8"/>
  <c r="AG121" i="8"/>
  <c r="AH121" i="8"/>
  <c r="AG122" i="8"/>
  <c r="AH122" i="8"/>
  <c r="AG123" i="8"/>
  <c r="AH123" i="8"/>
  <c r="AG124" i="8"/>
  <c r="AH124" i="8"/>
  <c r="AG125" i="8"/>
  <c r="AH125" i="8"/>
  <c r="AG126" i="8"/>
  <c r="AH126" i="8"/>
  <c r="AG127" i="8"/>
  <c r="AH127" i="8"/>
  <c r="AG128" i="8"/>
  <c r="AH128" i="8"/>
  <c r="AG129" i="8"/>
  <c r="AH129" i="8"/>
  <c r="AG130" i="8"/>
  <c r="AH130" i="8"/>
  <c r="AG131" i="8"/>
  <c r="AH131" i="8"/>
  <c r="AG132" i="8"/>
  <c r="AH132" i="8"/>
  <c r="AG133" i="8"/>
  <c r="AH133" i="8"/>
  <c r="AG134" i="8"/>
  <c r="AH134" i="8"/>
  <c r="AG135" i="8"/>
  <c r="AH135" i="8"/>
  <c r="AG136" i="8"/>
  <c r="AH136" i="8"/>
  <c r="AG137" i="8"/>
  <c r="AH137" i="8"/>
  <c r="AG138" i="8"/>
  <c r="AH138" i="8"/>
  <c r="AG139" i="8"/>
  <c r="AH139" i="8"/>
  <c r="AG140" i="8"/>
  <c r="AH140" i="8"/>
  <c r="AG141" i="8"/>
  <c r="AH141" i="8"/>
  <c r="AG142" i="8"/>
  <c r="AH142" i="8"/>
  <c r="AG143" i="8"/>
  <c r="AH143" i="8"/>
  <c r="AG144" i="8"/>
  <c r="AH144" i="8"/>
  <c r="AG145" i="8"/>
  <c r="AH145" i="8"/>
  <c r="AG146" i="8"/>
  <c r="AH146" i="8"/>
  <c r="AG147" i="8"/>
  <c r="AH147" i="8"/>
  <c r="AG148" i="8"/>
  <c r="AH148" i="8"/>
  <c r="AG149" i="8"/>
  <c r="AH149" i="8"/>
  <c r="AG150" i="8"/>
  <c r="AH150" i="8"/>
  <c r="AG151" i="8"/>
  <c r="AH151" i="8"/>
  <c r="AG152" i="8"/>
  <c r="AH152" i="8"/>
  <c r="AG153" i="8"/>
  <c r="AH153" i="8"/>
  <c r="AG154" i="8"/>
  <c r="AH154" i="8"/>
  <c r="AG155" i="8"/>
  <c r="AH155" i="8"/>
  <c r="AG156" i="8"/>
  <c r="AH156" i="8"/>
  <c r="AG157" i="8"/>
  <c r="AH157" i="8"/>
  <c r="AG158" i="8"/>
  <c r="AH158" i="8"/>
  <c r="AG159" i="8"/>
  <c r="AH159" i="8"/>
  <c r="AG160" i="8"/>
  <c r="AH160" i="8"/>
  <c r="AG161" i="8"/>
  <c r="AH161" i="8"/>
  <c r="AG162" i="8"/>
  <c r="AH162" i="8"/>
  <c r="AG163" i="8"/>
  <c r="AH163" i="8"/>
  <c r="AG164" i="8"/>
  <c r="AH164" i="8"/>
  <c r="AG165" i="8"/>
  <c r="AH165" i="8"/>
  <c r="AG166" i="8"/>
  <c r="AH166" i="8"/>
  <c r="AG167" i="8"/>
  <c r="AH167" i="8"/>
  <c r="AG168" i="8"/>
  <c r="AH168" i="8"/>
  <c r="AG169" i="8"/>
  <c r="AH169" i="8"/>
  <c r="AG170" i="8"/>
  <c r="AH170" i="8"/>
  <c r="AG171" i="8"/>
  <c r="AH171" i="8"/>
  <c r="AG172" i="8"/>
  <c r="AH172" i="8"/>
  <c r="AG173" i="8"/>
  <c r="AH173" i="8"/>
  <c r="AG174" i="8"/>
  <c r="AH174" i="8"/>
  <c r="AG175" i="8"/>
  <c r="AH175" i="8"/>
  <c r="AG176" i="8"/>
  <c r="AH176" i="8"/>
  <c r="AG177" i="8"/>
  <c r="AH177" i="8"/>
  <c r="AG178" i="8"/>
  <c r="AH178" i="8"/>
  <c r="AG179" i="8"/>
  <c r="AH179" i="8"/>
  <c r="AG180" i="8"/>
  <c r="AH180" i="8"/>
  <c r="AG181" i="8"/>
  <c r="AH181" i="8"/>
  <c r="AG182" i="8"/>
  <c r="AH182" i="8"/>
  <c r="AG183" i="8"/>
  <c r="AH183" i="8"/>
  <c r="AG184" i="8"/>
  <c r="AH184" i="8"/>
  <c r="W1" i="13"/>
  <c r="K1" i="13"/>
  <c r="AJ184" i="8" l="1"/>
  <c r="AI184" i="8"/>
  <c r="AK184" i="8" s="1"/>
  <c r="AH2" i="8"/>
  <c r="AJ183" i="8"/>
  <c r="AI183" i="8"/>
  <c r="M183" i="8" s="1"/>
  <c r="AJ182" i="8"/>
  <c r="AI182" i="8"/>
  <c r="M182" i="8" s="1"/>
  <c r="AJ181" i="8"/>
  <c r="AI181" i="8"/>
  <c r="M181" i="8" s="1"/>
  <c r="AJ180" i="8"/>
  <c r="AI180" i="8"/>
  <c r="M180" i="8" s="1"/>
  <c r="AJ179" i="8"/>
  <c r="AI179" i="8"/>
  <c r="M179" i="8" s="1"/>
  <c r="AJ178" i="8"/>
  <c r="AI178" i="8"/>
  <c r="M178" i="8" s="1"/>
  <c r="AJ177" i="8"/>
  <c r="AI177" i="8"/>
  <c r="M177" i="8" s="1"/>
  <c r="AJ176" i="8"/>
  <c r="AI176" i="8"/>
  <c r="M176" i="8" s="1"/>
  <c r="AJ175" i="8"/>
  <c r="AI175" i="8"/>
  <c r="M175" i="8" s="1"/>
  <c r="AJ174" i="8"/>
  <c r="AI174" i="8"/>
  <c r="M174" i="8" s="1"/>
  <c r="AJ173" i="8"/>
  <c r="AI173" i="8"/>
  <c r="M173" i="8" s="1"/>
  <c r="AJ172" i="8"/>
  <c r="AI172" i="8"/>
  <c r="M172" i="8" s="1"/>
  <c r="AJ171" i="8"/>
  <c r="AI171" i="8"/>
  <c r="M171" i="8" s="1"/>
  <c r="AJ170" i="8"/>
  <c r="AI170" i="8"/>
  <c r="M170" i="8" s="1"/>
  <c r="AJ169" i="8"/>
  <c r="AI169" i="8"/>
  <c r="M169" i="8" s="1"/>
  <c r="AJ168" i="8"/>
  <c r="AI168" i="8"/>
  <c r="M168" i="8" s="1"/>
  <c r="AJ167" i="8"/>
  <c r="AI167" i="8"/>
  <c r="M167" i="8" s="1"/>
  <c r="AJ166" i="8"/>
  <c r="AI166" i="8"/>
  <c r="M166" i="8" s="1"/>
  <c r="AJ165" i="8"/>
  <c r="AI165" i="8"/>
  <c r="M165" i="8" s="1"/>
  <c r="AJ164" i="8"/>
  <c r="AI164" i="8"/>
  <c r="M164" i="8" s="1"/>
  <c r="AJ163" i="8"/>
  <c r="AI163" i="8"/>
  <c r="M163" i="8" s="1"/>
  <c r="AJ162" i="8"/>
  <c r="AI162" i="8"/>
  <c r="M162" i="8" s="1"/>
  <c r="AJ161" i="8"/>
  <c r="AI161" i="8"/>
  <c r="M161" i="8" s="1"/>
  <c r="AJ160" i="8"/>
  <c r="AI160" i="8"/>
  <c r="M160" i="8" s="1"/>
  <c r="AJ159" i="8"/>
  <c r="AI159" i="8"/>
  <c r="M159" i="8" s="1"/>
  <c r="AJ158" i="8"/>
  <c r="AI158" i="8"/>
  <c r="M158" i="8" s="1"/>
  <c r="AJ157" i="8"/>
  <c r="AI157" i="8"/>
  <c r="M157" i="8" s="1"/>
  <c r="AJ156" i="8"/>
  <c r="AI156" i="8"/>
  <c r="M156" i="8" s="1"/>
  <c r="AJ155" i="8"/>
  <c r="AI155" i="8"/>
  <c r="M155" i="8" s="1"/>
  <c r="AJ154" i="8"/>
  <c r="AI154" i="8"/>
  <c r="M154" i="8" s="1"/>
  <c r="AJ153" i="8"/>
  <c r="AI153" i="8"/>
  <c r="M153" i="8" s="1"/>
  <c r="AJ152" i="8"/>
  <c r="AI152" i="8"/>
  <c r="M152" i="8" s="1"/>
  <c r="AJ151" i="8"/>
  <c r="AI151" i="8"/>
  <c r="M151" i="8" s="1"/>
  <c r="AJ150" i="8"/>
  <c r="AI150" i="8"/>
  <c r="M150" i="8" s="1"/>
  <c r="AJ149" i="8"/>
  <c r="AI149" i="8"/>
  <c r="M149" i="8" s="1"/>
  <c r="AJ148" i="8"/>
  <c r="AI148" i="8"/>
  <c r="M148" i="8" s="1"/>
  <c r="AJ147" i="8"/>
  <c r="AI147" i="8"/>
  <c r="M147" i="8" s="1"/>
  <c r="AJ146" i="8"/>
  <c r="AI146" i="8"/>
  <c r="M146" i="8" s="1"/>
  <c r="AJ145" i="8"/>
  <c r="AI145" i="8"/>
  <c r="M145" i="8" s="1"/>
  <c r="AJ144" i="8"/>
  <c r="AI144" i="8"/>
  <c r="M144" i="8" s="1"/>
  <c r="AJ143" i="8"/>
  <c r="AI143" i="8"/>
  <c r="M143" i="8" s="1"/>
  <c r="AJ142" i="8"/>
  <c r="AI142" i="8"/>
  <c r="M142" i="8" s="1"/>
  <c r="AJ141" i="8"/>
  <c r="AI141" i="8"/>
  <c r="M141" i="8" s="1"/>
  <c r="AJ140" i="8"/>
  <c r="AI140" i="8"/>
  <c r="M140" i="8" s="1"/>
  <c r="AJ139" i="8"/>
  <c r="AI139" i="8"/>
  <c r="M139" i="8" s="1"/>
  <c r="AJ138" i="8"/>
  <c r="AI138" i="8"/>
  <c r="M138" i="8" s="1"/>
  <c r="AJ137" i="8"/>
  <c r="AI137" i="8"/>
  <c r="M137" i="8" s="1"/>
  <c r="AJ136" i="8"/>
  <c r="AI136" i="8"/>
  <c r="M136" i="8" s="1"/>
  <c r="AJ135" i="8"/>
  <c r="AI135" i="8"/>
  <c r="M135" i="8" s="1"/>
  <c r="AJ134" i="8"/>
  <c r="AI134" i="8"/>
  <c r="M134" i="8" s="1"/>
  <c r="AJ133" i="8"/>
  <c r="AI133" i="8"/>
  <c r="M133" i="8" s="1"/>
  <c r="AJ132" i="8"/>
  <c r="AI132" i="8"/>
  <c r="M132" i="8" s="1"/>
  <c r="AJ131" i="8"/>
  <c r="AI131" i="8"/>
  <c r="M131" i="8" s="1"/>
  <c r="AJ130" i="8"/>
  <c r="AI130" i="8"/>
  <c r="M130" i="8" s="1"/>
  <c r="AJ129" i="8"/>
  <c r="AI129" i="8"/>
  <c r="M129" i="8" s="1"/>
  <c r="AJ128" i="8"/>
  <c r="AI128" i="8"/>
  <c r="M128" i="8" s="1"/>
  <c r="AJ127" i="8"/>
  <c r="AI127" i="8"/>
  <c r="M127" i="8" s="1"/>
  <c r="AJ126" i="8"/>
  <c r="AI126" i="8"/>
  <c r="M126" i="8" s="1"/>
  <c r="AJ125" i="8"/>
  <c r="AI125" i="8"/>
  <c r="M125" i="8" s="1"/>
  <c r="AJ124" i="8"/>
  <c r="AI124" i="8"/>
  <c r="M124" i="8" s="1"/>
  <c r="AJ123" i="8"/>
  <c r="AI123" i="8"/>
  <c r="M123" i="8" s="1"/>
  <c r="AJ122" i="8"/>
  <c r="AI122" i="8"/>
  <c r="M122" i="8" s="1"/>
  <c r="AJ121" i="8"/>
  <c r="AI121" i="8"/>
  <c r="M121" i="8" s="1"/>
  <c r="AJ120" i="8"/>
  <c r="AI120" i="8"/>
  <c r="M120" i="8" s="1"/>
  <c r="AJ119" i="8"/>
  <c r="AI119" i="8"/>
  <c r="M119" i="8" s="1"/>
  <c r="AJ118" i="8"/>
  <c r="AI118" i="8"/>
  <c r="M118" i="8" s="1"/>
  <c r="AJ117" i="8"/>
  <c r="AI117" i="8"/>
  <c r="M117" i="8" s="1"/>
  <c r="AJ116" i="8"/>
  <c r="AI116" i="8"/>
  <c r="M116" i="8" s="1"/>
  <c r="AJ115" i="8"/>
  <c r="AI115" i="8"/>
  <c r="M115" i="8" s="1"/>
  <c r="AJ114" i="8"/>
  <c r="AI114" i="8"/>
  <c r="M114" i="8" s="1"/>
  <c r="AJ113" i="8"/>
  <c r="AI113" i="8"/>
  <c r="M113" i="8" s="1"/>
  <c r="AJ112" i="8"/>
  <c r="AI112" i="8"/>
  <c r="M112" i="8" s="1"/>
  <c r="AJ111" i="8"/>
  <c r="AI111" i="8"/>
  <c r="M111" i="8" s="1"/>
  <c r="AJ110" i="8"/>
  <c r="AI110" i="8"/>
  <c r="M110" i="8" s="1"/>
  <c r="AJ109" i="8"/>
  <c r="AI109" i="8"/>
  <c r="M109" i="8" s="1"/>
  <c r="AJ108" i="8"/>
  <c r="AI108" i="8"/>
  <c r="M108" i="8" s="1"/>
  <c r="AJ107" i="8"/>
  <c r="AI107" i="8"/>
  <c r="M107" i="8" s="1"/>
  <c r="AJ106" i="8"/>
  <c r="AI106" i="8"/>
  <c r="M106" i="8" s="1"/>
  <c r="AJ105" i="8"/>
  <c r="AI105" i="8"/>
  <c r="M105" i="8" s="1"/>
  <c r="AJ104" i="8"/>
  <c r="AI104" i="8"/>
  <c r="M104" i="8" s="1"/>
  <c r="AJ103" i="8"/>
  <c r="AI103" i="8"/>
  <c r="M103" i="8" s="1"/>
  <c r="AJ102" i="8"/>
  <c r="AI102" i="8"/>
  <c r="M102" i="8" s="1"/>
  <c r="AJ101" i="8"/>
  <c r="AI101" i="8"/>
  <c r="M101" i="8" s="1"/>
  <c r="AJ100" i="8"/>
  <c r="AI100" i="8"/>
  <c r="M100" i="8" s="1"/>
  <c r="AJ99" i="8"/>
  <c r="AI99" i="8"/>
  <c r="M99" i="8" s="1"/>
  <c r="AJ98" i="8"/>
  <c r="AI98" i="8"/>
  <c r="M98" i="8" s="1"/>
  <c r="AJ97" i="8"/>
  <c r="AI97" i="8"/>
  <c r="M97" i="8" s="1"/>
  <c r="AJ96" i="8"/>
  <c r="AI96" i="8"/>
  <c r="M96" i="8" s="1"/>
  <c r="AJ95" i="8"/>
  <c r="AI95" i="8"/>
  <c r="AJ94" i="8"/>
  <c r="AI94" i="8"/>
  <c r="AJ93" i="8"/>
  <c r="AI93" i="8"/>
  <c r="AJ92" i="8"/>
  <c r="AI92" i="8"/>
  <c r="AJ91" i="8"/>
  <c r="AI91" i="8"/>
  <c r="AJ90" i="8"/>
  <c r="AI90" i="8"/>
  <c r="AJ89" i="8"/>
  <c r="AI89" i="8"/>
  <c r="AJ88" i="8"/>
  <c r="AI88" i="8"/>
  <c r="AJ87" i="8"/>
  <c r="AI87" i="8"/>
  <c r="AJ86" i="8"/>
  <c r="AI86" i="8"/>
  <c r="AJ85" i="8"/>
  <c r="AI85" i="8"/>
  <c r="AJ84" i="8"/>
  <c r="AI84" i="8"/>
  <c r="AJ83" i="8"/>
  <c r="AI83" i="8"/>
  <c r="AJ82" i="8"/>
  <c r="AI82" i="8"/>
  <c r="AJ81" i="8"/>
  <c r="AI81" i="8"/>
  <c r="AJ80" i="8"/>
  <c r="AI80" i="8"/>
  <c r="AJ79" i="8"/>
  <c r="AI79" i="8"/>
  <c r="AJ78" i="8"/>
  <c r="AI78" i="8"/>
  <c r="AJ77" i="8"/>
  <c r="AI77" i="8"/>
  <c r="AJ76" i="8"/>
  <c r="AI76" i="8"/>
  <c r="AJ75" i="8"/>
  <c r="AI75" i="8"/>
  <c r="AJ74" i="8"/>
  <c r="AI74" i="8"/>
  <c r="AJ73" i="8"/>
  <c r="AI73" i="8"/>
  <c r="AJ72" i="8"/>
  <c r="AI72" i="8"/>
  <c r="AJ71" i="8"/>
  <c r="AI71" i="8"/>
  <c r="AJ70" i="8"/>
  <c r="AI70" i="8"/>
  <c r="AJ69" i="8"/>
  <c r="AI69" i="8"/>
  <c r="AJ68" i="8"/>
  <c r="AI68" i="8"/>
  <c r="AJ67" i="8"/>
  <c r="AI67" i="8"/>
  <c r="AJ66" i="8"/>
  <c r="AI66" i="8"/>
  <c r="AJ65" i="8"/>
  <c r="AI65" i="8"/>
  <c r="AJ64" i="8"/>
  <c r="AI64" i="8"/>
  <c r="AJ63" i="8"/>
  <c r="AI63" i="8"/>
  <c r="AJ62" i="8"/>
  <c r="AI62" i="8"/>
  <c r="AJ61" i="8"/>
  <c r="AI61" i="8"/>
  <c r="AJ60" i="8"/>
  <c r="AI60" i="8"/>
  <c r="AJ59" i="8"/>
  <c r="AI59" i="8"/>
  <c r="AJ58" i="8"/>
  <c r="AI58" i="8"/>
  <c r="AJ57" i="8"/>
  <c r="AI57" i="8"/>
  <c r="AJ56" i="8"/>
  <c r="AI56" i="8"/>
  <c r="AJ55" i="8"/>
  <c r="AI55" i="8"/>
  <c r="AJ54" i="8"/>
  <c r="AI54" i="8"/>
  <c r="AJ53" i="8"/>
  <c r="AI53" i="8"/>
  <c r="AJ52" i="8"/>
  <c r="AI52" i="8"/>
  <c r="AJ51" i="8"/>
  <c r="AI51" i="8"/>
  <c r="AJ50" i="8"/>
  <c r="AI50" i="8"/>
  <c r="AJ49" i="8"/>
  <c r="AI49" i="8"/>
  <c r="AJ48" i="8"/>
  <c r="AI48" i="8"/>
  <c r="AJ47" i="8"/>
  <c r="AI47" i="8"/>
  <c r="AJ46" i="8"/>
  <c r="AI46" i="8"/>
  <c r="AJ45" i="8"/>
  <c r="AI45" i="8"/>
  <c r="AJ44" i="8"/>
  <c r="AI44" i="8"/>
  <c r="AJ43" i="8"/>
  <c r="AI43" i="8"/>
  <c r="AJ42" i="8"/>
  <c r="AI42" i="8"/>
  <c r="AJ41" i="8"/>
  <c r="AI41" i="8"/>
  <c r="AJ40" i="8"/>
  <c r="AI40" i="8"/>
  <c r="AJ39" i="8"/>
  <c r="AI39" i="8"/>
  <c r="AJ38" i="8"/>
  <c r="AI38" i="8"/>
  <c r="AJ37" i="8"/>
  <c r="AI37" i="8"/>
  <c r="AJ36" i="8"/>
  <c r="AI36" i="8"/>
  <c r="AJ35" i="8"/>
  <c r="AI35" i="8"/>
  <c r="AJ34" i="8"/>
  <c r="AI34" i="8"/>
  <c r="AJ33" i="8"/>
  <c r="AI33" i="8"/>
  <c r="AJ32" i="8"/>
  <c r="AI32" i="8"/>
  <c r="AJ31" i="8"/>
  <c r="AI31" i="8"/>
  <c r="AJ30" i="8"/>
  <c r="AI30" i="8"/>
  <c r="AJ29" i="8"/>
  <c r="AI29" i="8"/>
  <c r="AJ28" i="8"/>
  <c r="AI28" i="8"/>
  <c r="AJ27" i="8"/>
  <c r="AI27" i="8"/>
  <c r="AJ26" i="8"/>
  <c r="AI26" i="8"/>
  <c r="AJ25" i="8"/>
  <c r="AI25" i="8"/>
  <c r="AJ24" i="8"/>
  <c r="AI24" i="8"/>
  <c r="AJ23" i="8"/>
  <c r="AI23" i="8"/>
  <c r="AJ22" i="8"/>
  <c r="AI22" i="8"/>
  <c r="AJ21" i="8"/>
  <c r="AI21" i="8"/>
  <c r="AJ20" i="8"/>
  <c r="AI20" i="8"/>
  <c r="AJ19" i="8"/>
  <c r="AI19" i="8"/>
  <c r="AJ18" i="8"/>
  <c r="AI18" i="8"/>
  <c r="AJ17" i="8"/>
  <c r="AI17" i="8"/>
  <c r="AJ16" i="8"/>
  <c r="AI16" i="8"/>
  <c r="AJ15" i="8"/>
  <c r="AI15" i="8"/>
  <c r="AJ14" i="8"/>
  <c r="AI14" i="8"/>
  <c r="AJ13" i="8"/>
  <c r="AI13" i="8"/>
  <c r="AJ12" i="8"/>
  <c r="AI12" i="8"/>
  <c r="AJ11" i="8"/>
  <c r="AI11" i="8"/>
  <c r="AJ10" i="8"/>
  <c r="AI10" i="8"/>
  <c r="AJ9" i="8"/>
  <c r="AI9" i="8"/>
  <c r="AJ8" i="8"/>
  <c r="AI8" i="8"/>
  <c r="AJ7" i="8"/>
  <c r="AI7" i="8"/>
  <c r="AJ6" i="8"/>
  <c r="AI6" i="8"/>
  <c r="AJ5" i="8"/>
  <c r="AI5" i="8"/>
  <c r="AJ4" i="8"/>
  <c r="AI4" i="8"/>
  <c r="AK4" i="8" s="1"/>
  <c r="AJ3" i="8"/>
  <c r="AI3" i="8"/>
  <c r="D187" i="10"/>
  <c r="E187" i="10" s="1"/>
  <c r="D186" i="10"/>
  <c r="E186" i="10" s="1"/>
  <c r="D185" i="10"/>
  <c r="E185" i="10" s="1"/>
  <c r="D184" i="10"/>
  <c r="E184" i="10" s="1"/>
  <c r="D183" i="10"/>
  <c r="E183" i="10" s="1"/>
  <c r="D182" i="10"/>
  <c r="E182" i="10" s="1"/>
  <c r="D181" i="10"/>
  <c r="E181" i="10" s="1"/>
  <c r="D180" i="10"/>
  <c r="E180" i="10" s="1"/>
  <c r="D179" i="10"/>
  <c r="E179" i="10" s="1"/>
  <c r="D178" i="10"/>
  <c r="E178" i="10" s="1"/>
  <c r="D177" i="10"/>
  <c r="E177" i="10" s="1"/>
  <c r="D176" i="10"/>
  <c r="E176" i="10" s="1"/>
  <c r="D175" i="10"/>
  <c r="E175" i="10" s="1"/>
  <c r="D174" i="10"/>
  <c r="E174" i="10" s="1"/>
  <c r="D173" i="10"/>
  <c r="E173" i="10" s="1"/>
  <c r="D172" i="10"/>
  <c r="E172" i="10" s="1"/>
  <c r="D171" i="10"/>
  <c r="E171" i="10" s="1"/>
  <c r="D170" i="10"/>
  <c r="E170" i="10" s="1"/>
  <c r="D169" i="10"/>
  <c r="E169" i="10" s="1"/>
  <c r="D168" i="10"/>
  <c r="E168" i="10" s="1"/>
  <c r="D167" i="10"/>
  <c r="E167" i="10" s="1"/>
  <c r="D166" i="10"/>
  <c r="E166" i="10" s="1"/>
  <c r="D165" i="10"/>
  <c r="E165" i="10" s="1"/>
  <c r="D164" i="10"/>
  <c r="E164" i="10" s="1"/>
  <c r="D163" i="10"/>
  <c r="E163" i="10" s="1"/>
  <c r="D162" i="10"/>
  <c r="E162" i="10" s="1"/>
  <c r="D161" i="10"/>
  <c r="E161" i="10" s="1"/>
  <c r="D160" i="10"/>
  <c r="E160" i="10" s="1"/>
  <c r="D159" i="10"/>
  <c r="E159" i="10" s="1"/>
  <c r="D158" i="10"/>
  <c r="E158" i="10" s="1"/>
  <c r="D157" i="10"/>
  <c r="E157" i="10" s="1"/>
  <c r="D156" i="10"/>
  <c r="E156" i="10" s="1"/>
  <c r="D155" i="10"/>
  <c r="E155" i="10" s="1"/>
  <c r="D154" i="10"/>
  <c r="E154" i="10" s="1"/>
  <c r="D153" i="10"/>
  <c r="E153" i="10" s="1"/>
  <c r="D152" i="10"/>
  <c r="E152" i="10" s="1"/>
  <c r="D151" i="10"/>
  <c r="E151" i="10" s="1"/>
  <c r="D150" i="10"/>
  <c r="E150" i="10" s="1"/>
  <c r="D149" i="10"/>
  <c r="E149" i="10" s="1"/>
  <c r="D148" i="10"/>
  <c r="E148" i="10" s="1"/>
  <c r="D147" i="10"/>
  <c r="E147" i="10" s="1"/>
  <c r="D146" i="10"/>
  <c r="E146" i="10" s="1"/>
  <c r="D145" i="10"/>
  <c r="E145" i="10" s="1"/>
  <c r="D144" i="10"/>
  <c r="E144" i="10" s="1"/>
  <c r="D143" i="10"/>
  <c r="E143" i="10" s="1"/>
  <c r="D142" i="10"/>
  <c r="E142" i="10" s="1"/>
  <c r="D141" i="10"/>
  <c r="E141" i="10" s="1"/>
  <c r="D140" i="10"/>
  <c r="E140" i="10" s="1"/>
  <c r="D139" i="10"/>
  <c r="E139" i="10" s="1"/>
  <c r="D138" i="10"/>
  <c r="E138" i="10" s="1"/>
  <c r="D137" i="10"/>
  <c r="E137" i="10" s="1"/>
  <c r="D136" i="10"/>
  <c r="E136" i="10" s="1"/>
  <c r="D135" i="10"/>
  <c r="E135" i="10" s="1"/>
  <c r="D134" i="10"/>
  <c r="E134" i="10" s="1"/>
  <c r="D133" i="10"/>
  <c r="E133" i="10" s="1"/>
  <c r="D132" i="10"/>
  <c r="E132" i="10" s="1"/>
  <c r="D131" i="10"/>
  <c r="E131" i="10" s="1"/>
  <c r="D130" i="10"/>
  <c r="E130" i="10" s="1"/>
  <c r="D129" i="10"/>
  <c r="E129" i="10" s="1"/>
  <c r="D128" i="10"/>
  <c r="E128" i="10" s="1"/>
  <c r="D127" i="10"/>
  <c r="E127" i="10" s="1"/>
  <c r="D126" i="10"/>
  <c r="E126" i="10" s="1"/>
  <c r="D125" i="10"/>
  <c r="E125" i="10" s="1"/>
  <c r="D124" i="10"/>
  <c r="E124" i="10" s="1"/>
  <c r="D123" i="10"/>
  <c r="E123" i="10" s="1"/>
  <c r="D122" i="10"/>
  <c r="E122" i="10" s="1"/>
  <c r="D121" i="10"/>
  <c r="E121" i="10" s="1"/>
  <c r="D120" i="10"/>
  <c r="E120" i="10" s="1"/>
  <c r="D119" i="10"/>
  <c r="E119" i="10" s="1"/>
  <c r="D118" i="10"/>
  <c r="E118" i="10" s="1"/>
  <c r="D117" i="10"/>
  <c r="E117" i="10" s="1"/>
  <c r="D116" i="10"/>
  <c r="E116" i="10" s="1"/>
  <c r="D115" i="10"/>
  <c r="E115" i="10" s="1"/>
  <c r="D114" i="10"/>
  <c r="E114" i="10" s="1"/>
  <c r="D113" i="10"/>
  <c r="E113" i="10" s="1"/>
  <c r="D112" i="10"/>
  <c r="E112" i="10" s="1"/>
  <c r="D111" i="10"/>
  <c r="E111" i="10" s="1"/>
  <c r="D110" i="10"/>
  <c r="E110" i="10" s="1"/>
  <c r="D109" i="10"/>
  <c r="E109" i="10" s="1"/>
  <c r="D108" i="10"/>
  <c r="E108" i="10" s="1"/>
  <c r="D107" i="10"/>
  <c r="E107" i="10" s="1"/>
  <c r="D106" i="10"/>
  <c r="E106" i="10" s="1"/>
  <c r="D105" i="10"/>
  <c r="E105" i="10" s="1"/>
  <c r="D104" i="10"/>
  <c r="E104" i="10" s="1"/>
  <c r="D103" i="10"/>
  <c r="E103" i="10" s="1"/>
  <c r="D102" i="10"/>
  <c r="E102" i="10" s="1"/>
  <c r="D101" i="10"/>
  <c r="E101" i="10" s="1"/>
  <c r="D100" i="10"/>
  <c r="E100" i="10" s="1"/>
  <c r="D99" i="10"/>
  <c r="E99" i="10" s="1"/>
  <c r="D98" i="10"/>
  <c r="E98" i="10" s="1"/>
  <c r="D97" i="10"/>
  <c r="E97" i="10" s="1"/>
  <c r="D96" i="10"/>
  <c r="E96" i="10" s="1"/>
  <c r="D95" i="10"/>
  <c r="E95" i="10" s="1"/>
  <c r="D94" i="10"/>
  <c r="E94" i="10" s="1"/>
  <c r="D93" i="10"/>
  <c r="E93" i="10" s="1"/>
  <c r="D92" i="10"/>
  <c r="E92" i="10" s="1"/>
  <c r="D91" i="10"/>
  <c r="E91" i="10" s="1"/>
  <c r="D90" i="10"/>
  <c r="E90" i="10" s="1"/>
  <c r="D89" i="10"/>
  <c r="E89" i="10" s="1"/>
  <c r="D88" i="10"/>
  <c r="E88" i="10" s="1"/>
  <c r="D87" i="10"/>
  <c r="E87" i="10" s="1"/>
  <c r="D86" i="10"/>
  <c r="E86" i="10" s="1"/>
  <c r="D85" i="10"/>
  <c r="E85" i="10" s="1"/>
  <c r="D84" i="10"/>
  <c r="E84" i="10" s="1"/>
  <c r="D83" i="10"/>
  <c r="E83" i="10" s="1"/>
  <c r="D82" i="10"/>
  <c r="E82" i="10" s="1"/>
  <c r="D81" i="10"/>
  <c r="E81" i="10" s="1"/>
  <c r="D80" i="10"/>
  <c r="E80" i="10" s="1"/>
  <c r="D79" i="10"/>
  <c r="E79" i="10" s="1"/>
  <c r="D78" i="10"/>
  <c r="E78" i="10" s="1"/>
  <c r="D77" i="10"/>
  <c r="E77" i="10" s="1"/>
  <c r="D76" i="10"/>
  <c r="E76" i="10" s="1"/>
  <c r="D75" i="10"/>
  <c r="E75" i="10" s="1"/>
  <c r="D74" i="10"/>
  <c r="E74" i="10" s="1"/>
  <c r="D73" i="10"/>
  <c r="E73" i="10" s="1"/>
  <c r="D72" i="10"/>
  <c r="E72" i="10" s="1"/>
  <c r="D71" i="10"/>
  <c r="E71" i="10" s="1"/>
  <c r="D70" i="10"/>
  <c r="E70" i="10" s="1"/>
  <c r="D69" i="10"/>
  <c r="E69" i="10" s="1"/>
  <c r="D68" i="10"/>
  <c r="E68" i="10" s="1"/>
  <c r="D67" i="10"/>
  <c r="E67" i="10" s="1"/>
  <c r="D66" i="10"/>
  <c r="E66" i="10" s="1"/>
  <c r="D65" i="10"/>
  <c r="E65" i="10" s="1"/>
  <c r="D64" i="10"/>
  <c r="E64" i="10" s="1"/>
  <c r="D63" i="10"/>
  <c r="E63" i="10" s="1"/>
  <c r="D62" i="10"/>
  <c r="E62" i="10" s="1"/>
  <c r="D61" i="10"/>
  <c r="E61" i="10" s="1"/>
  <c r="D60" i="10"/>
  <c r="E60" i="10" s="1"/>
  <c r="D59" i="10"/>
  <c r="E59" i="10" s="1"/>
  <c r="D58" i="10"/>
  <c r="E58" i="10" s="1"/>
  <c r="D57" i="10"/>
  <c r="E57" i="10" s="1"/>
  <c r="D56" i="10"/>
  <c r="E56" i="10" s="1"/>
  <c r="D55" i="10"/>
  <c r="E55" i="10" s="1"/>
  <c r="D54" i="10"/>
  <c r="E54" i="10" s="1"/>
  <c r="D53" i="10"/>
  <c r="E53" i="10" s="1"/>
  <c r="D52" i="10"/>
  <c r="E52" i="10" s="1"/>
  <c r="D51" i="10"/>
  <c r="E51" i="10" s="1"/>
  <c r="D50" i="10"/>
  <c r="E50" i="10" s="1"/>
  <c r="D49" i="10"/>
  <c r="E49" i="10" s="1"/>
  <c r="D48" i="10"/>
  <c r="E48" i="10" s="1"/>
  <c r="D47" i="10"/>
  <c r="E47" i="10" s="1"/>
  <c r="D46" i="10"/>
  <c r="E46" i="10" s="1"/>
  <c r="D45" i="10"/>
  <c r="E45" i="10" s="1"/>
  <c r="D44" i="10"/>
  <c r="E44" i="10" s="1"/>
  <c r="D43" i="10"/>
  <c r="E43" i="10" s="1"/>
  <c r="D42" i="10"/>
  <c r="E42" i="10" s="1"/>
  <c r="D41" i="10"/>
  <c r="E41" i="10" s="1"/>
  <c r="D40" i="10"/>
  <c r="E40" i="10" s="1"/>
  <c r="D39" i="10"/>
  <c r="E39" i="10" s="1"/>
  <c r="D38" i="10"/>
  <c r="E38" i="10" s="1"/>
  <c r="D37" i="10"/>
  <c r="E37" i="10" s="1"/>
  <c r="D36" i="10"/>
  <c r="E36" i="10" s="1"/>
  <c r="D35" i="10"/>
  <c r="E35" i="10" s="1"/>
  <c r="D34" i="10"/>
  <c r="E34" i="10" s="1"/>
  <c r="D33" i="10"/>
  <c r="E33" i="10" s="1"/>
  <c r="D32" i="10"/>
  <c r="E32" i="10" s="1"/>
  <c r="D31" i="10"/>
  <c r="E31" i="10" s="1"/>
  <c r="D30" i="10"/>
  <c r="E30" i="10" s="1"/>
  <c r="D29" i="10"/>
  <c r="E29" i="10" s="1"/>
  <c r="D28" i="10"/>
  <c r="E28" i="10" s="1"/>
  <c r="D27" i="10"/>
  <c r="E27" i="10" s="1"/>
  <c r="D26" i="10"/>
  <c r="E26" i="10" s="1"/>
  <c r="D25" i="10"/>
  <c r="E25" i="10" s="1"/>
  <c r="D24" i="10"/>
  <c r="E24" i="10" s="1"/>
  <c r="D23" i="10"/>
  <c r="E23" i="10" s="1"/>
  <c r="D22" i="10"/>
  <c r="E22" i="10" s="1"/>
  <c r="D21" i="10"/>
  <c r="E21" i="10" s="1"/>
  <c r="D20" i="10"/>
  <c r="E20" i="10" s="1"/>
  <c r="D19" i="10"/>
  <c r="E19" i="10" s="1"/>
  <c r="D18" i="10"/>
  <c r="E18" i="10" s="1"/>
  <c r="D17" i="10"/>
  <c r="E17" i="10" s="1"/>
  <c r="D16" i="10"/>
  <c r="E16" i="10" s="1"/>
  <c r="D15" i="10"/>
  <c r="E15" i="10" s="1"/>
  <c r="D14" i="10"/>
  <c r="E14" i="10" s="1"/>
  <c r="D13" i="10"/>
  <c r="E13" i="10" s="1"/>
  <c r="D12" i="10"/>
  <c r="E12" i="10" s="1"/>
  <c r="D11" i="10"/>
  <c r="E11" i="10" s="1"/>
  <c r="D10" i="10"/>
  <c r="E10" i="10" s="1"/>
  <c r="D9" i="10"/>
  <c r="D8" i="10"/>
  <c r="E8" i="10" s="1"/>
  <c r="D7" i="10"/>
  <c r="E7" i="10" s="1"/>
  <c r="D6" i="10"/>
  <c r="E6" i="10" s="1"/>
  <c r="D5" i="10"/>
  <c r="E5" i="10" s="1"/>
  <c r="D4" i="10"/>
  <c r="E4" i="10" s="1"/>
  <c r="D3" i="10"/>
  <c r="E3" i="10" s="1"/>
  <c r="D2" i="10"/>
  <c r="E2" i="10" s="1"/>
  <c r="W3" i="8" l="1"/>
  <c r="W4" i="8"/>
  <c r="W5" i="8"/>
  <c r="M6" i="8"/>
  <c r="O6" i="8"/>
  <c r="W6" i="8" s="1"/>
  <c r="M7" i="8"/>
  <c r="O7" i="8"/>
  <c r="W7" i="8" s="1"/>
  <c r="M8" i="8"/>
  <c r="O8" i="8"/>
  <c r="W8" i="8" s="1"/>
  <c r="M9" i="8"/>
  <c r="O9" i="8"/>
  <c r="W9" i="8" s="1"/>
  <c r="M10" i="8"/>
  <c r="O10" i="8"/>
  <c r="W10" i="8" s="1"/>
  <c r="M11" i="8"/>
  <c r="O11" i="8"/>
  <c r="W11" i="8" s="1"/>
  <c r="M12" i="8"/>
  <c r="O12" i="8"/>
  <c r="W12" i="8" s="1"/>
  <c r="M13" i="8"/>
  <c r="O13" i="8"/>
  <c r="W13" i="8" s="1"/>
  <c r="M14" i="8"/>
  <c r="O14" i="8"/>
  <c r="W14" i="8" s="1"/>
  <c r="M15" i="8"/>
  <c r="O15" i="8"/>
  <c r="W15" i="8" s="1"/>
  <c r="M16" i="8"/>
  <c r="O16" i="8"/>
  <c r="W16" i="8" s="1"/>
  <c r="M17" i="8"/>
  <c r="O17" i="8"/>
  <c r="W17" i="8" s="1"/>
  <c r="M18" i="8"/>
  <c r="O18" i="8"/>
  <c r="W18" i="8" s="1"/>
  <c r="M19" i="8"/>
  <c r="O19" i="8"/>
  <c r="W19" i="8" s="1"/>
  <c r="M20" i="8"/>
  <c r="O20" i="8"/>
  <c r="W20" i="8" s="1"/>
  <c r="M21" i="8"/>
  <c r="O21" i="8"/>
  <c r="W21" i="8" s="1"/>
  <c r="M22" i="8"/>
  <c r="O22" i="8"/>
  <c r="W22" i="8" s="1"/>
  <c r="M23" i="8"/>
  <c r="O23" i="8"/>
  <c r="W23" i="8" s="1"/>
  <c r="M24" i="8"/>
  <c r="O24" i="8"/>
  <c r="W24" i="8" s="1"/>
  <c r="M25" i="8"/>
  <c r="O25" i="8"/>
  <c r="W25" i="8" s="1"/>
  <c r="M26" i="8"/>
  <c r="O26" i="8"/>
  <c r="W26" i="8" s="1"/>
  <c r="M27" i="8"/>
  <c r="O27" i="8"/>
  <c r="W27" i="8" s="1"/>
  <c r="M28" i="8"/>
  <c r="O28" i="8"/>
  <c r="W28" i="8" s="1"/>
  <c r="M29" i="8"/>
  <c r="O29" i="8"/>
  <c r="W29" i="8" s="1"/>
  <c r="M30" i="8"/>
  <c r="O30" i="8"/>
  <c r="W30" i="8" s="1"/>
  <c r="M31" i="8"/>
  <c r="O31" i="8"/>
  <c r="W31" i="8" s="1"/>
  <c r="M32" i="8"/>
  <c r="O32" i="8"/>
  <c r="W32" i="8" s="1"/>
  <c r="M33" i="8"/>
  <c r="O33" i="8"/>
  <c r="W33" i="8" s="1"/>
  <c r="M34" i="8"/>
  <c r="O34" i="8"/>
  <c r="W34" i="8" s="1"/>
  <c r="M35" i="8"/>
  <c r="O35" i="8"/>
  <c r="W35" i="8" s="1"/>
  <c r="M36" i="8"/>
  <c r="O36" i="8"/>
  <c r="W36" i="8" s="1"/>
  <c r="M37" i="8"/>
  <c r="O37" i="8"/>
  <c r="W37" i="8" s="1"/>
  <c r="M38" i="8"/>
  <c r="O38" i="8"/>
  <c r="W38" i="8" s="1"/>
  <c r="M39" i="8"/>
  <c r="O39" i="8"/>
  <c r="W39" i="8" s="1"/>
  <c r="M40" i="8"/>
  <c r="O40" i="8"/>
  <c r="W40" i="8" s="1"/>
  <c r="M41" i="8"/>
  <c r="O41" i="8"/>
  <c r="W41" i="8" s="1"/>
  <c r="M42" i="8"/>
  <c r="O42" i="8"/>
  <c r="W42" i="8" s="1"/>
  <c r="M43" i="8"/>
  <c r="O43" i="8"/>
  <c r="W43" i="8" s="1"/>
  <c r="M44" i="8"/>
  <c r="O44" i="8"/>
  <c r="W44" i="8" s="1"/>
  <c r="M45" i="8"/>
  <c r="O45" i="8"/>
  <c r="W45" i="8" s="1"/>
  <c r="M46" i="8"/>
  <c r="O46" i="8"/>
  <c r="W46" i="8" s="1"/>
  <c r="M47" i="8"/>
  <c r="O47" i="8"/>
  <c r="W47" i="8" s="1"/>
  <c r="M48" i="8"/>
  <c r="O48" i="8"/>
  <c r="W48" i="8" s="1"/>
  <c r="M49" i="8"/>
  <c r="O49" i="8"/>
  <c r="W49" i="8" s="1"/>
  <c r="M50" i="8"/>
  <c r="O50" i="8"/>
  <c r="W50" i="8" s="1"/>
  <c r="M51" i="8"/>
  <c r="O51" i="8"/>
  <c r="W51" i="8" s="1"/>
  <c r="M52" i="8"/>
  <c r="O52" i="8"/>
  <c r="W52" i="8" s="1"/>
  <c r="M53" i="8"/>
  <c r="O53" i="8"/>
  <c r="W53" i="8" s="1"/>
  <c r="M54" i="8"/>
  <c r="O54" i="8"/>
  <c r="W54" i="8" s="1"/>
  <c r="M55" i="8"/>
  <c r="O55" i="8"/>
  <c r="W55" i="8" s="1"/>
  <c r="M56" i="8"/>
  <c r="O56" i="8"/>
  <c r="W56" i="8" s="1"/>
  <c r="M57" i="8"/>
  <c r="O57" i="8"/>
  <c r="W57" i="8" s="1"/>
  <c r="M58" i="8"/>
  <c r="O58" i="8"/>
  <c r="W58" i="8" s="1"/>
  <c r="M59" i="8"/>
  <c r="O59" i="8"/>
  <c r="W59" i="8" s="1"/>
  <c r="M60" i="8"/>
  <c r="O60" i="8"/>
  <c r="W60" i="8" s="1"/>
  <c r="M61" i="8"/>
  <c r="O61" i="8"/>
  <c r="W61" i="8" s="1"/>
  <c r="M62" i="8"/>
  <c r="O62" i="8"/>
  <c r="W62" i="8" s="1"/>
  <c r="M63" i="8"/>
  <c r="O63" i="8"/>
  <c r="W63" i="8" s="1"/>
  <c r="M64" i="8"/>
  <c r="O64" i="8"/>
  <c r="W64" i="8" s="1"/>
  <c r="M65" i="8"/>
  <c r="O65" i="8"/>
  <c r="W65" i="8" s="1"/>
  <c r="M66" i="8"/>
  <c r="O66" i="8"/>
  <c r="W66" i="8" s="1"/>
  <c r="M67" i="8"/>
  <c r="O67" i="8"/>
  <c r="W67" i="8" s="1"/>
  <c r="M68" i="8"/>
  <c r="O68" i="8"/>
  <c r="W68" i="8" s="1"/>
  <c r="M69" i="8"/>
  <c r="O69" i="8"/>
  <c r="W69" i="8" s="1"/>
  <c r="M70" i="8"/>
  <c r="O70" i="8"/>
  <c r="W70" i="8" s="1"/>
  <c r="M71" i="8"/>
  <c r="O71" i="8"/>
  <c r="W71" i="8" s="1"/>
  <c r="M72" i="8"/>
  <c r="O72" i="8"/>
  <c r="W72" i="8" s="1"/>
  <c r="M73" i="8"/>
  <c r="O73" i="8"/>
  <c r="W73" i="8" s="1"/>
  <c r="M74" i="8"/>
  <c r="O74" i="8"/>
  <c r="W74" i="8" s="1"/>
  <c r="M75" i="8"/>
  <c r="O75" i="8"/>
  <c r="W75" i="8" s="1"/>
  <c r="M76" i="8"/>
  <c r="O76" i="8"/>
  <c r="W76" i="8" s="1"/>
  <c r="M77" i="8"/>
  <c r="O77" i="8"/>
  <c r="W77" i="8" s="1"/>
  <c r="M78" i="8"/>
  <c r="O78" i="8"/>
  <c r="W78" i="8" s="1"/>
  <c r="M79" i="8"/>
  <c r="O79" i="8"/>
  <c r="W79" i="8" s="1"/>
  <c r="M80" i="8"/>
  <c r="O80" i="8"/>
  <c r="W80" i="8" s="1"/>
  <c r="M81" i="8"/>
  <c r="O81" i="8"/>
  <c r="W81" i="8" s="1"/>
  <c r="M82" i="8"/>
  <c r="O82" i="8"/>
  <c r="W82" i="8" s="1"/>
  <c r="M83" i="8"/>
  <c r="O83" i="8"/>
  <c r="W83" i="8" s="1"/>
  <c r="M84" i="8"/>
  <c r="O84" i="8"/>
  <c r="W84" i="8" s="1"/>
  <c r="M85" i="8"/>
  <c r="O85" i="8"/>
  <c r="W85" i="8" s="1"/>
  <c r="M86" i="8"/>
  <c r="O86" i="8"/>
  <c r="W86" i="8" s="1"/>
  <c r="M87" i="8"/>
  <c r="O87" i="8"/>
  <c r="W87" i="8" s="1"/>
  <c r="M88" i="8"/>
  <c r="O88" i="8"/>
  <c r="W88" i="8" s="1"/>
  <c r="M89" i="8"/>
  <c r="O89" i="8"/>
  <c r="W89" i="8" s="1"/>
  <c r="M90" i="8"/>
  <c r="O90" i="8"/>
  <c r="W90" i="8" s="1"/>
  <c r="M91" i="8"/>
  <c r="O91" i="8"/>
  <c r="W91" i="8" s="1"/>
  <c r="M92" i="8"/>
  <c r="O92" i="8"/>
  <c r="W92" i="8" s="1"/>
  <c r="M93" i="8"/>
  <c r="O93" i="8"/>
  <c r="W93" i="8" s="1"/>
  <c r="M94" i="8"/>
  <c r="O94" i="8"/>
  <c r="W94" i="8" s="1"/>
  <c r="O95" i="8"/>
  <c r="W95" i="8" s="1"/>
  <c r="M95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X158" i="8"/>
  <c r="X159" i="8"/>
  <c r="X160" i="8"/>
  <c r="X161" i="8"/>
  <c r="X162" i="8"/>
  <c r="X163" i="8"/>
  <c r="X164" i="8"/>
  <c r="X165" i="8"/>
  <c r="X166" i="8"/>
  <c r="X167" i="8"/>
  <c r="X168" i="8"/>
  <c r="X169" i="8"/>
  <c r="X170" i="8"/>
  <c r="X171" i="8"/>
  <c r="X172" i="8"/>
  <c r="X173" i="8"/>
  <c r="X174" i="8"/>
  <c r="X175" i="8"/>
  <c r="X176" i="8"/>
  <c r="X177" i="8"/>
  <c r="X178" i="8"/>
  <c r="X179" i="8"/>
  <c r="X180" i="8"/>
  <c r="X181" i="8"/>
  <c r="X182" i="8"/>
  <c r="X183" i="8"/>
  <c r="AJ2" i="8"/>
  <c r="AI2" i="8"/>
  <c r="AK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104" i="8"/>
  <c r="AK105" i="8"/>
  <c r="AK106" i="8"/>
  <c r="AK107" i="8"/>
  <c r="AK108" i="8"/>
  <c r="AK109" i="8"/>
  <c r="AK110" i="8"/>
  <c r="AK111" i="8"/>
  <c r="AK112" i="8"/>
  <c r="AK113" i="8"/>
  <c r="AK114" i="8"/>
  <c r="AK115" i="8"/>
  <c r="AK116" i="8"/>
  <c r="AK117" i="8"/>
  <c r="AK118" i="8"/>
  <c r="AK119" i="8"/>
  <c r="AK120" i="8"/>
  <c r="AK121" i="8"/>
  <c r="AK122" i="8"/>
  <c r="AK123" i="8"/>
  <c r="AK124" i="8"/>
  <c r="AK125" i="8"/>
  <c r="AK126" i="8"/>
  <c r="AK127" i="8"/>
  <c r="AK128" i="8"/>
  <c r="AK129" i="8"/>
  <c r="AK130" i="8"/>
  <c r="AK131" i="8"/>
  <c r="AK132" i="8"/>
  <c r="AK133" i="8"/>
  <c r="AK134" i="8"/>
  <c r="AK135" i="8"/>
  <c r="AK136" i="8"/>
  <c r="AK137" i="8"/>
  <c r="AK138" i="8"/>
  <c r="AK139" i="8"/>
  <c r="AK140" i="8"/>
  <c r="AK141" i="8"/>
  <c r="AK142" i="8"/>
  <c r="AK143" i="8"/>
  <c r="AK144" i="8"/>
  <c r="AK145" i="8"/>
  <c r="AK146" i="8"/>
  <c r="AK147" i="8"/>
  <c r="AK148" i="8"/>
  <c r="AK149" i="8"/>
  <c r="AK150" i="8"/>
  <c r="AK151" i="8"/>
  <c r="AK152" i="8"/>
  <c r="AK153" i="8"/>
  <c r="AK154" i="8"/>
  <c r="AK155" i="8"/>
  <c r="AK156" i="8"/>
  <c r="AK157" i="8"/>
  <c r="AK158" i="8"/>
  <c r="AK159" i="8"/>
  <c r="AK160" i="8"/>
  <c r="AK161" i="8"/>
  <c r="AK162" i="8"/>
  <c r="AK163" i="8"/>
  <c r="AK164" i="8"/>
  <c r="AK165" i="8"/>
  <c r="AK166" i="8"/>
  <c r="AK167" i="8"/>
  <c r="AK168" i="8"/>
  <c r="AK169" i="8"/>
  <c r="AK170" i="8"/>
  <c r="AK171" i="8"/>
  <c r="AK172" i="8"/>
  <c r="AK173" i="8"/>
  <c r="AK174" i="8"/>
  <c r="AK175" i="8"/>
  <c r="AK176" i="8"/>
  <c r="AK177" i="8"/>
  <c r="AK178" i="8"/>
  <c r="AK179" i="8"/>
  <c r="AK180" i="8"/>
  <c r="AK181" i="8"/>
  <c r="AK182" i="8"/>
  <c r="AK183" i="8"/>
  <c r="X2" i="8" l="1"/>
  <c r="X1" i="8" s="1"/>
  <c r="AK2" i="8"/>
  <c r="AK1" i="8" s="1"/>
  <c r="W2" i="8" l="1"/>
  <c r="W1" i="8" s="1"/>
  <c r="Y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F4E948-337A-4CBD-9FC4-C54900BC482D}" keepAlive="1" name="ModelConnection_ExternalData_8" description="Data Model" type="5" refreshedVersion="6" minRefreshableVersion="5" saveData="1">
    <dbPr connection="Data Model Connection" command="index_date_expiry_hist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6B5F6734-40B3-4C15-AF9C-72553D8B2CB0}" keepAlive="1" name="Query - contract_CE" description="Connection to the 'contract_CE' query in the workbook." type="5" refreshedVersion="6" background="1" saveData="1">
    <dbPr connection="Provider=Microsoft.Mashup.OleDb.1;Data Source=$Workbook$;Location=contract_CE;Extended Properties=&quot;&quot;" command="SELECT * FROM [contract_CE]"/>
  </connection>
  <connection id="3" xr16:uid="{99765E14-138F-490A-9682-4F0AD42563E8}" keepAlive="1" name="Query - contract_PE" description="Connection to the 'contract_PE' query in the workbook." type="5" refreshedVersion="6" background="1" saveData="1">
    <dbPr connection="Provider=Microsoft.Mashup.OleDb.1;Data Source=$Workbook$;Location=contract_PE;Extended Properties=&quot;&quot;" command="SELECT * FROM [contract_PE]"/>
  </connection>
  <connection id="4" xr16:uid="{3C29D26C-8231-4C7B-9E7E-BECD962DDA88}" keepAlive="1" name="Query - cookieA" description="Connection to the 'cookieA' query in the workbook." type="5" refreshedVersion="0" background="1">
    <dbPr connection="Provider=Microsoft.Mashup.OleDb.1;Data Source=$Workbook$;Location=cookieA;Extended Properties=&quot;&quot;" command="SELECT * FROM [cookieA]"/>
  </connection>
  <connection id="5" xr16:uid="{A12413F5-B52A-43D3-BD53-39C056714985}" keepAlive="1" name="Query - date_ce_pe" description="Connection to the 'date_ce_pe' query in the workbook." type="5" refreshedVersion="0" background="1">
    <dbPr connection="Provider=Microsoft.Mashup.OleDb.1;Data Source=$Workbook$;Location=date_ce_pe;Extended Properties=&quot;&quot;" command="SELECT * FROM [date_ce_pe]"/>
  </connection>
  <connection id="6" xr16:uid="{C552D4C0-11AC-4107-9B6E-64066A5CD0F0}" keepAlive="1" name="Query - download_auto_date" description="Connection to the 'download_auto_date' query in the workbook." type="5" refreshedVersion="8" background="1" saveData="1">
    <dbPr connection="Provider=Microsoft.Mashup.OleDb.1;Data Source=$Workbook$;Location=download_auto_date;Extended Properties=&quot;&quot;" command="SELECT * FROM [download_auto_date]"/>
  </connection>
  <connection id="7" xr16:uid="{9B3957D4-B45A-4C3D-A78D-30DABC037311}" keepAlive="1" name="Query - download_auto_date_function" description="Connection to the 'download_auto_date_function' query in the workbook." type="5" refreshedVersion="0" background="1">
    <dbPr connection="Provider=Microsoft.Mashup.OleDb.1;Data Source=$Workbook$;Location=download_auto_date_function;Extended Properties=&quot;&quot;" command="SELECT * FROM [download_auto_date_function]"/>
  </connection>
  <connection id="8" xr16:uid="{1DEDCBE6-FB3A-421C-A862-863AC9200620}" keepAlive="1" name="Query - expiry" description="Connection to the 'expiry' query in the workbook." type="5" refreshedVersion="0" background="1">
    <dbPr connection="Provider=Microsoft.Mashup.OleDb.1;Data Source=$Workbook$;Location=expiry;Extended Properties=&quot;&quot;" command="SELECT * FROM [expiry]"/>
  </connection>
  <connection id="9" xr16:uid="{3B35781C-EDCC-4CFC-A63E-07D0F2547647}" keepAlive="1" name="Query - fno_sym" description="Connection to the 'fno_sym' query in the workbook." type="5" refreshedVersion="8" background="1" saveData="1">
    <dbPr connection="Provider=Microsoft.Mashup.OleDb.1;Data Source=$Workbook$;Location=fno_sym;Extended Properties=&quot;&quot;" command="SELECT * FROM [fno_sym]"/>
  </connection>
  <connection id="10" xr16:uid="{3A2D3088-3BA4-4510-82CE-DFBE3B9B9693}" keepAlive="1" name="Query - fno_sym_match_csv" description="Connection to the 'fno_sym_match_csv' query in the workbook." type="5" refreshedVersion="6" background="1" saveData="1">
    <dbPr connection="Provider=Microsoft.Mashup.OleDb.1;Data Source=$Workbook$;Location=fno_sym_match_csv;Extended Properties=&quot;&quot;" command="SELECT * FROM [fno_sym_match_csv]"/>
  </connection>
  <connection id="11" xr16:uid="{ADF36C22-1982-4B95-8DAB-9A9D3FD8D932}" name="Query - index_date_expiry_hist" description="Connection to the 'index_date_expiry_hist' query in the workbook." type="100" refreshedVersion="6" minRefreshableVersion="5">
    <extLst>
      <ext xmlns:x15="http://schemas.microsoft.com/office/spreadsheetml/2010/11/main" uri="{DE250136-89BD-433C-8126-D09CA5730AF9}">
        <x15:connection id="c0656dec-58ed-44f7-a763-1f78ab760747">
          <x15:oledbPr connection="Provider=Microsoft.Mashup.OleDb.1;Data Source=$Workbook$;Location=index_date_expiry_hist;Extended Properties=&quot;&quot;">
            <x15:dbTables>
              <x15:dbTable name="index_date_expiry_hist"/>
            </x15:dbTables>
          </x15:oledbPr>
        </x15:connection>
      </ext>
    </extLst>
  </connection>
  <connection id="12" xr16:uid="{6E135DC7-09AE-4191-988E-7FAA0FA218E6}" keepAlive="1" name="Query - input_loss" description="Connection to the 'input_loss' query in the workbook." type="5" refreshedVersion="0" background="1">
    <dbPr connection="Provider=Microsoft.Mashup.OleDb.1;Data Source=$Workbook$;Location=input_loss;Extended Properties=&quot;&quot;" command="SELECT * FROM [input_loss]"/>
  </connection>
  <connection id="13" xr16:uid="{2C930599-EADF-4E8F-B705-748EF4C4645A}" keepAlive="1" name="Query - Merge_contract_hist" description="Connection to the 'Merge_contract_hist' query in the workbook." type="5" refreshedVersion="6" background="1" saveData="1">
    <dbPr connection="Provider=Microsoft.Mashup.OleDb.1;Data Source=$Workbook$;Location=Merge_contract_hist;Extended Properties=&quot;&quot;" command="SELECT * FROM [Merge_contract_hist]"/>
  </connection>
  <connection id="14" xr16:uid="{01E44552-5298-4388-8904-FE3F46E873E4}" keepAlive="1" name="Query - preopen" description="Connection to the 'preopen' query in the workbook." type="5" refreshedVersion="6" background="1" saveData="1">
    <dbPr connection="Provider=Microsoft.Mashup.OleDb.1;Data Source=$Workbook$;Location=preopen;Extended Properties=&quot;&quot;" command="SELECT * FROM [preopen]"/>
  </connection>
  <connection id="15" xr16:uid="{FBE94E8C-4214-40BD-9F1F-F5E841CB04A3}" keepAlive="1" name="Query - stocks_date_expiry_hist" description="Connection to the 'stocks_date_expiry_hist' query in the workbook." type="5" refreshedVersion="6" background="1" saveData="1">
    <dbPr connection="Provider=Microsoft.Mashup.OleDb.1;Data Source=$Workbook$;Location=stocks_date_expiry_hist;Extended Properties=&quot;&quot;" command="SELECT * FROM [stocks_date_expiry_hist]"/>
  </connection>
  <connection id="16" xr16:uid="{810A7AAF-128D-4AED-BE43-B78F5D00BCD3}" keepAlive="1" name="Query - strike" description="Connection to the 'strike' query in the workbook." type="5" refreshedVersion="0" background="1">
    <dbPr connection="Provider=Microsoft.Mashup.OleDb.1;Data Source=$Workbook$;Location=strike;Extended Properties=&quot;&quot;" command="SELECT * FROM [strike]"/>
  </connection>
  <connection id="17" xr16:uid="{585C6F3F-F7BF-4C3B-9869-2B4EE47E8ADB}" keepAlive="1" name="Query - symbols" description="Connection to the 'symbols' query in the workbook." type="5" refreshedVersion="0" background="1">
    <dbPr connection="Provider=Microsoft.Mashup.OleDb.1;Data Source=$Workbook$;Location=symbols;Extended Properties=&quot;&quot;" command="SELECT * FROM [symbols]"/>
  </connection>
  <connection id="18" xr16:uid="{27EBF7B8-D08F-44F3-ADCC-66A410ECC3CA}" keepAlive="1" name="Query - to_date" description="Connection to the 'to_date' query in the workbook." type="5" refreshedVersion="0" background="1">
    <dbPr connection="Provider=Microsoft.Mashup.OleDb.1;Data Source=$Workbook$;Location=to_date;Extended Properties=&quot;&quot;" command="SELECT * FROM [to_date]"/>
  </connection>
  <connection id="19" xr16:uid="{4665FCC9-02A6-4F73-8D2A-D15E4563ABA6}" keepAlive="1" name="Query - VOLAT" description="Connection to the 'VOLAT' query in the workbook." type="5" refreshedVersion="8" background="1" saveData="1">
    <dbPr connection="Provider=Microsoft.Mashup.OleDb.1;Data Source=$Workbook$;Location=VOLAT;Extended Properties=&quot;&quot;" command="SELECT * FROM [VOLAT]"/>
  </connection>
  <connection id="20" xr16:uid="{B9D6EF35-C226-4A18-AE6A-368F278DE68B}" keepAlive="1" name="Query - VOLATILTYDATE_2" description="Connection to the 'VOLATILTYDATE_2' query in the workbook." type="5" refreshedVersion="0" background="1">
    <dbPr connection="Provider=Microsoft.Mashup.OleDb.1;Data Source=$Workbook$;Location=VOLATILTYDATE_2;Extended Properties=&quot;&quot;" command="SELECT * FROM [VOLATILTYDATE_2]"/>
  </connection>
  <connection id="21" xr16:uid="{A18DA31F-E2FE-427A-88FD-DFDF045CB9BF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<sst xmlns="http://schemas.openxmlformats.org/spreadsheetml/2006/main" count="8647" uniqueCount="1124">
  <si>
    <t>cookie</t>
  </si>
  <si>
    <t>.</t>
  </si>
  <si>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</si>
  <si>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</si>
  <si>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</si>
  <si>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</si>
  <si>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</si>
  <si>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</si>
  <si>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</si>
  <si>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</si>
  <si>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</si>
  <si>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LTP</t>
  </si>
  <si>
    <t>Qty</t>
  </si>
  <si>
    <t>sl_b</t>
  </si>
  <si>
    <t>p_sl_b</t>
  </si>
  <si>
    <t>live</t>
  </si>
  <si>
    <t>stdv</t>
  </si>
  <si>
    <t>mid</t>
  </si>
  <si>
    <t>upperband</t>
  </si>
  <si>
    <t>loweer</t>
  </si>
  <si>
    <t>pivot</t>
  </si>
  <si>
    <t>full sell</t>
  </si>
  <si>
    <t>NSE:AARTIIND-EQ</t>
  </si>
  <si>
    <t>AARTIIND</t>
  </si>
  <si>
    <t/>
  </si>
  <si>
    <t>NSE:ABB-EQ</t>
  </si>
  <si>
    <t>ABB</t>
  </si>
  <si>
    <t>NSE:ABBOTINDIA-EQ</t>
  </si>
  <si>
    <t>ABBOTINDIA</t>
  </si>
  <si>
    <t>NSE:ABCAPITAL-EQ</t>
  </si>
  <si>
    <t>ABCAPITAL</t>
  </si>
  <si>
    <t>NSE:ABFRL-EQ</t>
  </si>
  <si>
    <t>ABFRL</t>
  </si>
  <si>
    <t>Pivot sell</t>
  </si>
  <si>
    <t>NSE:ACC-EQ</t>
  </si>
  <si>
    <t>ACC</t>
  </si>
  <si>
    <t>NSE:ADANIENT-EQ</t>
  </si>
  <si>
    <t>ADANIENT</t>
  </si>
  <si>
    <t>NSE:ADANIPORTS-EQ</t>
  </si>
  <si>
    <t>ADANIPORTS</t>
  </si>
  <si>
    <t>NSE:ALKEM-EQ</t>
  </si>
  <si>
    <t>ALKEM</t>
  </si>
  <si>
    <t>NSE:AMBUJACEM-EQ</t>
  </si>
  <si>
    <t>AMBUJACEM</t>
  </si>
  <si>
    <t>NSE:APOLLOHOSP-EQ</t>
  </si>
  <si>
    <t>APOLLOHOSP</t>
  </si>
  <si>
    <t>NSE:APOLLOTYRE-EQ</t>
  </si>
  <si>
    <t>APOLLOTYRE</t>
  </si>
  <si>
    <t>NSE:ASHOKLEY-EQ</t>
  </si>
  <si>
    <t>ASHOKLEY</t>
  </si>
  <si>
    <t>NSE:ASIANPAINT-EQ</t>
  </si>
  <si>
    <t>ASIANPAINT</t>
  </si>
  <si>
    <t>NSE:ASTRAL-EQ</t>
  </si>
  <si>
    <t>ASTRAL</t>
  </si>
  <si>
    <t>NSE:ATUL-EQ</t>
  </si>
  <si>
    <t>ATUL</t>
  </si>
  <si>
    <t>NSE:AUBANK-EQ</t>
  </si>
  <si>
    <t>AUBANK</t>
  </si>
  <si>
    <t>NSE:AUROPHARMA-EQ</t>
  </si>
  <si>
    <t>AUROPHARMA</t>
  </si>
  <si>
    <t>NSE:AXISBANK-EQ</t>
  </si>
  <si>
    <t>AXISBANK</t>
  </si>
  <si>
    <t>NSE:BAJAJ-AUTO-EQ</t>
  </si>
  <si>
    <t>BAJAJ_AUTO</t>
  </si>
  <si>
    <t>NSE:BAJAJFINSV-EQ</t>
  </si>
  <si>
    <t>BAJAJFINSV</t>
  </si>
  <si>
    <t>NSE:BAJFINANCE-EQ</t>
  </si>
  <si>
    <t>BAJFINANCE</t>
  </si>
  <si>
    <t>NSE:BALKRISIND-EQ</t>
  </si>
  <si>
    <t>BALKRISIND</t>
  </si>
  <si>
    <t>NSE:BALRAMCHIN-EQ</t>
  </si>
  <si>
    <t>BALRAMCHIN</t>
  </si>
  <si>
    <t>NSE:BANDHANBNK-EQ</t>
  </si>
  <si>
    <t>BANDHANBNK</t>
  </si>
  <si>
    <t>NSE:BANKBARODA-EQ</t>
  </si>
  <si>
    <t>BANKBARODA</t>
  </si>
  <si>
    <t>NSE:BATAINDIA-EQ</t>
  </si>
  <si>
    <t>BATAINDIA</t>
  </si>
  <si>
    <t>NSE:BEL-EQ</t>
  </si>
  <si>
    <t>BEL</t>
  </si>
  <si>
    <t>NSE:BERGEPAINT-EQ</t>
  </si>
  <si>
    <t>BERGEPAINT</t>
  </si>
  <si>
    <t>NSE:BHARATFORG-EQ</t>
  </si>
  <si>
    <t>BHARATFORG</t>
  </si>
  <si>
    <t>NSE:BHARTIARTL-EQ</t>
  </si>
  <si>
    <t>BHARTIARTL</t>
  </si>
  <si>
    <t>NSE:BHEL-EQ</t>
  </si>
  <si>
    <t>BHEL</t>
  </si>
  <si>
    <t>NSE:BIOCON-EQ</t>
  </si>
  <si>
    <t>BIOCON</t>
  </si>
  <si>
    <t>NSE:BOSCHLTD-EQ</t>
  </si>
  <si>
    <t>BOSCHLTD</t>
  </si>
  <si>
    <t>NSE:BPCL-EQ</t>
  </si>
  <si>
    <t>BPCL</t>
  </si>
  <si>
    <t>NSE:BRITANNIA-EQ</t>
  </si>
  <si>
    <t>BRITANNIA</t>
  </si>
  <si>
    <t>NSE:BSOFT-EQ</t>
  </si>
  <si>
    <t>BSOFT</t>
  </si>
  <si>
    <t>NSE:CANBK-EQ</t>
  </si>
  <si>
    <t>CANBK</t>
  </si>
  <si>
    <t>NSE:CANFINHOME-EQ</t>
  </si>
  <si>
    <t>CANFINHOME</t>
  </si>
  <si>
    <t>NSE:CHAMBLFERT-EQ</t>
  </si>
  <si>
    <t>CHAMBLFERT</t>
  </si>
  <si>
    <t>NSE:CHOLAFIN-EQ</t>
  </si>
  <si>
    <t>CHOLAFIN</t>
  </si>
  <si>
    <t>NSE:CIPLA-EQ</t>
  </si>
  <si>
    <t>CIPLA</t>
  </si>
  <si>
    <t>NSE:COALINDIA-EQ</t>
  </si>
  <si>
    <t>COALINDIA</t>
  </si>
  <si>
    <t>NSE:COFORGE-EQ</t>
  </si>
  <si>
    <t>COFORGE</t>
  </si>
  <si>
    <t>NSE:COLPAL-EQ</t>
  </si>
  <si>
    <t>COLPAL</t>
  </si>
  <si>
    <t>NSE:CONCOR-EQ</t>
  </si>
  <si>
    <t>CONCOR</t>
  </si>
  <si>
    <t>NSE:COROMANDEL-EQ</t>
  </si>
  <si>
    <t>COROMANDEL</t>
  </si>
  <si>
    <t>NSE:CROMPTON-EQ</t>
  </si>
  <si>
    <t>CROMPTON</t>
  </si>
  <si>
    <t>NSE:CUB-EQ</t>
  </si>
  <si>
    <t>CUB</t>
  </si>
  <si>
    <t>NSE:CUMMINSIND-EQ</t>
  </si>
  <si>
    <t>CUMMINSIND</t>
  </si>
  <si>
    <t>NSE:DABUR-EQ</t>
  </si>
  <si>
    <t>DABUR</t>
  </si>
  <si>
    <t>NSE:DALBHARAT-EQ</t>
  </si>
  <si>
    <t>DALBHARAT</t>
  </si>
  <si>
    <t>NSE:DEEPAKNTR-EQ</t>
  </si>
  <si>
    <t>DEEPAKNTR</t>
  </si>
  <si>
    <t>NSE:DIVISLAB-EQ</t>
  </si>
  <si>
    <t>DIVISLAB</t>
  </si>
  <si>
    <t>NSE:DIXON-EQ</t>
  </si>
  <si>
    <t>DIXON</t>
  </si>
  <si>
    <t>NSE:DLF-EQ</t>
  </si>
  <si>
    <t>DLF</t>
  </si>
  <si>
    <t>NSE:DRREDDY-EQ</t>
  </si>
  <si>
    <t>DRREDDY</t>
  </si>
  <si>
    <t>NSE:EICHERMOT-EQ</t>
  </si>
  <si>
    <t>EICHERMOT</t>
  </si>
  <si>
    <t>NSE:ESCORTS-EQ</t>
  </si>
  <si>
    <t>ESCORTS</t>
  </si>
  <si>
    <t>NSE:EXIDEIND-EQ</t>
  </si>
  <si>
    <t>EXIDEIND</t>
  </si>
  <si>
    <t>NSE:FEDERALBNK-EQ</t>
  </si>
  <si>
    <t>FEDERALBNK</t>
  </si>
  <si>
    <t>NSE:GAIL-EQ</t>
  </si>
  <si>
    <t>GAIL</t>
  </si>
  <si>
    <t>NSE:GLENMARK-EQ</t>
  </si>
  <si>
    <t>GLENMARK</t>
  </si>
  <si>
    <t>NSE:GMRINFRA-EQ</t>
  </si>
  <si>
    <t>GMRINFRA</t>
  </si>
  <si>
    <t>NSE:GNFC-EQ</t>
  </si>
  <si>
    <t>GNFC</t>
  </si>
  <si>
    <t>NSE:GODREJCP-EQ</t>
  </si>
  <si>
    <t>GODREJCP</t>
  </si>
  <si>
    <t>NSE:GODREJPROP-EQ</t>
  </si>
  <si>
    <t>GODREJPROP</t>
  </si>
  <si>
    <t>NSE:GRANULES-EQ</t>
  </si>
  <si>
    <t>GRANULES</t>
  </si>
  <si>
    <t>NSE:GRASIM-EQ</t>
  </si>
  <si>
    <t>GRASIM</t>
  </si>
  <si>
    <t>NSE:GUJGASLTD-EQ</t>
  </si>
  <si>
    <t>GUJGASLTD</t>
  </si>
  <si>
    <t>NSE:HAL-EQ</t>
  </si>
  <si>
    <t>HAL</t>
  </si>
  <si>
    <t>NSE:HAVELLS-EQ</t>
  </si>
  <si>
    <t>HAVELLS</t>
  </si>
  <si>
    <t>NSE:HCLTECH-EQ</t>
  </si>
  <si>
    <t>HCLTECH</t>
  </si>
  <si>
    <t>NSE:HDFCAMC-EQ</t>
  </si>
  <si>
    <t>HDFCAMC</t>
  </si>
  <si>
    <t>NSE:HDFCBANK-EQ</t>
  </si>
  <si>
    <t>HDFCBANK</t>
  </si>
  <si>
    <t>NSE:HDFCLIFE-EQ</t>
  </si>
  <si>
    <t>HDFCLIFE</t>
  </si>
  <si>
    <t>NSE:HEROMOTOCO-EQ</t>
  </si>
  <si>
    <t>HEROMOTOCO</t>
  </si>
  <si>
    <t>NSE:HINDALCO-EQ</t>
  </si>
  <si>
    <t>HINDALCO</t>
  </si>
  <si>
    <t>NSE:HINDCOPPER-EQ</t>
  </si>
  <si>
    <t>HINDCOPPER</t>
  </si>
  <si>
    <t>NSE:HINDPETRO-EQ</t>
  </si>
  <si>
    <t>HINDPETRO</t>
  </si>
  <si>
    <t>NSE:HINDUNILVR-EQ</t>
  </si>
  <si>
    <t>HINDUNILVR</t>
  </si>
  <si>
    <t>NSE:ICICIBANK-EQ</t>
  </si>
  <si>
    <t>ICICIBANK</t>
  </si>
  <si>
    <t>NSE:ICICIGI-EQ</t>
  </si>
  <si>
    <t>ICICIGI</t>
  </si>
  <si>
    <t>NSE:ICICIPRULI-EQ</t>
  </si>
  <si>
    <t>ICICIPRULI</t>
  </si>
  <si>
    <t>NSE:IDEA-EQ</t>
  </si>
  <si>
    <t>IDEA</t>
  </si>
  <si>
    <t>NSE:IDFC-EQ</t>
  </si>
  <si>
    <t>IDFC</t>
  </si>
  <si>
    <t>NSE:IDFCFIRSTB-EQ</t>
  </si>
  <si>
    <t>IDFCFIRSTB</t>
  </si>
  <si>
    <t>NSE:IEX-EQ</t>
  </si>
  <si>
    <t>IEX</t>
  </si>
  <si>
    <t>NSE:IGL-EQ</t>
  </si>
  <si>
    <t>IGL</t>
  </si>
  <si>
    <t>NSE:INDHOTEL-EQ</t>
  </si>
  <si>
    <t>INDHOTEL</t>
  </si>
  <si>
    <t>NSE:INDIACEM-EQ</t>
  </si>
  <si>
    <t>INDIACEM</t>
  </si>
  <si>
    <t>NSE:INDIAMART-EQ</t>
  </si>
  <si>
    <t>INDIAMART</t>
  </si>
  <si>
    <t>NSE:INDIGO-EQ</t>
  </si>
  <si>
    <t>INDIGO</t>
  </si>
  <si>
    <t>NSE:INDUSINDBK-EQ</t>
  </si>
  <si>
    <t>INDUSINDBK</t>
  </si>
  <si>
    <t>NSE:INDUSTOWER-EQ</t>
  </si>
  <si>
    <t>INDUSTOWER</t>
  </si>
  <si>
    <t>NSE:INFY-EQ</t>
  </si>
  <si>
    <t>INFY</t>
  </si>
  <si>
    <t>NSE:IOC-EQ</t>
  </si>
  <si>
    <t>IOC</t>
  </si>
  <si>
    <t>NSE:IPCALAB-EQ</t>
  </si>
  <si>
    <t>IPCALAB</t>
  </si>
  <si>
    <t>NSE:IRCTC-EQ</t>
  </si>
  <si>
    <t>IRCTC</t>
  </si>
  <si>
    <t>NSE:ITC-EQ</t>
  </si>
  <si>
    <t>ITC</t>
  </si>
  <si>
    <t>NSE:JINDALSTEL-EQ</t>
  </si>
  <si>
    <t>JINDALSTEL</t>
  </si>
  <si>
    <t>NSE:JKCEMENT-EQ</t>
  </si>
  <si>
    <t>JKCEMENT</t>
  </si>
  <si>
    <t>NSE:JSWSTEEL-EQ</t>
  </si>
  <si>
    <t>JSWSTEEL</t>
  </si>
  <si>
    <t>NSE:JUBLFOOD-EQ</t>
  </si>
  <si>
    <t>JUBLFOOD</t>
  </si>
  <si>
    <t>NSE:KOTAKBANK-EQ</t>
  </si>
  <si>
    <t>KOTAKBANK</t>
  </si>
  <si>
    <t>L_TFH</t>
  </si>
  <si>
    <t>NSE:LALPATHLAB-EQ</t>
  </si>
  <si>
    <t>LALPATHLAB</t>
  </si>
  <si>
    <t>NSE:LAURUSLABS-EQ</t>
  </si>
  <si>
    <t>LAURUSLABS</t>
  </si>
  <si>
    <t>NSE:LICHSGFIN-EQ</t>
  </si>
  <si>
    <t>LICHSGFIN</t>
  </si>
  <si>
    <t>NSE:LT-EQ</t>
  </si>
  <si>
    <t>LT</t>
  </si>
  <si>
    <t>NSE:LTIM-EQ</t>
  </si>
  <si>
    <t>LTIM</t>
  </si>
  <si>
    <t>NSE:LTTS-EQ</t>
  </si>
  <si>
    <t>LTTS</t>
  </si>
  <si>
    <t>NSE:LUPIN-EQ</t>
  </si>
  <si>
    <t>LUPIN</t>
  </si>
  <si>
    <t>M_M</t>
  </si>
  <si>
    <t>M_MFIN</t>
  </si>
  <si>
    <t>NSE:MANAPPURAM-EQ</t>
  </si>
  <si>
    <t>MANAPPURAM</t>
  </si>
  <si>
    <t>NSE:MARICO-EQ</t>
  </si>
  <si>
    <t>MARICO</t>
  </si>
  <si>
    <t>NSE:MARUTI-EQ</t>
  </si>
  <si>
    <t>MARUTI</t>
  </si>
  <si>
    <t>MCDOWELL_N</t>
  </si>
  <si>
    <t>NSE:MCX-EQ</t>
  </si>
  <si>
    <t>MCX</t>
  </si>
  <si>
    <t>NSE:METROPOLIS-EQ</t>
  </si>
  <si>
    <t>METROPOLIS</t>
  </si>
  <si>
    <t>NSE:MFSL-EQ</t>
  </si>
  <si>
    <t>MFSL</t>
  </si>
  <si>
    <t>NSE:MGL-EQ</t>
  </si>
  <si>
    <t>MGL</t>
  </si>
  <si>
    <t>NSE:MOTHERSON-EQ</t>
  </si>
  <si>
    <t>MOTHERSON</t>
  </si>
  <si>
    <t>NSE:MPHASIS-EQ</t>
  </si>
  <si>
    <t>MPHASIS</t>
  </si>
  <si>
    <t>NSE:MRF-EQ</t>
  </si>
  <si>
    <t>MRF</t>
  </si>
  <si>
    <t>NSE:MUTHOOTFIN-EQ</t>
  </si>
  <si>
    <t>MUTHOOTFIN</t>
  </si>
  <si>
    <t>NSE:NATIONALUM-EQ</t>
  </si>
  <si>
    <t>NATIONALUM</t>
  </si>
  <si>
    <t>NSE:NAUKRI-EQ</t>
  </si>
  <si>
    <t>NAUKRI</t>
  </si>
  <si>
    <t>NSE:NAVINFLUOR-EQ</t>
  </si>
  <si>
    <t>NAVINFLUOR</t>
  </si>
  <si>
    <t>NSE:NESTLEIND-EQ</t>
  </si>
  <si>
    <t>NESTLEIND</t>
  </si>
  <si>
    <t>NSE:NMDC-EQ</t>
  </si>
  <si>
    <t>NMDC</t>
  </si>
  <si>
    <t>NSE:NTPC-EQ</t>
  </si>
  <si>
    <t>NTPC</t>
  </si>
  <si>
    <t>NSE:OBEROIRLTY-EQ</t>
  </si>
  <si>
    <t>OBEROIRLTY</t>
  </si>
  <si>
    <t>NSE:OFSS-EQ</t>
  </si>
  <si>
    <t>OFSS</t>
  </si>
  <si>
    <t>NSE:ONGC-EQ</t>
  </si>
  <si>
    <t>ONGC</t>
  </si>
  <si>
    <t>NSE:PAGEIND-EQ</t>
  </si>
  <si>
    <t>PAGEIND</t>
  </si>
  <si>
    <t>NSE:PEL-EQ</t>
  </si>
  <si>
    <t>PEL</t>
  </si>
  <si>
    <t>NSE:PERSISTENT-EQ</t>
  </si>
  <si>
    <t>PERSISTENT</t>
  </si>
  <si>
    <t>NSE:PETRONET-EQ</t>
  </si>
  <si>
    <t>PETRONET</t>
  </si>
  <si>
    <t>NSE:PFC-EQ</t>
  </si>
  <si>
    <t>PFC</t>
  </si>
  <si>
    <t>NSE:PIDILITIND-EQ</t>
  </si>
  <si>
    <t>PIDILITIND</t>
  </si>
  <si>
    <t>NSE:PIIND-EQ</t>
  </si>
  <si>
    <t>PIIND</t>
  </si>
  <si>
    <t>NSE:PNB-EQ</t>
  </si>
  <si>
    <t>PNB</t>
  </si>
  <si>
    <t>NSE:POLYCAB-EQ</t>
  </si>
  <si>
    <t>POLYCAB</t>
  </si>
  <si>
    <t>NSE:POWERGRID-EQ</t>
  </si>
  <si>
    <t>POWERGRID</t>
  </si>
  <si>
    <t>NSE:PVRINOX-EQ</t>
  </si>
  <si>
    <t>PVRINOX</t>
  </si>
  <si>
    <t>NSE:RAMCOCEM-EQ</t>
  </si>
  <si>
    <t>RAMCOCEM</t>
  </si>
  <si>
    <t>NSE:RBLBANK-EQ</t>
  </si>
  <si>
    <t>RBLBANK</t>
  </si>
  <si>
    <t>NSE:RECLTD-EQ</t>
  </si>
  <si>
    <t>RECLTD</t>
  </si>
  <si>
    <t>NSE:RELIANCE-EQ</t>
  </si>
  <si>
    <t>RELIANCE</t>
  </si>
  <si>
    <t>NSE:SAIL-EQ</t>
  </si>
  <si>
    <t>SAIL</t>
  </si>
  <si>
    <t>NSE:SBICARD-EQ</t>
  </si>
  <si>
    <t>SBICARD</t>
  </si>
  <si>
    <t>NSE:SBILIFE-EQ</t>
  </si>
  <si>
    <t>SBILIFE</t>
  </si>
  <si>
    <t>NSE:SBIN-EQ</t>
  </si>
  <si>
    <t>SBIN</t>
  </si>
  <si>
    <t>NSE:SHREECEM-EQ</t>
  </si>
  <si>
    <t>SHREECEM</t>
  </si>
  <si>
    <t>NSE:SHRIRAMFIN-EQ</t>
  </si>
  <si>
    <t>SHRIRAMFIN</t>
  </si>
  <si>
    <t>NSE:SIEMENS-EQ</t>
  </si>
  <si>
    <t>SIEMENS</t>
  </si>
  <si>
    <t>NSE:SRF-EQ</t>
  </si>
  <si>
    <t>SRF</t>
  </si>
  <si>
    <t>NSE:SUNPHARMA-EQ</t>
  </si>
  <si>
    <t>SUNPHARMA</t>
  </si>
  <si>
    <t>NSE:SUNTV-EQ</t>
  </si>
  <si>
    <t>SUNTV</t>
  </si>
  <si>
    <t>NSE:SYNGENE-EQ</t>
  </si>
  <si>
    <t>SYNGENE</t>
  </si>
  <si>
    <t>NSE:TATACHEM-EQ</t>
  </si>
  <si>
    <t>TATACHEM</t>
  </si>
  <si>
    <t>NSE:TATACOMM-EQ</t>
  </si>
  <si>
    <t>TATACOMM</t>
  </si>
  <si>
    <t>NSE:TATACONSUM-EQ</t>
  </si>
  <si>
    <t>TATACONSUM</t>
  </si>
  <si>
    <t>NSE:TATAMOTORS-EQ</t>
  </si>
  <si>
    <t>TATAMOTORS</t>
  </si>
  <si>
    <t>NSE:TATAPOWER-EQ</t>
  </si>
  <si>
    <t>TATAPOWER</t>
  </si>
  <si>
    <t>NSE:TATASTEEL-EQ</t>
  </si>
  <si>
    <t>TATASTEEL</t>
  </si>
  <si>
    <t>NSE:TCS-EQ</t>
  </si>
  <si>
    <t>TCS</t>
  </si>
  <si>
    <t>NSE:TECHM-EQ</t>
  </si>
  <si>
    <t>TECHM</t>
  </si>
  <si>
    <t>NSE:TITAN-EQ</t>
  </si>
  <si>
    <t>TITAN</t>
  </si>
  <si>
    <t>NSE:TORNTPHARM-EQ</t>
  </si>
  <si>
    <t>TORNTPHARM</t>
  </si>
  <si>
    <t>NSE:TRENT-EQ</t>
  </si>
  <si>
    <t>TRENT</t>
  </si>
  <si>
    <t>NSE:TVSMOTOR-EQ</t>
  </si>
  <si>
    <t>TVSMOTOR</t>
  </si>
  <si>
    <t>NSE:UBL-EQ</t>
  </si>
  <si>
    <t>UBL</t>
  </si>
  <si>
    <t>NSE:ULTRACEMCO-EQ</t>
  </si>
  <si>
    <t>ULTRACEMCO</t>
  </si>
  <si>
    <t>NSE:UPL-EQ</t>
  </si>
  <si>
    <t>UPL</t>
  </si>
  <si>
    <t>NSE:VEDL-EQ</t>
  </si>
  <si>
    <t>VEDL</t>
  </si>
  <si>
    <t>NSE:VOLTAS-EQ</t>
  </si>
  <si>
    <t>VOLTAS</t>
  </si>
  <si>
    <t>NSE:WIPRO-EQ</t>
  </si>
  <si>
    <t>WIPRO</t>
  </si>
  <si>
    <t>NSE:ZEEL-EQ</t>
  </si>
  <si>
    <t>ZEEL</t>
  </si>
  <si>
    <t>NSE:ZYDUSLIFE-EQ</t>
  </si>
  <si>
    <t>ZYDUSLIFE</t>
  </si>
  <si>
    <t>index</t>
  </si>
  <si>
    <t>symbol</t>
  </si>
  <si>
    <t>open</t>
  </si>
  <si>
    <t>high</t>
  </si>
  <si>
    <t>low</t>
  </si>
  <si>
    <t>close</t>
  </si>
  <si>
    <t>volume</t>
  </si>
  <si>
    <t>UpperChannel</t>
  </si>
  <si>
    <t>LowerChannel</t>
  </si>
  <si>
    <t>luxalgo</t>
  </si>
  <si>
    <t>hma</t>
  </si>
  <si>
    <t>hma3</t>
  </si>
  <si>
    <t>hull_Buy</t>
  </si>
  <si>
    <t>hull_Sell</t>
  </si>
  <si>
    <t>linecolor</t>
  </si>
  <si>
    <t>fatl</t>
  </si>
  <si>
    <t>mainl</t>
  </si>
  <si>
    <t>crossbuy</t>
  </si>
  <si>
    <t>crossell</t>
  </si>
  <si>
    <t>NSE:AARTIIND</t>
  </si>
  <si>
    <t>Sell</t>
  </si>
  <si>
    <t>red</t>
  </si>
  <si>
    <t>crsfatldn</t>
  </si>
  <si>
    <t>NSE:ABB</t>
  </si>
  <si>
    <t>chanel</t>
  </si>
  <si>
    <t>NSE:ABBOTINDIA</t>
  </si>
  <si>
    <t>green</t>
  </si>
  <si>
    <t>crsfatlup</t>
  </si>
  <si>
    <t>NSE:ABCAPITAL</t>
  </si>
  <si>
    <t>NSE:ABFRL</t>
  </si>
  <si>
    <t>NSE:ACC</t>
  </si>
  <si>
    <t>NSE:ADANIENT</t>
  </si>
  <si>
    <t>NSE:ADANIPORTS</t>
  </si>
  <si>
    <t>NSE:ALKEM</t>
  </si>
  <si>
    <t>NSE:AMBUJACEM</t>
  </si>
  <si>
    <t>NSE:APOLLOHOSP</t>
  </si>
  <si>
    <t>NSE:APOLLOTYRE</t>
  </si>
  <si>
    <t>NSE:ASHOKLEY</t>
  </si>
  <si>
    <t>NSE:ASIANPAINT</t>
  </si>
  <si>
    <t>NSE:ASTRAL</t>
  </si>
  <si>
    <t>NSE:ATUL</t>
  </si>
  <si>
    <t>NSE:AUBANK</t>
  </si>
  <si>
    <t>NSE:AUROPHARMA</t>
  </si>
  <si>
    <t>NSE:AXISBANK</t>
  </si>
  <si>
    <t>NSE:BAJAJ_AUTO</t>
  </si>
  <si>
    <t>NSE:BAJAJFINSV</t>
  </si>
  <si>
    <t>NSE:BAJFINANCE</t>
  </si>
  <si>
    <t>NSE:BALKRISIND</t>
  </si>
  <si>
    <t>NSE:BALRAMCHIN</t>
  </si>
  <si>
    <t>NSE:BANDHANBNK</t>
  </si>
  <si>
    <t>NSE:BANKBARODA</t>
  </si>
  <si>
    <t>NSE:BATAINDIA</t>
  </si>
  <si>
    <t>NSE:BEL</t>
  </si>
  <si>
    <t>NSE:BERGEPAINT</t>
  </si>
  <si>
    <t>NSE:BHARATFORG</t>
  </si>
  <si>
    <t>NSE:BHARTIARTL</t>
  </si>
  <si>
    <t>NSE:BHEL</t>
  </si>
  <si>
    <t>NSE:BIOCON</t>
  </si>
  <si>
    <t>NSE:BOSCHLTD</t>
  </si>
  <si>
    <t>NSE:BPCL</t>
  </si>
  <si>
    <t>NSE:BRITANNIA</t>
  </si>
  <si>
    <t>NSE:BSOFT</t>
  </si>
  <si>
    <t>NSE:CANBK</t>
  </si>
  <si>
    <t>NSE:CANFINHOME</t>
  </si>
  <si>
    <t>NSE:CHAMBLFERT</t>
  </si>
  <si>
    <t>NSE:CHOLAFIN</t>
  </si>
  <si>
    <t>NSE:CIPLA</t>
  </si>
  <si>
    <t>NSE:COALINDIA</t>
  </si>
  <si>
    <t>NSE:COFORGE</t>
  </si>
  <si>
    <t>NSE:COLPAL</t>
  </si>
  <si>
    <t>NSE:CONCOR</t>
  </si>
  <si>
    <t>NSE:COROMANDEL</t>
  </si>
  <si>
    <t>NSE:CROMPTON</t>
  </si>
  <si>
    <t>NSE:CUB</t>
  </si>
  <si>
    <t>NSE:CUMMINSIND</t>
  </si>
  <si>
    <t>NSE:DABUR</t>
  </si>
  <si>
    <t>NSE:DALBHARAT</t>
  </si>
  <si>
    <t>NSE:DEEPAKNTR</t>
  </si>
  <si>
    <t>NSE:DIVISLAB</t>
  </si>
  <si>
    <t>NSE:DIXON</t>
  </si>
  <si>
    <t>NSE:DLF</t>
  </si>
  <si>
    <t>NSE:DRREDDY</t>
  </si>
  <si>
    <t>NSE:EICHERMOT</t>
  </si>
  <si>
    <t>NSE:ESCORTS</t>
  </si>
  <si>
    <t>NSE:EXIDEIND</t>
  </si>
  <si>
    <t>NSE:FEDERALBNK</t>
  </si>
  <si>
    <t>NSE:GAIL</t>
  </si>
  <si>
    <t>NSE:GLENMARK</t>
  </si>
  <si>
    <t>NSE:GMRINFRA</t>
  </si>
  <si>
    <t>NSE:GNFC</t>
  </si>
  <si>
    <t>NSE:GODREJCP</t>
  </si>
  <si>
    <t>NSE:GODREJPROP</t>
  </si>
  <si>
    <t>NSE:GRANULES</t>
  </si>
  <si>
    <t>NSE:GRASIM</t>
  </si>
  <si>
    <t>NSE:GUJGASLTD</t>
  </si>
  <si>
    <t>NSE:HAL</t>
  </si>
  <si>
    <t>NSE:HAVELLS</t>
  </si>
  <si>
    <t>NSE:HCLTECH</t>
  </si>
  <si>
    <t>NSE:HDFCAMC</t>
  </si>
  <si>
    <t>NSE:HDFCBANK</t>
  </si>
  <si>
    <t>NSE:HDFCLIFE</t>
  </si>
  <si>
    <t>NSE:HEROMOTOCO</t>
  </si>
  <si>
    <t>NSE:HINDALCO</t>
  </si>
  <si>
    <t>NSE:HINDCOPPER</t>
  </si>
  <si>
    <t>NSE:HINDPETRO</t>
  </si>
  <si>
    <t>NSE:HINDUNILVR</t>
  </si>
  <si>
    <t>NSE:ICICIBANK</t>
  </si>
  <si>
    <t>NSE:ICICIGI</t>
  </si>
  <si>
    <t>NSE:ICICIPRULI</t>
  </si>
  <si>
    <t>NSE:IDEA</t>
  </si>
  <si>
    <t>NSE:IDFC</t>
  </si>
  <si>
    <t>NSE:IDFCFIRSTB</t>
  </si>
  <si>
    <t>NSE:IEX</t>
  </si>
  <si>
    <t>NSE:IGL</t>
  </si>
  <si>
    <t>NSE:INDHOTEL</t>
  </si>
  <si>
    <t>NSE:INDIACEM</t>
  </si>
  <si>
    <t>NSE:INDIAMART</t>
  </si>
  <si>
    <t>NSE:INDIGO</t>
  </si>
  <si>
    <t>NSE:INDUSINDBK</t>
  </si>
  <si>
    <t>NSE:INDUSTOWER</t>
  </si>
  <si>
    <t>NSE:INFY</t>
  </si>
  <si>
    <t>NSE:IOC</t>
  </si>
  <si>
    <t>NSE:IPCALAB</t>
  </si>
  <si>
    <t>NSE:IRCTC</t>
  </si>
  <si>
    <t>NSE:ITC</t>
  </si>
  <si>
    <t>NSE:JINDALSTEL</t>
  </si>
  <si>
    <t>NSE:JKCEMENT</t>
  </si>
  <si>
    <t>NSE:JSWSTEEL</t>
  </si>
  <si>
    <t>NSE:JUBLFOOD</t>
  </si>
  <si>
    <t>NSE:KOTAKBANK</t>
  </si>
  <si>
    <t>NSE:L_TFH</t>
  </si>
  <si>
    <t>NSE:LALPATHLAB</t>
  </si>
  <si>
    <t>NSE:LAURUSLABS</t>
  </si>
  <si>
    <t>NSE:LICHSGFIN</t>
  </si>
  <si>
    <t>NSE:LT</t>
  </si>
  <si>
    <t>NSE:LTIM</t>
  </si>
  <si>
    <t>NSE:LTTS</t>
  </si>
  <si>
    <t>NSE:LUPIN</t>
  </si>
  <si>
    <t>NSE:M_M</t>
  </si>
  <si>
    <t>NSE:M_MFIN</t>
  </si>
  <si>
    <t>NSE:MANAPPURAM</t>
  </si>
  <si>
    <t>NSE:MARICO</t>
  </si>
  <si>
    <t>NSE:MARUTI</t>
  </si>
  <si>
    <t>NSE:MCDOWELL_N</t>
  </si>
  <si>
    <t>NSE:MCX</t>
  </si>
  <si>
    <t>NSE:METROPOLIS</t>
  </si>
  <si>
    <t>NSE:MFSL</t>
  </si>
  <si>
    <t>NSE:MGL</t>
  </si>
  <si>
    <t>NSE:MOTHERSON</t>
  </si>
  <si>
    <t>NSE:MPHASIS</t>
  </si>
  <si>
    <t>NSE:MRF</t>
  </si>
  <si>
    <t>NSE:MUTHOOTFIN</t>
  </si>
  <si>
    <t>NSE:NATIONALUM</t>
  </si>
  <si>
    <t>NSE:NAUKRI</t>
  </si>
  <si>
    <t>NSE:NAVINFLUOR</t>
  </si>
  <si>
    <t>NSE:NESTLEIND</t>
  </si>
  <si>
    <t>NSE:NMDC</t>
  </si>
  <si>
    <t>NSE:NTPC</t>
  </si>
  <si>
    <t>NSE:OBEROIRLTY</t>
  </si>
  <si>
    <t>NSE:OFSS</t>
  </si>
  <si>
    <t>NSE:ONGC</t>
  </si>
  <si>
    <t>NSE:PAGEIND</t>
  </si>
  <si>
    <t>NSE:PEL</t>
  </si>
  <si>
    <t>NSE:PERSISTENT</t>
  </si>
  <si>
    <t>NSE:PETRONET</t>
  </si>
  <si>
    <t>NSE:PFC</t>
  </si>
  <si>
    <t>NSE:PIDILITIND</t>
  </si>
  <si>
    <t>NSE:PIIND</t>
  </si>
  <si>
    <t>NSE:PNB</t>
  </si>
  <si>
    <t>NSE:POLYCAB</t>
  </si>
  <si>
    <t>NSE:POWERGRID</t>
  </si>
  <si>
    <t>NSE:PVRINOX</t>
  </si>
  <si>
    <t>NSE:RAMCOCEM</t>
  </si>
  <si>
    <t>NSE:RBLBANK</t>
  </si>
  <si>
    <t>NSE:RECLTD</t>
  </si>
  <si>
    <t>NSE:RELIANCE</t>
  </si>
  <si>
    <t>NSE:SAIL</t>
  </si>
  <si>
    <t>NSE:SBICARD</t>
  </si>
  <si>
    <t>NSE:SBILIFE</t>
  </si>
  <si>
    <t>NSE:SBIN</t>
  </si>
  <si>
    <t>NSE:SHREECEM</t>
  </si>
  <si>
    <t>NSE:SHRIRAMFIN</t>
  </si>
  <si>
    <t>NSE:SIEMENS</t>
  </si>
  <si>
    <t>NSE:SRF</t>
  </si>
  <si>
    <t>NSE:SUNPHARMA</t>
  </si>
  <si>
    <t>NSE:SUNTV</t>
  </si>
  <si>
    <t>Buy</t>
  </si>
  <si>
    <t>NSE:SYNGENE</t>
  </si>
  <si>
    <t>NSE:TATACHEM</t>
  </si>
  <si>
    <t>NSE:TATACOMM</t>
  </si>
  <si>
    <t>NSE:TATACONSUM</t>
  </si>
  <si>
    <t>NSE:TATAMOTORS</t>
  </si>
  <si>
    <t>NSE:TATAPOWER</t>
  </si>
  <si>
    <t>NSE:TATASTEEL</t>
  </si>
  <si>
    <t>NSE:TCS</t>
  </si>
  <si>
    <t>NSE:TECHM</t>
  </si>
  <si>
    <t>NSE:TITAN</t>
  </si>
  <si>
    <t>NSE:TORNTPHARM</t>
  </si>
  <si>
    <t>NSE:TRENT</t>
  </si>
  <si>
    <t>NSE:TVSMOTOR</t>
  </si>
  <si>
    <t>NSE:UBL</t>
  </si>
  <si>
    <t>NSE:ULTRACEMCO</t>
  </si>
  <si>
    <t>NSE:UPL</t>
  </si>
  <si>
    <t>NSE:VEDL</t>
  </si>
  <si>
    <t>NSE:VOLTAS</t>
  </si>
  <si>
    <t>NSE:WIPRO</t>
  </si>
  <si>
    <t>NSE:ZEEL</t>
  </si>
  <si>
    <t>NSE:ZYDUSLIFE</t>
  </si>
  <si>
    <t>SYMBOL_fno</t>
  </si>
  <si>
    <t xml:space="preserve">SYMBOL 
</t>
  </si>
  <si>
    <t>CLOSE</t>
  </si>
  <si>
    <t>%</t>
  </si>
  <si>
    <t>RANGE</t>
  </si>
  <si>
    <t>input_loss</t>
  </si>
  <si>
    <t>QTY-INPUT-LOSS</t>
  </si>
  <si>
    <t>money</t>
  </si>
  <si>
    <t>VOLATILTYDATE</t>
  </si>
  <si>
    <t>input_sl</t>
  </si>
  <si>
    <t>111</t>
  </si>
  <si>
    <t>BAJAJ-AUTO</t>
  </si>
  <si>
    <t>NSE:L&amp;TFH-EQ</t>
  </si>
  <si>
    <t>NSE:M&amp;M-EQ</t>
  </si>
  <si>
    <t>M&amp;M</t>
  </si>
  <si>
    <t>NSE:M&amp;MFIN-EQ</t>
  </si>
  <si>
    <t>NSE:MCDOWELL-N-EQ</t>
  </si>
  <si>
    <t>monthly</t>
  </si>
  <si>
    <t>Close</t>
  </si>
  <si>
    <t>Volume</t>
  </si>
  <si>
    <t>hl2_basis</t>
  </si>
  <si>
    <t>hl2_upper</t>
  </si>
  <si>
    <t>hl2_lower</t>
  </si>
  <si>
    <t>weekly</t>
  </si>
  <si>
    <t>Signal</t>
  </si>
  <si>
    <t>AARTIIND.NS</t>
  </si>
  <si>
    <t>ABB.NS</t>
  </si>
  <si>
    <t>ABBOTINDIA.NS</t>
  </si>
  <si>
    <t>ABCAPITAL.NS</t>
  </si>
  <si>
    <t>ABFRL.NS</t>
  </si>
  <si>
    <t>ACC.NS</t>
  </si>
  <si>
    <t>ADANIENT.NS</t>
  </si>
  <si>
    <t>ADANIPORTS.NS</t>
  </si>
  <si>
    <t>ALKEM.NS</t>
  </si>
  <si>
    <t>AMBUJACEM.NS</t>
  </si>
  <si>
    <t>APOLLOHOSP.NS</t>
  </si>
  <si>
    <t>APOLLOTYRE.NS</t>
  </si>
  <si>
    <t>ASHOKLEY.NS</t>
  </si>
  <si>
    <t>ASIANPAINT.NS</t>
  </si>
  <si>
    <t>ASTRAL.NS</t>
  </si>
  <si>
    <t>ATUL.NS</t>
  </si>
  <si>
    <t>AUBANK.NS</t>
  </si>
  <si>
    <t>AUROPHARMA.NS</t>
  </si>
  <si>
    <t>AXISBANK.NS</t>
  </si>
  <si>
    <t>BAJAJ-AUTO.NS</t>
  </si>
  <si>
    <t>BAJAJFINSV.NS</t>
  </si>
  <si>
    <t>BAJFINANCE.NS</t>
  </si>
  <si>
    <t>BALKRISIND.NS</t>
  </si>
  <si>
    <t>BALRAMCHIN.NS</t>
  </si>
  <si>
    <t>BANDHANBNK.NS</t>
  </si>
  <si>
    <t>BANKBARODA.NS</t>
  </si>
  <si>
    <t>BATAINDIA.NS</t>
  </si>
  <si>
    <t>BEL.NS</t>
  </si>
  <si>
    <t>BERGEPAINT.NS</t>
  </si>
  <si>
    <t>BHARATFORG.NS</t>
  </si>
  <si>
    <t>BHARTIARTL.NS</t>
  </si>
  <si>
    <t>BHEL.NS</t>
  </si>
  <si>
    <t>BIOCON.NS</t>
  </si>
  <si>
    <t>BOSCHLTD.NS</t>
  </si>
  <si>
    <t>BPCL.NS</t>
  </si>
  <si>
    <t>BRITANNIA.NS</t>
  </si>
  <si>
    <t>BSOFT.NS</t>
  </si>
  <si>
    <t>CANBK.NS</t>
  </si>
  <si>
    <t>CANFINHOME.NS</t>
  </si>
  <si>
    <t>CHAMBLFERT.NS</t>
  </si>
  <si>
    <t>CHOLAFIN.NS</t>
  </si>
  <si>
    <t>CIPLA.NS</t>
  </si>
  <si>
    <t>COALINDIA.NS</t>
  </si>
  <si>
    <t>COFORGE.NS</t>
  </si>
  <si>
    <t>COLPAL.NS</t>
  </si>
  <si>
    <t>CONCOR.NS</t>
  </si>
  <si>
    <t>COROMANDEL.NS</t>
  </si>
  <si>
    <t>CROMPTON.NS</t>
  </si>
  <si>
    <t>CUB.NS</t>
  </si>
  <si>
    <t>CUMMINSIND.NS</t>
  </si>
  <si>
    <t>DABUR.NS</t>
  </si>
  <si>
    <t>DALBHARAT.NS</t>
  </si>
  <si>
    <t>DEEPAKNTR.NS</t>
  </si>
  <si>
    <t>DIVISLAB.NS</t>
  </si>
  <si>
    <t>DIXON.NS</t>
  </si>
  <si>
    <t>DLF.NS</t>
  </si>
  <si>
    <t>DRREDDY.NS</t>
  </si>
  <si>
    <t>EICHERMOT.NS</t>
  </si>
  <si>
    <t>ESCORTS.NS</t>
  </si>
  <si>
    <t>EXIDEIND.NS</t>
  </si>
  <si>
    <t>FEDERALBNK.NS</t>
  </si>
  <si>
    <t>GAIL.NS</t>
  </si>
  <si>
    <t>GLENMARK.NS</t>
  </si>
  <si>
    <t>GMRINFRA.NS</t>
  </si>
  <si>
    <t>GNFC.NS</t>
  </si>
  <si>
    <t>GODREJCP.NS</t>
  </si>
  <si>
    <t>GODREJPROP.NS</t>
  </si>
  <si>
    <t>GRANULES.NS</t>
  </si>
  <si>
    <t>GRASIM.NS</t>
  </si>
  <si>
    <t>GUJGASLTD.NS</t>
  </si>
  <si>
    <t>HAL.NS</t>
  </si>
  <si>
    <t>HAVELLS.NS</t>
  </si>
  <si>
    <t>HCLTECH.NS</t>
  </si>
  <si>
    <t>HDFCAMC.NS</t>
  </si>
  <si>
    <t>HDFCBANK.NS</t>
  </si>
  <si>
    <t>HDFCLIFE.NS</t>
  </si>
  <si>
    <t>HEROMOTOCO.NS</t>
  </si>
  <si>
    <t>HINDALCO.NS</t>
  </si>
  <si>
    <t>HINDCOPPER.NS</t>
  </si>
  <si>
    <t>HINDPETRO.NS</t>
  </si>
  <si>
    <t>HINDUNILVR.NS</t>
  </si>
  <si>
    <t>ICICIBANK.NS</t>
  </si>
  <si>
    <t>ICICIGI.NS</t>
  </si>
  <si>
    <t>ICICIPRULI.NS</t>
  </si>
  <si>
    <t>IDEA.NS</t>
  </si>
  <si>
    <t>IDFC.NS</t>
  </si>
  <si>
    <t>IDFCFIRSTB.NS</t>
  </si>
  <si>
    <t>IEX.NS</t>
  </si>
  <si>
    <t>IGL.NS</t>
  </si>
  <si>
    <t>INDHOTEL.NS</t>
  </si>
  <si>
    <t>INDIACEM.NS</t>
  </si>
  <si>
    <t>INDIAMART.NS</t>
  </si>
  <si>
    <t>INDIGO.NS</t>
  </si>
  <si>
    <t>INDUSINDBK.NS</t>
  </si>
  <si>
    <t>INDUSTOWER.NS</t>
  </si>
  <si>
    <t>INFY.NS</t>
  </si>
  <si>
    <t>IOC.NS</t>
  </si>
  <si>
    <t>IPCALAB.NS</t>
  </si>
  <si>
    <t>IRCTC.NS</t>
  </si>
  <si>
    <t>ITC.NS</t>
  </si>
  <si>
    <t>JINDALSTEL.NS</t>
  </si>
  <si>
    <t>JKCEMENT.NS</t>
  </si>
  <si>
    <t>JSWSTEEL.NS</t>
  </si>
  <si>
    <t>JUBLFOOD.NS</t>
  </si>
  <si>
    <t>KOTAKBANK.NS</t>
  </si>
  <si>
    <t>L&amp;TFH.NS</t>
  </si>
  <si>
    <t>LALPATHLAB.NS</t>
  </si>
  <si>
    <t>LAURUSLABS.NS</t>
  </si>
  <si>
    <t>LICHSGFIN.NS</t>
  </si>
  <si>
    <t>LT.NS</t>
  </si>
  <si>
    <t>LTIM.NS</t>
  </si>
  <si>
    <t>LTTS.NS</t>
  </si>
  <si>
    <t>LUPIN.NS</t>
  </si>
  <si>
    <t>M&amp;M.NS</t>
  </si>
  <si>
    <t>M&amp;MFIN.NS</t>
  </si>
  <si>
    <t>MANAPPURAM.NS</t>
  </si>
  <si>
    <t>MARICO.NS</t>
  </si>
  <si>
    <t>MARUTI.NS</t>
  </si>
  <si>
    <t>MCDOWELL-N.NS</t>
  </si>
  <si>
    <t>MCX.NS</t>
  </si>
  <si>
    <t>METROPOLIS.NS</t>
  </si>
  <si>
    <t>MFSL.NS</t>
  </si>
  <si>
    <t>MGL.NS</t>
  </si>
  <si>
    <t>MOTHERSON.NS</t>
  </si>
  <si>
    <t>MPHASIS.NS</t>
  </si>
  <si>
    <t>MRF.NS</t>
  </si>
  <si>
    <t>MUTHOOTFIN.NS</t>
  </si>
  <si>
    <t>NATIONALUM.NS</t>
  </si>
  <si>
    <t>NAUKRI.NS</t>
  </si>
  <si>
    <t>NAVINFLUOR.NS</t>
  </si>
  <si>
    <t>NESTLEIND.NS</t>
  </si>
  <si>
    <t>NMDC.NS</t>
  </si>
  <si>
    <t>NTPC.NS</t>
  </si>
  <si>
    <t>OBEROIRLTY.NS</t>
  </si>
  <si>
    <t>OFSS.NS</t>
  </si>
  <si>
    <t>ONGC.NS</t>
  </si>
  <si>
    <t>PAGEIND.NS</t>
  </si>
  <si>
    <t>PEL.NS</t>
  </si>
  <si>
    <t>PERSISTENT.NS</t>
  </si>
  <si>
    <t>PETRONET.NS</t>
  </si>
  <si>
    <t>PFC.NS</t>
  </si>
  <si>
    <t>PIDILITIND.NS</t>
  </si>
  <si>
    <t>PIIND.NS</t>
  </si>
  <si>
    <t>PNB.NS</t>
  </si>
  <si>
    <t>POLYCAB.NS</t>
  </si>
  <si>
    <t>POWERGRID.NS</t>
  </si>
  <si>
    <t>PVRINOX.NS</t>
  </si>
  <si>
    <t>RAMCOCEM.NS</t>
  </si>
  <si>
    <t>RBLBANK.NS</t>
  </si>
  <si>
    <t>RECLTD.NS</t>
  </si>
  <si>
    <t>RELIANCE.NS</t>
  </si>
  <si>
    <t>SAIL.NS</t>
  </si>
  <si>
    <t>SBICARD.NS</t>
  </si>
  <si>
    <t>SBILIFE.NS</t>
  </si>
  <si>
    <t>SBIN.NS</t>
  </si>
  <si>
    <t>SHREECEM.NS</t>
  </si>
  <si>
    <t>SHRIRAMFIN.NS</t>
  </si>
  <si>
    <t>SIEMENS.NS</t>
  </si>
  <si>
    <t>SRF.NS</t>
  </si>
  <si>
    <t>SUNPHARMA.NS</t>
  </si>
  <si>
    <t>SUNTV.NS</t>
  </si>
  <si>
    <t>SYNGENE.NS</t>
  </si>
  <si>
    <t>TATACHEM.NS</t>
  </si>
  <si>
    <t>TATACOMM.NS</t>
  </si>
  <si>
    <t>TATACONSUM.NS</t>
  </si>
  <si>
    <t>TATAMOTORS.NS</t>
  </si>
  <si>
    <t>TATAPOWER.NS</t>
  </si>
  <si>
    <t>TATASTEEL.NS</t>
  </si>
  <si>
    <t>TCS.NS</t>
  </si>
  <si>
    <t>TECHM.NS</t>
  </si>
  <si>
    <t>TITAN.NS</t>
  </si>
  <si>
    <t>TORNTPHARM.NS</t>
  </si>
  <si>
    <t>TRENT.NS</t>
  </si>
  <si>
    <t>TVSMOTOR.NS</t>
  </si>
  <si>
    <t>UBL.NS</t>
  </si>
  <si>
    <t>ULTRACEMCO.NS</t>
  </si>
  <si>
    <t>UPL.NS</t>
  </si>
  <si>
    <t>VEDL.NS</t>
  </si>
  <si>
    <t>VOLTAS.NS</t>
  </si>
  <si>
    <t>WIPRO.NS</t>
  </si>
  <si>
    <t>ZEEL.NS</t>
  </si>
  <si>
    <t>ZYDUSLIFE.NS</t>
  </si>
  <si>
    <t>SYMBOL</t>
  </si>
  <si>
    <t>NSE:DELTACORP-EQ</t>
  </si>
  <si>
    <t>DELTACORP.NS</t>
  </si>
  <si>
    <t>NSE:HDFC-EQ</t>
  </si>
  <si>
    <t>HDFC.NS</t>
  </si>
  <si>
    <t>NSE:IBULHSGFIN-EQ</t>
  </si>
  <si>
    <t>IBULHSGFIN.NS</t>
  </si>
  <si>
    <t>NSE:INTELLECT-EQ</t>
  </si>
  <si>
    <t>INTELLECT.NS</t>
  </si>
  <si>
    <t>auth_code</t>
  </si>
  <si>
    <t>token</t>
  </si>
  <si>
    <t>refresh_token</t>
  </si>
  <si>
    <t>p_high</t>
  </si>
  <si>
    <t>p_low</t>
  </si>
  <si>
    <t>bb_s</t>
  </si>
  <si>
    <t>s_p</t>
  </si>
  <si>
    <t>pivtradi</t>
  </si>
  <si>
    <t>traditionl</t>
  </si>
  <si>
    <t>bb_piv_sell</t>
  </si>
  <si>
    <t>b_p_sel</t>
  </si>
  <si>
    <t>bb_piv_buy</t>
  </si>
  <si>
    <t>b_p_buy</t>
  </si>
  <si>
    <t>-</t>
  </si>
  <si>
    <t>BUY</t>
  </si>
  <si>
    <t>Order No</t>
  </si>
  <si>
    <t>Type</t>
  </si>
  <si>
    <t>Price</t>
  </si>
  <si>
    <t>Status</t>
  </si>
  <si>
    <t>Time</t>
  </si>
  <si>
    <t>Exchange</t>
  </si>
  <si>
    <t>Product</t>
  </si>
  <si>
    <t>Remarks</t>
  </si>
  <si>
    <t>INDHOTEL-EQ</t>
  </si>
  <si>
    <t>S</t>
  </si>
  <si>
    <t>REJECTED</t>
  </si>
  <si>
    <t>NSE</t>
  </si>
  <si>
    <t>C</t>
  </si>
  <si>
    <t>SELL</t>
  </si>
  <si>
    <t>Failed</t>
  </si>
  <si>
    <t>NSE:acc-EQ</t>
  </si>
  <si>
    <t>NSE:360ONE-EQ</t>
  </si>
  <si>
    <t>360ONE</t>
  </si>
  <si>
    <t>NSE:ADANIENSOL-EQ</t>
  </si>
  <si>
    <t>ADANIENSOL</t>
  </si>
  <si>
    <t>NSE:ADANIGREEN-EQ</t>
  </si>
  <si>
    <t>ADANIGREEN</t>
  </si>
  <si>
    <t>NSE:ADANIPOWER-EQ</t>
  </si>
  <si>
    <t>ADANIPOWER</t>
  </si>
  <si>
    <t>NSE:AMBER-EQ</t>
  </si>
  <si>
    <t>AMBER</t>
  </si>
  <si>
    <t>NSE:ANGELONE-EQ</t>
  </si>
  <si>
    <t>ANGELONE</t>
  </si>
  <si>
    <t>NSE:APLAPOLLO-EQ</t>
  </si>
  <si>
    <t>APLAPOLLO</t>
  </si>
  <si>
    <t>NSE:BAJAJHLDNG-EQ</t>
  </si>
  <si>
    <t>BAJAJHLDNG</t>
  </si>
  <si>
    <t>NSE:BANKINDIA-EQ</t>
  </si>
  <si>
    <t>BANKINDIA</t>
  </si>
  <si>
    <t>NSE:BDL-EQ</t>
  </si>
  <si>
    <t>BDL</t>
  </si>
  <si>
    <t>NSE:BLUESTARCO-EQ</t>
  </si>
  <si>
    <t>BLUESTARCO</t>
  </si>
  <si>
    <t>NSE:BSE-EQ</t>
  </si>
  <si>
    <t>BSE</t>
  </si>
  <si>
    <t>NSE:CAMS-EQ</t>
  </si>
  <si>
    <t>CAMS</t>
  </si>
  <si>
    <t>NSE:CDSL-EQ</t>
  </si>
  <si>
    <t>CDSL</t>
  </si>
  <si>
    <t>NSE:CGPOWER-EQ</t>
  </si>
  <si>
    <t>CGPOWER</t>
  </si>
  <si>
    <t>NSE:COCHINSHIP-EQ</t>
  </si>
  <si>
    <t>COCHINSHIP</t>
  </si>
  <si>
    <t>NSE:DELHIVERY-EQ</t>
  </si>
  <si>
    <t>DELHIVERY</t>
  </si>
  <si>
    <t>NSE:DMART-EQ</t>
  </si>
  <si>
    <t>DMART</t>
  </si>
  <si>
    <t>NSE:ETERNAL-EQ</t>
  </si>
  <si>
    <t>ETERNAL</t>
  </si>
  <si>
    <t>NSE:FORCEMOT-EQ</t>
  </si>
  <si>
    <t>FORCEMOT</t>
  </si>
  <si>
    <t>NSE:FORTIS-EQ</t>
  </si>
  <si>
    <t>FORTIS</t>
  </si>
  <si>
    <t>NSE:GMRAIRPORT-EQ</t>
  </si>
  <si>
    <t>GMRAIRPORT</t>
  </si>
  <si>
    <t>NSE:GODFRYPHLP-EQ</t>
  </si>
  <si>
    <t>GODFRYPHLP</t>
  </si>
  <si>
    <t>NSE:GVT&amp;D-EQ</t>
  </si>
  <si>
    <t>GVT&amp;D</t>
  </si>
  <si>
    <t>NSE:HINDZINC-EQ</t>
  </si>
  <si>
    <t>HINDZINC</t>
  </si>
  <si>
    <t>NSE:HYUNDAI-EQ</t>
  </si>
  <si>
    <t>HYUNDAI</t>
  </si>
  <si>
    <t>NSE:INDIANB-EQ</t>
  </si>
  <si>
    <t>INDIANB</t>
  </si>
  <si>
    <t>NSE:INOXWIND-EQ</t>
  </si>
  <si>
    <t>INOXWIND</t>
  </si>
  <si>
    <t>NSE:IREDA-EQ</t>
  </si>
  <si>
    <t>IREDA</t>
  </si>
  <si>
    <t>NSE:IRFC-EQ</t>
  </si>
  <si>
    <t>IRFC</t>
  </si>
  <si>
    <t>NSE:JIOFIN-EQ</t>
  </si>
  <si>
    <t>JIOFIN</t>
  </si>
  <si>
    <t>NSE:JSWENERGY-EQ</t>
  </si>
  <si>
    <t>JSWENERGY</t>
  </si>
  <si>
    <t>NSE:KALYANKJIL-EQ</t>
  </si>
  <si>
    <t>KALYANKJIL</t>
  </si>
  <si>
    <t>NSE:KAYNES-EQ</t>
  </si>
  <si>
    <t>KAYNES</t>
  </si>
  <si>
    <t>NSE:KEI-EQ</t>
  </si>
  <si>
    <t>KEI</t>
  </si>
  <si>
    <t>NSE:KFINTECH-EQ</t>
  </si>
  <si>
    <t>KFINTECH</t>
  </si>
  <si>
    <t>NSE:KPITTECH-EQ</t>
  </si>
  <si>
    <t>KPITTECH</t>
  </si>
  <si>
    <t>NSE:LICI-EQ</t>
  </si>
  <si>
    <t>LICI</t>
  </si>
  <si>
    <t>NSE:LODHA-EQ</t>
  </si>
  <si>
    <t>LODHA</t>
  </si>
  <si>
    <t>NSE:LTF-EQ</t>
  </si>
  <si>
    <t>LTF</t>
  </si>
  <si>
    <t>NSE:LTM-EQ</t>
  </si>
  <si>
    <t>LTM</t>
  </si>
  <si>
    <t>NSE:MANKIND-EQ</t>
  </si>
  <si>
    <t>MANKIND</t>
  </si>
  <si>
    <t>NSE:MAXHEALTH-EQ</t>
  </si>
  <si>
    <t>MAXHEALTH</t>
  </si>
  <si>
    <t>NSE:MAZDOCK-EQ</t>
  </si>
  <si>
    <t>MAZDOCK</t>
  </si>
  <si>
    <t>NSE:MOTILALOFS-EQ</t>
  </si>
  <si>
    <t>MOTILALOFS</t>
  </si>
  <si>
    <t>NSE:NAM-INDIA-EQ</t>
  </si>
  <si>
    <t>NAM-INDIA</t>
  </si>
  <si>
    <t>NSE:NBCC-EQ</t>
  </si>
  <si>
    <t>NBCC</t>
  </si>
  <si>
    <t>NSE:NHPC-EQ</t>
  </si>
  <si>
    <t>NHPC</t>
  </si>
  <si>
    <t>NSE:NUVAMA-EQ</t>
  </si>
  <si>
    <t>NUVAMA</t>
  </si>
  <si>
    <t>NSE:NYKAA-EQ</t>
  </si>
  <si>
    <t>NYKAA</t>
  </si>
  <si>
    <t>NSE:OIL-EQ</t>
  </si>
  <si>
    <t>OIL</t>
  </si>
  <si>
    <t>NSE:PATANJALI-EQ</t>
  </si>
  <si>
    <t>PATANJALI</t>
  </si>
  <si>
    <t>NSE:PAYTM-EQ</t>
  </si>
  <si>
    <t>PAYTM</t>
  </si>
  <si>
    <t>NSE:PGEL-EQ</t>
  </si>
  <si>
    <t>PGEL</t>
  </si>
  <si>
    <t>NSE:PHOENIXLTD-EQ</t>
  </si>
  <si>
    <t>PHOENIXLTD</t>
  </si>
  <si>
    <t>NSE:PNBHOUSING-EQ</t>
  </si>
  <si>
    <t>PNBHOUSING</t>
  </si>
  <si>
    <t>NSE:POLICYBZR-EQ</t>
  </si>
  <si>
    <t>POLICYBZR</t>
  </si>
  <si>
    <t>NSE:POWERINDIA-EQ</t>
  </si>
  <si>
    <t>POWERINDIA</t>
  </si>
  <si>
    <t>NSE:PREMIERENE-EQ</t>
  </si>
  <si>
    <t>PREMIERENE</t>
  </si>
  <si>
    <t>NSE:PRESTIGE-EQ</t>
  </si>
  <si>
    <t>PRESTIGE</t>
  </si>
  <si>
    <t>NSE:RADICO-EQ</t>
  </si>
  <si>
    <t>RADICO</t>
  </si>
  <si>
    <t>NSE:RVNL-EQ</t>
  </si>
  <si>
    <t>RVNL</t>
  </si>
  <si>
    <t>NSE:SAMMAANCAP-EQ</t>
  </si>
  <si>
    <t>SAMMAANCAP</t>
  </si>
  <si>
    <t>NSE:SOLARINDS-EQ</t>
  </si>
  <si>
    <t>SOLARINDS</t>
  </si>
  <si>
    <t>NSE:SONACOMS-EQ</t>
  </si>
  <si>
    <t>SONACOMS</t>
  </si>
  <si>
    <t>NSE:SUPREMEIND-EQ</t>
  </si>
  <si>
    <t>SUPREMEIND</t>
  </si>
  <si>
    <t>NSE:SUZLON-EQ</t>
  </si>
  <si>
    <t>SUZLON</t>
  </si>
  <si>
    <t>NSE:SWIGGY-EQ</t>
  </si>
  <si>
    <t>SWIGGY</t>
  </si>
  <si>
    <t>NSE:TATAELXSI-EQ</t>
  </si>
  <si>
    <t>TATAELXSI</t>
  </si>
  <si>
    <t>NSE:TIINDIA-EQ</t>
  </si>
  <si>
    <t>TIINDIA</t>
  </si>
  <si>
    <t>NSE:TMPV-EQ</t>
  </si>
  <si>
    <t>TMPV</t>
  </si>
  <si>
    <t>NSE:UNIONBANK-EQ</t>
  </si>
  <si>
    <t>UNIONBANK</t>
  </si>
  <si>
    <t>NSE:UNITDSPR-EQ</t>
  </si>
  <si>
    <t>UNITDSPR</t>
  </si>
  <si>
    <t>NSE:UNOMINDA-EQ</t>
  </si>
  <si>
    <t>UNOMINDA</t>
  </si>
  <si>
    <t>NSE:VBL-EQ</t>
  </si>
  <si>
    <t>VBL</t>
  </si>
  <si>
    <t>NSE:VMM-EQ</t>
  </si>
  <si>
    <t>VMM</t>
  </si>
  <si>
    <t>NSE:WAAREEENER-EQ</t>
  </si>
  <si>
    <t>WAAREEENER</t>
  </si>
  <si>
    <t>NSE:YESBANK-EQ</t>
  </si>
  <si>
    <t>YESBANK</t>
  </si>
  <si>
    <t>Column1.metadata.symbol</t>
  </si>
  <si>
    <t>finalPrice</t>
  </si>
  <si>
    <t>finalQuantity</t>
  </si>
  <si>
    <t>lastUpdateTime</t>
  </si>
  <si>
    <t>totalBuyQuantity</t>
  </si>
  <si>
    <t>totalSellQuantity</t>
  </si>
  <si>
    <t>B0F67FFB736EE680B747A8E49D4F5113~YAAQKofYF86Jw9ueAQAAW9maDQDaZ1mjlBXJR0KtWm+IlEyS3pAlw5djohfU3zO6vkptiMhV/vTd72ZSjaPK67pgtGJvg3V1r2NnuTDAyZEAtiYIjuRDYZWU2qz34tL/uZpchdbeB3PuJdcZnRE1FoIWtBHFjZTYYhgzy7GOLksOKaljCrQU3yZ6/HBPpuCGwvDea6mYFjbzU+Qzp4mg3oLSqJH8r5BLpEYweFJZ3lmj4CroB32PA/h7vlkglS97GE8=~1</t>
  </si>
  <si>
    <t>02062026</t>
  </si>
  <si>
    <t>29-Jun-2026 09:07:22</t>
  </si>
  <si>
    <t>29-Jun-2026 09:07:21</t>
  </si>
  <si>
    <t>29-Jun-2026 09:07:18</t>
  </si>
  <si>
    <t>29-Jun-2026 09:07:19</t>
  </si>
  <si>
    <t>29-Jun-2026 09:07:20</t>
  </si>
  <si>
    <t>29-Jun-2026 09:07:31</t>
  </si>
  <si>
    <t>29-Jun-2026 09:07:32</t>
  </si>
  <si>
    <t>ADV/DECL</t>
  </si>
  <si>
    <t>FH_SYMBOL</t>
  </si>
  <si>
    <t>FH_EXPIRY_DT</t>
  </si>
  <si>
    <t>FH_STRIKE_PRICE</t>
  </si>
  <si>
    <t>FH_OPTION_TYPE</t>
  </si>
  <si>
    <t>FH_TOT_TRADED_QTY</t>
  </si>
  <si>
    <t>contracts</t>
  </si>
  <si>
    <t>FH_TOT_TRADED_VAL</t>
  </si>
  <si>
    <t>CALCULATED_PREMIUM_VAL</t>
  </si>
  <si>
    <t>FH_OPEN_INT</t>
  </si>
  <si>
    <t>FH_CHANGE_IN_OI</t>
  </si>
  <si>
    <t>FH_MARKET_LOT</t>
  </si>
  <si>
    <t>CE</t>
  </si>
  <si>
    <t>FH_TIMESTAMP</t>
  </si>
  <si>
    <t>30-Jun-2026 09:08:08</t>
  </si>
  <si>
    <t>30-Jun-2026 09:08:06</t>
  </si>
  <si>
    <t>30-Jun-2026 09:08:07</t>
  </si>
  <si>
    <t>30-Jun-2026 09:07:57</t>
  </si>
  <si>
    <t>30-Jun-2026 09:07:56</t>
  </si>
  <si>
    <t>30-Jun-2026 09:08:09</t>
  </si>
  <si>
    <t>30-Jun-2026 09:08:10</t>
  </si>
  <si>
    <t>30-Jun-2026 09:07:59</t>
  </si>
  <si>
    <t>30-Jun-2026 09:08:05</t>
  </si>
  <si>
    <t>01-Jul-2026 09:07:29</t>
  </si>
  <si>
    <t>01-Jul-2026 09:07:30</t>
  </si>
  <si>
    <t>01-Jul-2026 09:07:31</t>
  </si>
  <si>
    <t>01-Jul-2026 09:07:32</t>
  </si>
  <si>
    <t>01-Jul-2026 09:07:43</t>
  </si>
  <si>
    <t>01-Jul-2026 09:07:42</t>
  </si>
  <si>
    <t>01-Jul-2026 09:07:41</t>
  </si>
  <si>
    <t>symbols</t>
  </si>
  <si>
    <t>strike</t>
  </si>
  <si>
    <t>expiry</t>
  </si>
  <si>
    <t>PE</t>
  </si>
  <si>
    <t>FH_OPTION_TYPE.1</t>
  </si>
  <si>
    <t>FH_TOT_TRADED_QTY.1</t>
  </si>
  <si>
    <t>contracts.1</t>
  </si>
  <si>
    <t>FH_TOT_TRADED_VAL.1</t>
  </si>
  <si>
    <t>FH_OPEN_INT.1</t>
  </si>
  <si>
    <t>FH_CHANGE_IN_OI.1</t>
  </si>
  <si>
    <t>CALCULATED_PREMIUM_VAL.1</t>
  </si>
  <si>
    <t>date</t>
  </si>
  <si>
    <t>02-Jul-2026 09:07:54</t>
  </si>
  <si>
    <t>02-Jul-2026 09:07:50</t>
  </si>
  <si>
    <t>02-Jul-2026 09:08:04</t>
  </si>
  <si>
    <t>02-Jul-2026 09:07:51</t>
  </si>
  <si>
    <t>02-Jul-2026 09:07:52</t>
  </si>
  <si>
    <t>02-Jul-2026 09:08:03</t>
  </si>
  <si>
    <t>02-Jul-2026 09:07:53</t>
  </si>
  <si>
    <t>02-Jul-2026 09:07:55</t>
  </si>
  <si>
    <t>to_date</t>
  </si>
  <si>
    <t>24-FEB-2022CE</t>
  </si>
  <si>
    <t>24-Feb-2022</t>
  </si>
  <si>
    <t>23-Feb-2022</t>
  </si>
  <si>
    <t>22-Feb-2022</t>
  </si>
  <si>
    <t>21-Feb-2022</t>
  </si>
  <si>
    <t>18-Feb-2022</t>
  </si>
  <si>
    <t>17-Feb-2022</t>
  </si>
  <si>
    <t>16-Feb-2022</t>
  </si>
  <si>
    <t>15-Feb-2022</t>
  </si>
  <si>
    <t>14-Feb-2022</t>
  </si>
  <si>
    <t>11-Feb-2022</t>
  </si>
  <si>
    <t>10-Feb-2022</t>
  </si>
  <si>
    <t>09-Feb-2022</t>
  </si>
  <si>
    <t>08-Feb-2022</t>
  </si>
  <si>
    <t>07-Feb-2022</t>
  </si>
  <si>
    <t>04-Feb-2022</t>
  </si>
  <si>
    <t>03-Feb-2022</t>
  </si>
  <si>
    <t>02-Feb-2022</t>
  </si>
  <si>
    <t>01-Feb-2022</t>
  </si>
  <si>
    <t>24-Feb-2026</t>
  </si>
  <si>
    <t>30-Mar-2026</t>
  </si>
  <si>
    <t>28-Apr-2026</t>
  </si>
  <si>
    <t>26-May-2026</t>
  </si>
  <si>
    <t>30-Jun-2026</t>
  </si>
  <si>
    <t>28-Jul-2026</t>
  </si>
  <si>
    <t>25-Aug-2026</t>
  </si>
  <si>
    <t>29-Sep-2026</t>
  </si>
  <si>
    <t>index_expiry</t>
  </si>
  <si>
    <t>26-Jun-2025</t>
  </si>
  <si>
    <t>03-Jul-2025</t>
  </si>
  <si>
    <t>10-Jul-2025</t>
  </si>
  <si>
    <t>17-Jul-2025</t>
  </si>
  <si>
    <t>24-Jul-2025</t>
  </si>
  <si>
    <t>31-Jul-2025</t>
  </si>
  <si>
    <t>07-Aug-2025</t>
  </si>
  <si>
    <t>14-Aug-2025</t>
  </si>
  <si>
    <t>stock_expiry</t>
  </si>
  <si>
    <t>03-Jul-2026 09:08:03</t>
  </si>
  <si>
    <t>03-Jul-2026 09:07:52</t>
  </si>
  <si>
    <t>03-Jul-2026 09:07:50</t>
  </si>
  <si>
    <t>03-Jul-2026 09:07:51</t>
  </si>
  <si>
    <t>03-Jul-2026 09:08:04</t>
  </si>
  <si>
    <t>03-Jul-2026 09:07:54</t>
  </si>
  <si>
    <t>03-Jul-2026 09:07:53</t>
  </si>
  <si>
    <t>trend</t>
  </si>
  <si>
    <t>upper</t>
  </si>
  <si>
    <t>lower</t>
  </si>
  <si>
    <t>atr</t>
  </si>
  <si>
    <t>trend_direction</t>
  </si>
  <si>
    <t>position</t>
  </si>
  <si>
    <t>signal</t>
  </si>
  <si>
    <t>UP</t>
  </si>
  <si>
    <t>Bullish</t>
  </si>
  <si>
    <t>HOLD</t>
  </si>
  <si>
    <t>Neutral</t>
  </si>
  <si>
    <t>Bearish</t>
  </si>
  <si>
    <t>out_sell</t>
  </si>
  <si>
    <t>out_buy</t>
  </si>
  <si>
    <t>STRONG BUY</t>
  </si>
  <si>
    <t>DOWN</t>
  </si>
  <si>
    <t>STRONG SELL</t>
  </si>
  <si>
    <t>NAM_INDIA</t>
  </si>
  <si>
    <t>GVT_D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</si>
</sst>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\.mm\.ss\ AM/PM"/>
    <numFmt numFmtId="165" formatCode="[$-14009]d/m/yy;@"/>
    <numFmt numFmtId="166" formatCode="[$-10409]h\.mm\.ss\ AM/PM;@"/>
    <numFmt numFmtId="167" formatCode="[$]dd/mm/yyyy;@" x16r2:formatCode16="[$-en-BS,1]dd/mm/yyyy;@"/>
  </numFmts>
  <fonts count="21" x14ac:knownFonts="1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sz val="11"/>
      <color rgb="FF212226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7030A0"/>
      <name val="Segoe UI"/>
      <family val="2"/>
    </font>
    <font>
      <sz val="11"/>
      <color rgb="FF7030A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 val="double"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Segoe UI"/>
      <family val="2"/>
    </font>
    <font>
      <b/>
      <u val="double"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19" fillId="10" borderId="0" applyNumberFormat="0" applyBorder="0" applyAlignment="0" applyProtection="0"/>
    <xf numFmtId="0" fontId="20" fillId="11" borderId="0" applyNumberFormat="0" applyBorder="0" applyAlignment="0" applyProtection="0"/>
  </cellStyleXfs>
  <cellXfs count="78">
    <xf numFmtId="0" fontId="0" fillId="0" borderId="0" xfId="0"/>
    <xf numFmtId="49" fontId="0" fillId="3" borderId="0" xfId="0" applyNumberFormat="1" applyFill="1"/>
    <xf numFmtId="1" fontId="0" fillId="4" borderId="0" xfId="0" applyNumberFormat="1" applyFill="1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2" fillId="0" borderId="0" xfId="0" applyFont="1"/>
    <xf numFmtId="0" fontId="4" fillId="0" borderId="0" xfId="0" applyFont="1"/>
    <xf numFmtId="0" fontId="6" fillId="0" borderId="0" xfId="1"/>
    <xf numFmtId="0" fontId="7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2" fontId="12" fillId="0" borderId="3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1" fontId="0" fillId="0" borderId="0" xfId="0" applyNumberFormat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2" fontId="8" fillId="8" borderId="0" xfId="0" applyNumberFormat="1" applyFont="1" applyFill="1" applyAlignment="1">
      <alignment horizontal="center" vertical="center"/>
    </xf>
    <xf numFmtId="2" fontId="10" fillId="8" borderId="0" xfId="0" applyNumberFormat="1" applyFont="1" applyFill="1" applyAlignment="1">
      <alignment horizontal="center" vertical="center"/>
    </xf>
    <xf numFmtId="14" fontId="10" fillId="8" borderId="0" xfId="0" applyNumberFormat="1" applyFont="1" applyFill="1" applyAlignment="1">
      <alignment horizontal="center" vertical="center"/>
    </xf>
    <xf numFmtId="1" fontId="10" fillId="8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7" fillId="9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/>
    </xf>
    <xf numFmtId="0" fontId="0" fillId="0" borderId="3" xfId="0" applyBorder="1" applyAlignment="1">
      <alignment horizontal="left"/>
    </xf>
    <xf numFmtId="0" fontId="8" fillId="9" borderId="0" xfId="0" applyFont="1" applyFill="1" applyAlignment="1">
      <alignment horizontal="center" vertical="center"/>
    </xf>
    <xf numFmtId="0" fontId="14" fillId="6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49" fontId="15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5" fontId="8" fillId="8" borderId="0" xfId="0" applyNumberFormat="1" applyFont="1" applyFill="1" applyAlignment="1">
      <alignment horizontal="center" vertical="center"/>
    </xf>
    <xf numFmtId="0" fontId="13" fillId="9" borderId="2" xfId="0" applyFont="1" applyFill="1" applyBorder="1" applyAlignment="1">
      <alignment horizontal="center" vertical="center" wrapText="1"/>
    </xf>
    <xf numFmtId="0" fontId="13" fillId="8" borderId="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3" xfId="0" applyFont="1" applyFill="1" applyBorder="1" applyAlignment="1">
      <alignment horizontal="center" vertical="center" wrapText="1"/>
    </xf>
    <xf numFmtId="10" fontId="16" fillId="5" borderId="0" xfId="0" applyNumberFormat="1" applyFont="1" applyFill="1" applyAlignment="1">
      <alignment horizontal="center" vertical="center" wrapText="1"/>
    </xf>
    <xf numFmtId="0" fontId="0" fillId="9" borderId="3" xfId="0" applyFill="1" applyBorder="1" applyAlignment="1">
      <alignment horizontal="left"/>
    </xf>
    <xf numFmtId="0" fontId="17" fillId="9" borderId="2" xfId="0" applyFont="1" applyFill="1" applyBorder="1" applyAlignment="1">
      <alignment horizontal="center" vertical="center" wrapText="1"/>
    </xf>
    <xf numFmtId="10" fontId="11" fillId="5" borderId="3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165" fontId="10" fillId="8" borderId="0" xfId="0" applyNumberFormat="1" applyFont="1" applyFill="1" applyAlignment="1">
      <alignment horizontal="center" vertical="center"/>
    </xf>
    <xf numFmtId="22" fontId="0" fillId="0" borderId="0" xfId="0" applyNumberFormat="1"/>
    <xf numFmtId="2" fontId="14" fillId="6" borderId="2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18" fillId="0" borderId="0" xfId="0" applyNumberFormat="1" applyFont="1"/>
    <xf numFmtId="49" fontId="18" fillId="0" borderId="0" xfId="0" applyNumberFormat="1" applyFont="1"/>
    <xf numFmtId="0" fontId="18" fillId="0" borderId="0" xfId="0" applyFont="1"/>
    <xf numFmtId="2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15" fontId="0" fillId="0" borderId="0" xfId="0" applyNumberFormat="1"/>
    <xf numFmtId="0" fontId="19" fillId="10" borderId="4" xfId="2" applyBorder="1" applyAlignment="1">
      <alignment horizontal="center" vertical="center"/>
    </xf>
    <xf numFmtId="0" fontId="20" fillId="11" borderId="0" xfId="3" applyAlignment="1">
      <alignment horizontal="center" vertical="center"/>
    </xf>
    <xf numFmtId="0" fontId="19" fillId="10" borderId="0" xfId="2" applyAlignment="1">
      <alignment horizontal="center" vertical="center"/>
    </xf>
    <xf numFmtId="0" fontId="19" fillId="10" borderId="0" xfId="2"/>
    <xf numFmtId="0" fontId="20" fillId="11" borderId="0" xfId="3"/>
    <xf numFmtId="167" fontId="0" fillId="0" borderId="0" xfId="0" applyNumberFormat="1"/>
    <xf numFmtId="14" fontId="0" fillId="0" borderId="0" xfId="0" applyNumberFormat="1"/>
    <xf numFmtId="0" fontId="1" fillId="2" borderId="0" xfId="0" applyFont="1" applyFill="1" applyAlignment="1">
      <alignment horizontal="center"/>
    </xf>
  </cellXfs>
  <cellStyles count="4">
    <cellStyle name="Bad" xfId="3" builtinId="27"/>
    <cellStyle name="Good" xfId="2" builtinId="26"/>
    <cellStyle name="Hyperlink" xfId="1" builtinId="8"/>
    <cellStyle name="Normal" xfId="0" builtinId="0"/>
  </cellStyles>
  <dxfs count="3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</dxf>
    <dxf>
      <numFmt numFmtId="167" formatCode="[$]dd/mm/yyyy;@" x16r2:formatCode16="[$-en-BS,1]dd/mm/yyyy;@"/>
    </dxf>
    <dxf>
      <numFmt numFmtId="167" formatCode="[$]dd/mm/yyyy;@" x16r2:formatCode16="[$-en-BS,1]dd/mm/yyyy;@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0" formatCode="dd\-mmm\-yy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A4C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adjustColumnWidth="0" connectionId="10" xr16:uid="{2D3013D5-DB11-4302-98DE-FFBCCE55F14F}" autoFormatId="16" applyNumberFormats="0" applyBorderFormats="0" applyFontFormats="0" applyPatternFormats="0" applyAlignmentFormats="0" applyWidthHeightFormats="0">
  <queryTableRefresh nextId="10">
    <queryTableFields count="8">
      <queryTableField id="7" name="SYMBOL_fno" tableColumnId="7"/>
      <queryTableField id="1" name="SYMBOL _x000a_" tableColumnId="1"/>
      <queryTableField id="2" name="CLOSE" tableColumnId="2"/>
      <queryTableField id="3" name="%" tableColumnId="3"/>
      <queryTableField id="4" name="RANGE" tableColumnId="4"/>
      <queryTableField id="5" name="input_loss" tableColumnId="5"/>
      <queryTableField id="6" name="QTY-INPUT-LOSS" tableColumnId="6"/>
      <queryTableField id="9" name="mone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adjustColumnWidth="0" connectionId="13" xr16:uid="{70554D16-A015-4740-97EA-D433770D3F7B}" autoFormatId="16" applyNumberFormats="0" applyBorderFormats="0" applyFontFormats="0" applyPatternFormats="0" applyAlignmentFormats="0" applyWidthHeightFormats="0">
  <queryTableRefresh nextId="40">
    <queryTableFields count="19">
      <queryTableField id="1" name="FH_SYMBOL" tableColumnId="1"/>
      <queryTableField id="2" name="FH_EXPIRY_DT" tableColumnId="2"/>
      <queryTableField id="5" name="FH_TIMESTAMP" tableColumnId="5"/>
      <queryTableField id="3" name="FH_STRIKE_PRICE" tableColumnId="3"/>
      <queryTableField id="6" name="FH_TOT_TRADED_QTY" tableColumnId="6"/>
      <queryTableField id="7" name="FH_TOT_TRADED_VAL" tableColumnId="7"/>
      <queryTableField id="9" name="FH_OPEN_INT" tableColumnId="9"/>
      <queryTableField id="10" name="FH_CHANGE_IN_OI" tableColumnId="10"/>
      <queryTableField id="12" name="contracts" tableColumnId="12"/>
      <queryTableField id="8" name="CALCULATED_PREMIUM_VAL" tableColumnId="8"/>
      <queryTableField id="4" name="FH_OPTION_TYPE" tableColumnId="4"/>
      <queryTableField id="13" name="FH_OPTION_TYPE.1" tableColumnId="13"/>
      <queryTableField id="14" name="contracts.1" tableColumnId="14"/>
      <queryTableField id="20" name="CALCULATED_PREMIUM_VAL.1" tableColumnId="19"/>
      <queryTableField id="15" name="FH_TOT_TRADED_QTY.1" tableColumnId="15"/>
      <queryTableField id="16" name="FH_TOT_TRADED_VAL.1" tableColumnId="16"/>
      <queryTableField id="17" name="FH_OPEN_INT.1" tableColumnId="17"/>
      <queryTableField id="18" name="FH_CHANGE_IN_OI.1" tableColumnId="18"/>
      <queryTableField id="11" name="FH_MARKET_LOT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5" xr16:uid="{9F3B4197-F068-4215-A25A-69937AE62055}" autoFormatId="16" applyNumberFormats="0" applyBorderFormats="0" applyFontFormats="0" applyPatternFormats="0" applyAlignmentFormats="0" applyWidthHeightFormats="0">
  <queryTableRefresh nextId="3">
    <queryTableFields count="1">
      <queryTableField id="2" name="stock_expir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1" xr16:uid="{22903421-AE2A-4C58-A8E8-82FBB26E4D15}" autoFormatId="16" applyNumberFormats="0" applyBorderFormats="0" applyFontFormats="0" applyPatternFormats="0" applyAlignmentFormats="0" applyWidthHeightFormats="0">
  <queryTableRefresh nextId="2">
    <queryTableFields count="1">
      <queryTableField id="1" name="index_expiry" tableColumnId="1"/>
    </queryTableFields>
  </queryTableRefresh>
  <extLst>
    <ext xmlns:x15="http://schemas.microsoft.com/office/spreadsheetml/2010/11/main" uri="{883FBD77-0823-4a55-B5E3-86C4891E6966}">
      <x15:queryTable sourceDataName="Query - index_date_expiry_hist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14" xr16:uid="{2688FB05-98EB-4028-93DA-0D0DA8D10AF3}" autoFormatId="16" applyNumberFormats="0" applyBorderFormats="0" applyFontFormats="0" applyPatternFormats="0" applyAlignmentFormats="0" applyWidthHeightFormats="0">
  <queryTableRefresh nextId="8">
    <queryTableFields count="7">
      <queryTableField id="1" name="Column1.metadata.symbol" tableColumnId="1"/>
      <queryTableField id="2" name="finalPrice" tableColumnId="2"/>
      <queryTableField id="3" name="finalQuantity" tableColumnId="3"/>
      <queryTableField id="4" name="lastUpdateTime" tableColumnId="4"/>
      <queryTableField id="5" name="totalBuyQuantity" tableColumnId="5"/>
      <queryTableField id="6" name="totalSellQuantity" tableColumnId="6"/>
      <queryTableField id="7" name="ADV/DECL" tableColumnId="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A50F5E-B241-4C3C-B77C-3E7C1E51477F}" name="Table2449" displayName="Table2449" ref="C1:C2" totalsRowShown="0">
  <tableColumns count="1">
    <tableColumn id="1" xr3:uid="{5F48E3C2-B65A-44DF-93EA-AD4FDF564783}" name="cooki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C8496E-63A2-484A-BC2D-07C2FEEB71B9}" name="Table20" displayName="Table20" ref="J1:J2" totalsRowShown="0" headerRowDxfId="34" dataDxfId="33">
  <autoFilter ref="J1:J2" xr:uid="{ECC8496E-63A2-484A-BC2D-07C2FEEB71B9}"/>
  <tableColumns count="1">
    <tableColumn id="1" xr3:uid="{3FF91F8C-18C3-45AF-B627-EED48189A91B}" name="VOLATILTYDATE" dataDxfId="32"/>
  </tableColumns>
  <tableStyleInfo name="TableStyleMedium2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22E82E-F51B-4010-AA79-D3A4A3544C38}" name="feroz" displayName="feroz" ref="L1:L2" totalsRowShown="0" headerRowDxfId="31" dataDxfId="30">
  <autoFilter ref="L1:L2" xr:uid="{DB22E82E-F51B-4010-AA79-D3A4A3544C38}"/>
  <tableColumns count="1">
    <tableColumn id="1" xr3:uid="{8A26BC57-0192-49A5-80BF-AD66B38C3CD3}" name="input_sl" dataDxfId="29"/>
  </tableColumns>
  <tableStyleInfo name="TableStyleMedium2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35A8FC-9E0C-4F96-A479-59814B1A1DEC}" name="fno_sym_match_csv" displayName="fno_sym_match_csv" ref="A1:H212" tableType="queryTable" totalsRowShown="0" headerRowDxfId="28" dataDxfId="27">
  <autoFilter ref="A1:H212" xr:uid="{DB35A8FC-9E0C-4F96-A479-59814B1A1DEC}"/>
  <tableColumns count="8">
    <tableColumn id="7" xr3:uid="{A448527B-F22A-4796-B427-E2F419D98E6F}" uniqueName="7" name="SYMBOL_fno" queryTableFieldId="7" dataDxfId="26"/>
    <tableColumn id="1" xr3:uid="{1888F727-412C-4099-B323-59D2DA0947D9}" uniqueName="1" name="SYMBOL _x000a_" queryTableFieldId="1" dataDxfId="25"/>
    <tableColumn id="2" xr3:uid="{D3555F17-A6F6-4902-8B6A-AE83E88FA428}" uniqueName="2" name="CLOSE" queryTableFieldId="2" dataDxfId="24"/>
    <tableColumn id="3" xr3:uid="{7170C460-A848-4F67-B45E-BB2B47BEA268}" uniqueName="3" name="%" queryTableFieldId="3" dataDxfId="23"/>
    <tableColumn id="4" xr3:uid="{51E8D2EE-8AB0-45D9-9586-1EDA809D6C0C}" uniqueName="4" name="RANGE" queryTableFieldId="4" dataDxfId="22"/>
    <tableColumn id="5" xr3:uid="{9D97D088-2CD8-4B3B-A3FF-1BCE058C1888}" uniqueName="5" name="input_loss" queryTableFieldId="5" dataDxfId="21"/>
    <tableColumn id="6" xr3:uid="{17EC2CC6-1492-4908-BD69-AECD1769889D}" uniqueName="6" name="QTY-INPUT-LOSS" queryTableFieldId="6" dataDxfId="20"/>
    <tableColumn id="8" xr3:uid="{57034D7A-0167-44AC-9A4E-AC155BFAC6D0}" uniqueName="8" name="money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EA876D-A1BF-41B5-85E5-186B0B605D03}" name="symbols" displayName="symbols" ref="A1:A2" totalsRowShown="0">
  <autoFilter ref="A1:A2" xr:uid="{B911CD0C-1996-44DC-8DBF-5F1B417D74CE}"/>
  <tableColumns count="1">
    <tableColumn id="1" xr3:uid="{9BAB063B-6EFA-49E2-A4C6-750903024487}" name="symbol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D85AC1D-5B61-4DBB-8231-76F563B02EB0}" name="strike" displayName="strike" ref="C1:C2" totalsRowShown="0">
  <autoFilter ref="C1:C2" xr:uid="{C05F6915-54F5-4BB6-BDAF-31D78C62D4AC}"/>
  <tableColumns count="1">
    <tableColumn id="1" xr3:uid="{078BFFDA-54F7-4DB4-A0EB-2FA99DA9A32A}" name="strik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BFEE8C-0BAD-4B80-8BF6-02B5BE999266}" name="expiry" displayName="expiry" ref="E1:E2" totalsRowShown="0">
  <autoFilter ref="E1:E2" xr:uid="{F3266AED-DDE4-4316-8CD1-E9C7E94BE471}"/>
  <tableColumns count="1">
    <tableColumn id="1" xr3:uid="{97AD37F7-3414-4530-B363-5678BC8A1BED}" name="expiry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23C4F4-9C21-48A1-91F4-E142D37949D4}" name="Merge_contract_hist" displayName="Merge_contract_hist" ref="A11:S29" tableType="queryTable" totalsRowShown="0">
  <autoFilter ref="A11:S29" xr:uid="{F87C3968-95D3-4529-BBF0-E9C66BD85C91}"/>
  <tableColumns count="19">
    <tableColumn id="1" xr3:uid="{F1D6B5C2-8179-4081-BD4D-3BBA88C9D933}" uniqueName="1" name="FH_SYMBOL" queryTableFieldId="1" dataDxfId="18"/>
    <tableColumn id="2" xr3:uid="{FFB80249-2C76-4D95-BA17-ABE77D2E9C72}" uniqueName="2" name="FH_EXPIRY_DT" queryTableFieldId="2" dataDxfId="17"/>
    <tableColumn id="5" xr3:uid="{5E905742-A8F1-4FBB-96B8-BF06A27526C8}" uniqueName="5" name="FH_TIMESTAMP" queryTableFieldId="5" dataDxfId="16"/>
    <tableColumn id="3" xr3:uid="{946DF60E-4DF3-4CAE-8F54-5204A4BF0908}" uniqueName="3" name="FH_STRIKE_PRICE" queryTableFieldId="3" dataDxfId="15"/>
    <tableColumn id="6" xr3:uid="{549E2429-C174-4145-9694-0985734DA538}" uniqueName="6" name="FH_TOT_TRADED_QTY" queryTableFieldId="6"/>
    <tableColumn id="7" xr3:uid="{7CB01A7D-03AB-4C94-B0BC-C4B4B19240CE}" uniqueName="7" name="FH_TOT_TRADED_VAL" queryTableFieldId="7"/>
    <tableColumn id="9" xr3:uid="{7FB7AD21-86B2-4E66-9D10-99239721F1E2}" uniqueName="9" name="FH_OPEN_INT" queryTableFieldId="9"/>
    <tableColumn id="10" xr3:uid="{0E47527C-39C5-4B0F-BB58-1F77D0214DC3}" uniqueName="10" name="FH_CHANGE_IN_OI" queryTableFieldId="10"/>
    <tableColumn id="12" xr3:uid="{399EE416-BDFF-4F6B-ABB2-22E5A15689A5}" uniqueName="12" name="contracts" queryTableFieldId="12" dataDxfId="14" dataCellStyle="Good"/>
    <tableColumn id="8" xr3:uid="{C8708E09-FAE6-4BF5-A7C4-1D90B1E6A20F}" uniqueName="8" name="CALCULATED_PREMIUM_VAL" queryTableFieldId="8" dataCellStyle="Good"/>
    <tableColumn id="4" xr3:uid="{18E0AD47-D370-44C3-9B9E-B8409988026D}" uniqueName="4" name="FH_OPTION_TYPE" queryTableFieldId="4" dataDxfId="13"/>
    <tableColumn id="13" xr3:uid="{9F861F65-AB1F-46B8-B7F8-DCD4A9488FC5}" uniqueName="13" name="FH_OPTION_TYPE.1" queryTableFieldId="13" dataDxfId="12"/>
    <tableColumn id="14" xr3:uid="{DFC07067-8172-4CD7-A956-7EF503EF7840}" uniqueName="14" name="contracts.1" queryTableFieldId="14" dataDxfId="11" dataCellStyle="Bad"/>
    <tableColumn id="19" xr3:uid="{88F10760-A33A-4472-8527-17C4306F85B1}" uniqueName="19" name="CALCULATED_PREMIUM_VAL.1" queryTableFieldId="20" dataCellStyle="Bad"/>
    <tableColumn id="15" xr3:uid="{50DBD690-B7C2-4525-B398-97081350DA1B}" uniqueName="15" name="FH_TOT_TRADED_QTY.1" queryTableFieldId="15"/>
    <tableColumn id="16" xr3:uid="{D91E9112-4452-4966-AE32-9443E75DB82C}" uniqueName="16" name="FH_TOT_TRADED_VAL.1" queryTableFieldId="16"/>
    <tableColumn id="17" xr3:uid="{8B9BDB82-68B5-4A3C-A51E-496F97A9F920}" uniqueName="17" name="FH_OPEN_INT.1" queryTableFieldId="17"/>
    <tableColumn id="18" xr3:uid="{5286F118-3C79-44FD-AD7A-C6C062AAAD81}" uniqueName="18" name="FH_CHANGE_IN_OI.1" queryTableFieldId="18"/>
    <tableColumn id="11" xr3:uid="{20265566-FB8C-4FEE-AD6C-82E82760229C}" uniqueName="11" name="FH_MARKET_LOT" queryTableFieldId="1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A0031C-9F4C-4A64-A56D-2073684D92F8}" name="date_from" displayName="date_from" ref="G1:G2" totalsRowShown="0" dataDxfId="10">
  <autoFilter ref="G1:G2" xr:uid="{383F54C3-7D97-4EC8-B45D-006B25096992}"/>
  <tableColumns count="1">
    <tableColumn id="1" xr3:uid="{6D5DEA23-42C1-4ACC-B7BA-FDACE47D5DB1}" name="dat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B65CEC-5CA5-4F44-B67D-1B7ED077CA53}" name="Table6" displayName="Table6" ref="I1:I2" totalsRowShown="0">
  <autoFilter ref="I1:I2" xr:uid="{D4A6CA67-F9C8-4049-8F4F-72DE47513F13}"/>
  <tableColumns count="1">
    <tableColumn id="1" xr3:uid="{4E9FBBDA-4230-466B-B581-6475BD27AC4C}" name="to_date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092DB7-A248-4A39-A102-ACC4245E2682}" name="stocks_date_expiry_hist" displayName="stocks_date_expiry_hist" ref="U1:U9" tableType="queryTable" totalsRowShown="0">
  <autoFilter ref="U1:U9" xr:uid="{1E8DA6F1-99E0-4C41-AEAE-683F4A1DF733}"/>
  <tableColumns count="1">
    <tableColumn id="2" xr3:uid="{A522FB50-8387-40EC-B313-B7A3D5A95E93}" uniqueName="2" name="stock_expiry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15540B-8369-43FB-A0F0-0BC06A11B018}" name="index_date_expiry_hist" displayName="index_date_expiry_hist" ref="W1:W9" tableType="queryTable" totalsRowShown="0">
  <autoFilter ref="W1:W9" xr:uid="{D166507A-6921-446A-AA33-96BDF3CB1673}"/>
  <tableColumns count="1">
    <tableColumn id="1" xr3:uid="{790D07AC-823A-4C5B-A533-42FFBCE96F78}" uniqueName="1" name="index_expiry" queryTableField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33F707-8764-464D-B5BB-670F683C45A3}" name="preopen" displayName="preopen" ref="A1:G211" tableType="queryTable" totalsRowShown="0" headerRowDxfId="7" dataDxfId="6">
  <autoFilter ref="A1:G211" xr:uid="{7C4CB722-28E5-4E81-9D79-5C00A95016C2}"/>
  <tableColumns count="7">
    <tableColumn id="1" xr3:uid="{ED580D44-3616-446F-8E25-4BEBE716EE62}" uniqueName="1" name="Column1.metadata.symbol" queryTableFieldId="1" dataDxfId="5"/>
    <tableColumn id="2" xr3:uid="{D11B1334-BCD7-4983-B817-0E1DDE546AA2}" uniqueName="2" name="finalPrice" queryTableFieldId="2" dataDxfId="4"/>
    <tableColumn id="3" xr3:uid="{DCE8D052-993E-474F-9AF3-A0177FB2108C}" uniqueName="3" name="finalQuantity" queryTableFieldId="3" dataDxfId="3"/>
    <tableColumn id="4" xr3:uid="{0DF1E5EF-99F9-4532-9B6F-46F7B0D667CC}" uniqueName="4" name="lastUpdateTime" queryTableFieldId="4" dataDxfId="2"/>
    <tableColumn id="5" xr3:uid="{FB0F2F45-883D-4922-8B4B-914B95D3616B}" uniqueName="5" name="totalBuyQuantity" queryTableFieldId="5" dataDxfId="1"/>
    <tableColumn id="6" xr3:uid="{C342D347-F558-4844-B3F8-48C71A9AA8DA}" uniqueName="6" name="totalSellQuantity" queryTableFieldId="6" dataDxfId="0"/>
    <tableColumn id="7" xr3:uid="{DD97AAAF-7E6F-4E1F-8DE8-B1460F4DF4C1}" uniqueName="7" name="ADV/DECL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B7FF3-77DD-45AF-8EF4-65722336DB93}">
  <sheetPr codeName="Sheet1">
    <tabColor rgb="FFFF0000"/>
  </sheetPr>
  <dimension ref="A1:C1990"/>
  <sheetViews>
    <sheetView workbookViewId="0">
      <selection activeCell="F12" sqref="F12"/>
    </sheetView>
  </sheetViews>
  <sheetFormatPr defaultRowHeight="14.4" x14ac:dyDescent="0.3"/>
  <cols>
    <col min="1" max="1" width="11.88671875" style="20" customWidth="1"/>
    <col min="2" max="2" width="11.44140625" style="20" customWidth="1"/>
    <col min="3" max="3" width="15.109375" bestFit="1" customWidth="1"/>
  </cols>
  <sheetData>
    <row r="1" spans="1:3" x14ac:dyDescent="0.3">
      <c r="A1" s="16"/>
      <c r="B1" s="17"/>
      <c r="C1" s="14" t="s">
        <v>0</v>
      </c>
    </row>
    <row r="2" spans="1:3" x14ac:dyDescent="0.3">
      <c r="A2" s="16"/>
      <c r="B2" s="17" t="s">
        <v>1</v>
      </c>
      <c r="C2" s="18" t="s">
        <v>1001</v>
      </c>
    </row>
    <row r="3" spans="1:3" x14ac:dyDescent="0.3">
      <c r="A3" s="5"/>
      <c r="B3"/>
    </row>
    <row r="4" spans="1:3" x14ac:dyDescent="0.3">
      <c r="A4" s="5"/>
      <c r="B4"/>
    </row>
    <row r="5" spans="1:3" x14ac:dyDescent="0.3">
      <c r="A5" s="5"/>
      <c r="B5"/>
    </row>
    <row r="6" spans="1:3" x14ac:dyDescent="0.3">
      <c r="A6" s="5"/>
      <c r="B6"/>
    </row>
    <row r="7" spans="1:3" x14ac:dyDescent="0.3">
      <c r="A7" s="5"/>
      <c r="B7"/>
    </row>
    <row r="8" spans="1:3" x14ac:dyDescent="0.3">
      <c r="A8" s="5"/>
      <c r="B8"/>
    </row>
    <row r="9" spans="1:3" x14ac:dyDescent="0.3">
      <c r="A9" s="5"/>
      <c r="B9"/>
    </row>
    <row r="10" spans="1:3" x14ac:dyDescent="0.3">
      <c r="A10" s="5"/>
      <c r="B10"/>
    </row>
    <row r="11" spans="1:3" x14ac:dyDescent="0.3">
      <c r="A11" s="5"/>
      <c r="B11"/>
    </row>
    <row r="12" spans="1:3" x14ac:dyDescent="0.3">
      <c r="A12" s="5"/>
      <c r="B12"/>
    </row>
    <row r="13" spans="1:3" x14ac:dyDescent="0.3">
      <c r="A13" s="5"/>
      <c r="B13"/>
    </row>
    <row r="14" spans="1:3" x14ac:dyDescent="0.3">
      <c r="A14" s="5"/>
      <c r="B14"/>
    </row>
    <row r="15" spans="1:3" x14ac:dyDescent="0.3">
      <c r="A15" s="5"/>
      <c r="B15"/>
    </row>
    <row r="16" spans="1:3" x14ac:dyDescent="0.3">
      <c r="A16" s="5"/>
      <c r="B16"/>
    </row>
    <row r="17" spans="1:2" x14ac:dyDescent="0.3">
      <c r="A17" s="5"/>
      <c r="B17"/>
    </row>
    <row r="18" spans="1:2" x14ac:dyDescent="0.3">
      <c r="A18" s="5"/>
      <c r="B18"/>
    </row>
    <row r="19" spans="1:2" x14ac:dyDescent="0.3">
      <c r="A19" s="5"/>
      <c r="B19"/>
    </row>
    <row r="20" spans="1:2" x14ac:dyDescent="0.3">
      <c r="A20" s="5"/>
      <c r="B20"/>
    </row>
    <row r="21" spans="1:2" x14ac:dyDescent="0.3">
      <c r="A21" s="5"/>
      <c r="B21"/>
    </row>
    <row r="22" spans="1:2" x14ac:dyDescent="0.3">
      <c r="A22" s="5"/>
      <c r="B22"/>
    </row>
    <row r="23" spans="1:2" x14ac:dyDescent="0.3">
      <c r="A23" s="5"/>
      <c r="B23"/>
    </row>
    <row r="24" spans="1:2" x14ac:dyDescent="0.3">
      <c r="A24" s="5"/>
      <c r="B24"/>
    </row>
    <row r="25" spans="1:2" x14ac:dyDescent="0.3">
      <c r="A25" s="5"/>
      <c r="B25"/>
    </row>
    <row r="26" spans="1:2" x14ac:dyDescent="0.3">
      <c r="A26" s="5"/>
      <c r="B26"/>
    </row>
    <row r="27" spans="1:2" x14ac:dyDescent="0.3">
      <c r="A27" s="5"/>
      <c r="B27"/>
    </row>
    <row r="28" spans="1:2" x14ac:dyDescent="0.3">
      <c r="A28" s="5"/>
      <c r="B28"/>
    </row>
    <row r="29" spans="1:2" x14ac:dyDescent="0.3">
      <c r="A29" s="5"/>
      <c r="B29"/>
    </row>
    <row r="30" spans="1:2" x14ac:dyDescent="0.3">
      <c r="A30" s="5"/>
      <c r="B30"/>
    </row>
    <row r="31" spans="1:2" x14ac:dyDescent="0.3">
      <c r="A31" s="5"/>
      <c r="B31"/>
    </row>
    <row r="32" spans="1:2" x14ac:dyDescent="0.3">
      <c r="A32" s="5"/>
      <c r="B32"/>
    </row>
    <row r="33" spans="1:2" x14ac:dyDescent="0.3">
      <c r="A33" s="5"/>
      <c r="B33"/>
    </row>
    <row r="34" spans="1:2" x14ac:dyDescent="0.3">
      <c r="A34" s="5"/>
      <c r="B34"/>
    </row>
    <row r="35" spans="1:2" x14ac:dyDescent="0.3">
      <c r="A35" s="5"/>
      <c r="B35"/>
    </row>
    <row r="36" spans="1:2" x14ac:dyDescent="0.3">
      <c r="A36" s="5"/>
      <c r="B36"/>
    </row>
    <row r="37" spans="1:2" x14ac:dyDescent="0.3">
      <c r="A37" s="5"/>
      <c r="B37"/>
    </row>
    <row r="38" spans="1:2" x14ac:dyDescent="0.3">
      <c r="A38" s="5"/>
      <c r="B38"/>
    </row>
    <row r="39" spans="1:2" x14ac:dyDescent="0.3">
      <c r="A39" s="5"/>
      <c r="B39"/>
    </row>
    <row r="40" spans="1:2" x14ac:dyDescent="0.3">
      <c r="A40" s="5"/>
      <c r="B40"/>
    </row>
    <row r="41" spans="1:2" x14ac:dyDescent="0.3">
      <c r="A41" s="5"/>
      <c r="B41"/>
    </row>
    <row r="42" spans="1:2" x14ac:dyDescent="0.3">
      <c r="A42" s="5"/>
      <c r="B42"/>
    </row>
    <row r="43" spans="1:2" x14ac:dyDescent="0.3">
      <c r="A43" s="5"/>
      <c r="B43"/>
    </row>
    <row r="44" spans="1:2" x14ac:dyDescent="0.3">
      <c r="A44" s="5"/>
      <c r="B44"/>
    </row>
    <row r="45" spans="1:2" x14ac:dyDescent="0.3">
      <c r="A45" s="5"/>
      <c r="B45"/>
    </row>
    <row r="46" spans="1:2" x14ac:dyDescent="0.3">
      <c r="A46" s="5"/>
      <c r="B46"/>
    </row>
    <row r="47" spans="1:2" x14ac:dyDescent="0.3">
      <c r="A47" s="5"/>
      <c r="B47"/>
    </row>
    <row r="48" spans="1:2" x14ac:dyDescent="0.3">
      <c r="A48" s="5"/>
      <c r="B48"/>
    </row>
    <row r="49" spans="1:2" x14ac:dyDescent="0.3">
      <c r="A49" s="5"/>
      <c r="B49"/>
    </row>
    <row r="50" spans="1:2" x14ac:dyDescent="0.3">
      <c r="A50" s="5"/>
      <c r="B50"/>
    </row>
    <row r="51" spans="1:2" x14ac:dyDescent="0.3">
      <c r="A51" s="5"/>
      <c r="B51"/>
    </row>
    <row r="52" spans="1:2" x14ac:dyDescent="0.3">
      <c r="A52" s="5"/>
      <c r="B52"/>
    </row>
    <row r="53" spans="1:2" x14ac:dyDescent="0.3">
      <c r="A53" s="5"/>
      <c r="B53"/>
    </row>
    <row r="54" spans="1:2" x14ac:dyDescent="0.3">
      <c r="A54" s="5"/>
      <c r="B54"/>
    </row>
    <row r="55" spans="1:2" x14ac:dyDescent="0.3">
      <c r="A55" s="5"/>
      <c r="B55"/>
    </row>
    <row r="56" spans="1:2" x14ac:dyDescent="0.3">
      <c r="A56" s="5"/>
      <c r="B56"/>
    </row>
    <row r="57" spans="1:2" x14ac:dyDescent="0.3">
      <c r="A57" s="5"/>
      <c r="B57"/>
    </row>
    <row r="58" spans="1:2" x14ac:dyDescent="0.3">
      <c r="A58" s="5"/>
      <c r="B58"/>
    </row>
    <row r="59" spans="1:2" x14ac:dyDescent="0.3">
      <c r="A59" s="5"/>
      <c r="B59"/>
    </row>
    <row r="60" spans="1:2" x14ac:dyDescent="0.3">
      <c r="A60" s="5"/>
      <c r="B60"/>
    </row>
    <row r="61" spans="1:2" x14ac:dyDescent="0.3">
      <c r="A61" s="5"/>
      <c r="B61"/>
    </row>
    <row r="62" spans="1:2" x14ac:dyDescent="0.3">
      <c r="A62" s="5"/>
      <c r="B62"/>
    </row>
    <row r="63" spans="1:2" x14ac:dyDescent="0.3">
      <c r="A63" s="5"/>
      <c r="B63"/>
    </row>
    <row r="64" spans="1:2" x14ac:dyDescent="0.3">
      <c r="A64" s="5"/>
      <c r="B64"/>
    </row>
    <row r="65" spans="1:2" x14ac:dyDescent="0.3">
      <c r="A65" s="5"/>
      <c r="B65"/>
    </row>
    <row r="66" spans="1:2" x14ac:dyDescent="0.3">
      <c r="A66" s="5"/>
      <c r="B66"/>
    </row>
    <row r="67" spans="1:2" x14ac:dyDescent="0.3">
      <c r="A67" s="5"/>
      <c r="B67"/>
    </row>
    <row r="68" spans="1:2" x14ac:dyDescent="0.3">
      <c r="A68" s="5"/>
      <c r="B68"/>
    </row>
    <row r="69" spans="1:2" x14ac:dyDescent="0.3">
      <c r="A69" s="5"/>
      <c r="B69"/>
    </row>
    <row r="70" spans="1:2" x14ac:dyDescent="0.3">
      <c r="A70" s="5"/>
      <c r="B70"/>
    </row>
    <row r="71" spans="1:2" x14ac:dyDescent="0.3">
      <c r="A71" s="5"/>
      <c r="B71"/>
    </row>
    <row r="72" spans="1:2" x14ac:dyDescent="0.3">
      <c r="A72" s="5"/>
      <c r="B72"/>
    </row>
    <row r="73" spans="1:2" x14ac:dyDescent="0.3">
      <c r="A73" s="5"/>
      <c r="B73"/>
    </row>
    <row r="74" spans="1:2" x14ac:dyDescent="0.3">
      <c r="A74" s="5"/>
      <c r="B74"/>
    </row>
    <row r="75" spans="1:2" x14ac:dyDescent="0.3">
      <c r="A75" s="5"/>
      <c r="B75"/>
    </row>
    <row r="76" spans="1:2" x14ac:dyDescent="0.3">
      <c r="A76" s="5"/>
      <c r="B76"/>
    </row>
    <row r="77" spans="1:2" x14ac:dyDescent="0.3">
      <c r="A77" s="5"/>
      <c r="B77"/>
    </row>
    <row r="78" spans="1:2" x14ac:dyDescent="0.3">
      <c r="A78" s="5"/>
      <c r="B78"/>
    </row>
    <row r="79" spans="1:2" x14ac:dyDescent="0.3">
      <c r="A79" s="5"/>
      <c r="B79"/>
    </row>
    <row r="80" spans="1:2" x14ac:dyDescent="0.3">
      <c r="A80" s="5"/>
      <c r="B80"/>
    </row>
    <row r="81" spans="1:2" x14ac:dyDescent="0.3">
      <c r="A81" s="5"/>
      <c r="B81"/>
    </row>
    <row r="82" spans="1:2" x14ac:dyDescent="0.3">
      <c r="A82" s="5"/>
      <c r="B82"/>
    </row>
    <row r="83" spans="1:2" x14ac:dyDescent="0.3">
      <c r="A83" s="5"/>
      <c r="B83"/>
    </row>
    <row r="84" spans="1:2" x14ac:dyDescent="0.3">
      <c r="A84" s="5"/>
      <c r="B84"/>
    </row>
    <row r="85" spans="1:2" x14ac:dyDescent="0.3">
      <c r="A85" s="5"/>
      <c r="B85"/>
    </row>
    <row r="86" spans="1:2" x14ac:dyDescent="0.3">
      <c r="A86" s="5"/>
      <c r="B86"/>
    </row>
    <row r="87" spans="1:2" x14ac:dyDescent="0.3">
      <c r="A87" s="5"/>
      <c r="B87"/>
    </row>
    <row r="88" spans="1:2" x14ac:dyDescent="0.3">
      <c r="A88" s="5"/>
      <c r="B88"/>
    </row>
    <row r="89" spans="1:2" x14ac:dyDescent="0.3">
      <c r="A89" s="5"/>
      <c r="B89"/>
    </row>
    <row r="90" spans="1:2" x14ac:dyDescent="0.3">
      <c r="A90" s="5"/>
      <c r="B90"/>
    </row>
    <row r="91" spans="1:2" x14ac:dyDescent="0.3">
      <c r="A91" s="5"/>
      <c r="B91"/>
    </row>
    <row r="92" spans="1:2" x14ac:dyDescent="0.3">
      <c r="A92" s="5"/>
      <c r="B92"/>
    </row>
    <row r="93" spans="1:2" x14ac:dyDescent="0.3">
      <c r="A93" s="5"/>
      <c r="B93"/>
    </row>
    <row r="94" spans="1:2" x14ac:dyDescent="0.3">
      <c r="A94" s="5"/>
      <c r="B94"/>
    </row>
    <row r="95" spans="1:2" x14ac:dyDescent="0.3">
      <c r="A95" s="5"/>
      <c r="B95"/>
    </row>
    <row r="96" spans="1:2" x14ac:dyDescent="0.3">
      <c r="A96" s="5"/>
      <c r="B96"/>
    </row>
    <row r="97" spans="1:2" x14ac:dyDescent="0.3">
      <c r="A97" s="5"/>
      <c r="B97"/>
    </row>
    <row r="98" spans="1:2" x14ac:dyDescent="0.3">
      <c r="A98" s="5"/>
      <c r="B98"/>
    </row>
    <row r="99" spans="1:2" x14ac:dyDescent="0.3">
      <c r="A99" s="5"/>
      <c r="B99"/>
    </row>
    <row r="100" spans="1:2" x14ac:dyDescent="0.3">
      <c r="A100" s="5"/>
      <c r="B100"/>
    </row>
    <row r="101" spans="1:2" x14ac:dyDescent="0.3">
      <c r="A101" s="5"/>
      <c r="B101"/>
    </row>
    <row r="102" spans="1:2" x14ac:dyDescent="0.3">
      <c r="A102" s="5"/>
      <c r="B102"/>
    </row>
    <row r="103" spans="1:2" x14ac:dyDescent="0.3">
      <c r="A103" s="5"/>
      <c r="B103"/>
    </row>
    <row r="104" spans="1:2" x14ac:dyDescent="0.3">
      <c r="A104" s="5"/>
      <c r="B104"/>
    </row>
    <row r="105" spans="1:2" x14ac:dyDescent="0.3">
      <c r="A105" s="5"/>
      <c r="B105"/>
    </row>
    <row r="106" spans="1:2" x14ac:dyDescent="0.3">
      <c r="A106" s="5"/>
      <c r="B106"/>
    </row>
    <row r="107" spans="1:2" x14ac:dyDescent="0.3">
      <c r="A107" s="5"/>
      <c r="B107"/>
    </row>
    <row r="108" spans="1:2" x14ac:dyDescent="0.3">
      <c r="A108" s="5"/>
      <c r="B108"/>
    </row>
    <row r="109" spans="1:2" x14ac:dyDescent="0.3">
      <c r="A109" s="5"/>
      <c r="B109"/>
    </row>
    <row r="110" spans="1:2" x14ac:dyDescent="0.3">
      <c r="A110" s="5"/>
      <c r="B110"/>
    </row>
    <row r="111" spans="1:2" x14ac:dyDescent="0.3">
      <c r="A111" s="5"/>
      <c r="B111"/>
    </row>
    <row r="112" spans="1:2" x14ac:dyDescent="0.3">
      <c r="A112" s="5"/>
      <c r="B112"/>
    </row>
    <row r="113" spans="1:2" x14ac:dyDescent="0.3">
      <c r="A113" s="5"/>
      <c r="B113"/>
    </row>
    <row r="114" spans="1:2" x14ac:dyDescent="0.3">
      <c r="A114" s="5"/>
      <c r="B114"/>
    </row>
    <row r="115" spans="1:2" x14ac:dyDescent="0.3">
      <c r="A115" s="5"/>
      <c r="B115"/>
    </row>
    <row r="116" spans="1:2" x14ac:dyDescent="0.3">
      <c r="A116" s="5"/>
      <c r="B116"/>
    </row>
    <row r="117" spans="1:2" x14ac:dyDescent="0.3">
      <c r="A117" s="5"/>
      <c r="B117"/>
    </row>
    <row r="118" spans="1:2" x14ac:dyDescent="0.3">
      <c r="A118" s="5"/>
      <c r="B118"/>
    </row>
    <row r="119" spans="1:2" x14ac:dyDescent="0.3">
      <c r="A119" s="5"/>
      <c r="B119"/>
    </row>
    <row r="120" spans="1:2" x14ac:dyDescent="0.3">
      <c r="A120" s="5"/>
      <c r="B120"/>
    </row>
    <row r="121" spans="1:2" x14ac:dyDescent="0.3">
      <c r="A121" s="5"/>
      <c r="B121"/>
    </row>
    <row r="122" spans="1:2" x14ac:dyDescent="0.3">
      <c r="A122" s="5"/>
      <c r="B122"/>
    </row>
    <row r="123" spans="1:2" x14ac:dyDescent="0.3">
      <c r="A123" s="5"/>
      <c r="B123"/>
    </row>
    <row r="124" spans="1:2" x14ac:dyDescent="0.3">
      <c r="A124" s="5"/>
      <c r="B124"/>
    </row>
    <row r="125" spans="1:2" x14ac:dyDescent="0.3">
      <c r="A125" s="5"/>
      <c r="B125"/>
    </row>
    <row r="126" spans="1:2" x14ac:dyDescent="0.3">
      <c r="A126" s="5"/>
      <c r="B126"/>
    </row>
    <row r="127" spans="1:2" x14ac:dyDescent="0.3">
      <c r="A127" s="5"/>
      <c r="B127"/>
    </row>
    <row r="128" spans="1:2" x14ac:dyDescent="0.3">
      <c r="A128" s="5"/>
      <c r="B128"/>
    </row>
    <row r="129" spans="1:2" x14ac:dyDescent="0.3">
      <c r="A129" s="5"/>
      <c r="B129"/>
    </row>
    <row r="130" spans="1:2" x14ac:dyDescent="0.3">
      <c r="A130" s="5"/>
      <c r="B130"/>
    </row>
    <row r="131" spans="1:2" x14ac:dyDescent="0.3">
      <c r="A131" s="5"/>
      <c r="B131"/>
    </row>
    <row r="132" spans="1:2" x14ac:dyDescent="0.3">
      <c r="A132" s="5"/>
      <c r="B132"/>
    </row>
    <row r="133" spans="1:2" x14ac:dyDescent="0.3">
      <c r="A133" s="5"/>
      <c r="B133"/>
    </row>
    <row r="134" spans="1:2" x14ac:dyDescent="0.3">
      <c r="A134" s="5"/>
      <c r="B134"/>
    </row>
    <row r="135" spans="1:2" x14ac:dyDescent="0.3">
      <c r="A135" s="5"/>
      <c r="B135"/>
    </row>
    <row r="136" spans="1:2" x14ac:dyDescent="0.3">
      <c r="A136" s="5"/>
      <c r="B136"/>
    </row>
    <row r="137" spans="1:2" x14ac:dyDescent="0.3">
      <c r="A137" s="5"/>
      <c r="B137"/>
    </row>
    <row r="138" spans="1:2" x14ac:dyDescent="0.3">
      <c r="A138" s="5"/>
      <c r="B138"/>
    </row>
    <row r="139" spans="1:2" x14ac:dyDescent="0.3">
      <c r="A139" s="5"/>
      <c r="B139"/>
    </row>
    <row r="140" spans="1:2" x14ac:dyDescent="0.3">
      <c r="A140" s="5"/>
      <c r="B140"/>
    </row>
    <row r="141" spans="1:2" x14ac:dyDescent="0.3">
      <c r="A141" s="5"/>
      <c r="B141"/>
    </row>
    <row r="142" spans="1:2" x14ac:dyDescent="0.3">
      <c r="A142" s="5"/>
      <c r="B142"/>
    </row>
    <row r="143" spans="1:2" x14ac:dyDescent="0.3">
      <c r="A143" s="5"/>
      <c r="B143"/>
    </row>
    <row r="144" spans="1:2" x14ac:dyDescent="0.3">
      <c r="A144" s="5"/>
      <c r="B144"/>
    </row>
    <row r="145" spans="1:2" x14ac:dyDescent="0.3">
      <c r="A145" s="5"/>
      <c r="B145"/>
    </row>
    <row r="146" spans="1:2" x14ac:dyDescent="0.3">
      <c r="A146" s="5"/>
      <c r="B146"/>
    </row>
    <row r="147" spans="1:2" x14ac:dyDescent="0.3">
      <c r="A147" s="5"/>
      <c r="B147"/>
    </row>
    <row r="148" spans="1:2" x14ac:dyDescent="0.3">
      <c r="A148" s="5"/>
      <c r="B148"/>
    </row>
    <row r="149" spans="1:2" x14ac:dyDescent="0.3">
      <c r="A149" s="5"/>
      <c r="B149"/>
    </row>
    <row r="150" spans="1:2" x14ac:dyDescent="0.3">
      <c r="A150" s="5"/>
      <c r="B150"/>
    </row>
    <row r="151" spans="1:2" x14ac:dyDescent="0.3">
      <c r="A151" s="5"/>
      <c r="B151"/>
    </row>
    <row r="152" spans="1:2" x14ac:dyDescent="0.3">
      <c r="A152" s="5"/>
      <c r="B152"/>
    </row>
    <row r="153" spans="1:2" x14ac:dyDescent="0.3">
      <c r="A153" s="5"/>
      <c r="B153"/>
    </row>
    <row r="154" spans="1:2" x14ac:dyDescent="0.3">
      <c r="A154" s="5"/>
      <c r="B154"/>
    </row>
    <row r="155" spans="1:2" x14ac:dyDescent="0.3">
      <c r="A155" s="5"/>
      <c r="B155"/>
    </row>
    <row r="156" spans="1:2" x14ac:dyDescent="0.3">
      <c r="A156" s="5"/>
      <c r="B156"/>
    </row>
    <row r="157" spans="1:2" x14ac:dyDescent="0.3">
      <c r="A157" s="5"/>
      <c r="B157"/>
    </row>
    <row r="158" spans="1:2" x14ac:dyDescent="0.3">
      <c r="A158" s="5"/>
      <c r="B158"/>
    </row>
    <row r="159" spans="1:2" x14ac:dyDescent="0.3">
      <c r="A159" s="5"/>
      <c r="B159"/>
    </row>
    <row r="160" spans="1:2" x14ac:dyDescent="0.3">
      <c r="A160" s="5"/>
      <c r="B160"/>
    </row>
    <row r="161" spans="1:2" x14ac:dyDescent="0.3">
      <c r="A161" s="5"/>
      <c r="B161"/>
    </row>
    <row r="162" spans="1:2" x14ac:dyDescent="0.3">
      <c r="A162" s="5"/>
      <c r="B162"/>
    </row>
    <row r="163" spans="1:2" x14ac:dyDescent="0.3">
      <c r="A163" s="5"/>
      <c r="B163"/>
    </row>
    <row r="164" spans="1:2" x14ac:dyDescent="0.3">
      <c r="A164" s="5"/>
      <c r="B164"/>
    </row>
    <row r="165" spans="1:2" x14ac:dyDescent="0.3">
      <c r="A165" s="5"/>
      <c r="B165"/>
    </row>
    <row r="166" spans="1:2" x14ac:dyDescent="0.3">
      <c r="A166" s="5"/>
      <c r="B166"/>
    </row>
    <row r="167" spans="1:2" x14ac:dyDescent="0.3">
      <c r="A167" s="5"/>
      <c r="B167"/>
    </row>
    <row r="168" spans="1:2" x14ac:dyDescent="0.3">
      <c r="A168" s="5"/>
      <c r="B168"/>
    </row>
    <row r="169" spans="1:2" x14ac:dyDescent="0.3">
      <c r="A169" s="5"/>
      <c r="B169"/>
    </row>
    <row r="170" spans="1:2" x14ac:dyDescent="0.3">
      <c r="A170" s="5"/>
      <c r="B170"/>
    </row>
    <row r="171" spans="1:2" x14ac:dyDescent="0.3">
      <c r="A171" s="5"/>
      <c r="B171"/>
    </row>
    <row r="172" spans="1:2" x14ac:dyDescent="0.3">
      <c r="A172" s="5"/>
      <c r="B172"/>
    </row>
    <row r="173" spans="1:2" x14ac:dyDescent="0.3">
      <c r="A173" s="5"/>
      <c r="B173"/>
    </row>
    <row r="174" spans="1:2" x14ac:dyDescent="0.3">
      <c r="A174" s="5"/>
      <c r="B174"/>
    </row>
    <row r="175" spans="1:2" x14ac:dyDescent="0.3">
      <c r="A175" s="5"/>
      <c r="B175"/>
    </row>
    <row r="176" spans="1:2" x14ac:dyDescent="0.3">
      <c r="A176" s="5"/>
      <c r="B176"/>
    </row>
    <row r="177" spans="1:2" x14ac:dyDescent="0.3">
      <c r="A177" s="5"/>
      <c r="B177"/>
    </row>
    <row r="178" spans="1:2" x14ac:dyDescent="0.3">
      <c r="A178" s="5"/>
      <c r="B178"/>
    </row>
    <row r="179" spans="1:2" x14ac:dyDescent="0.3">
      <c r="A179" s="5"/>
      <c r="B179"/>
    </row>
    <row r="180" spans="1:2" x14ac:dyDescent="0.3">
      <c r="A180" s="5"/>
      <c r="B180"/>
    </row>
    <row r="181" spans="1:2" x14ac:dyDescent="0.3">
      <c r="A181" s="5"/>
      <c r="B181"/>
    </row>
    <row r="182" spans="1:2" x14ac:dyDescent="0.3">
      <c r="A182" s="5"/>
      <c r="B182"/>
    </row>
    <row r="183" spans="1:2" x14ac:dyDescent="0.3">
      <c r="A183" s="5"/>
      <c r="B183"/>
    </row>
    <row r="184" spans="1:2" x14ac:dyDescent="0.3">
      <c r="A184" s="5"/>
      <c r="B184"/>
    </row>
    <row r="185" spans="1:2" x14ac:dyDescent="0.3">
      <c r="A185" s="5"/>
      <c r="B185"/>
    </row>
    <row r="186" spans="1:2" x14ac:dyDescent="0.3">
      <c r="A186" s="5"/>
      <c r="B186"/>
    </row>
    <row r="187" spans="1:2" x14ac:dyDescent="0.3">
      <c r="A187" s="5"/>
      <c r="B187"/>
    </row>
    <row r="188" spans="1:2" x14ac:dyDescent="0.3">
      <c r="A188" s="5"/>
      <c r="B188"/>
    </row>
    <row r="189" spans="1:2" x14ac:dyDescent="0.3">
      <c r="A189" s="5"/>
      <c r="B189"/>
    </row>
    <row r="190" spans="1:2" x14ac:dyDescent="0.3">
      <c r="A190" s="5"/>
      <c r="B190"/>
    </row>
    <row r="191" spans="1:2" x14ac:dyDescent="0.3">
      <c r="A191" s="5"/>
      <c r="B191"/>
    </row>
    <row r="192" spans="1:2" x14ac:dyDescent="0.3">
      <c r="A192" s="5"/>
      <c r="B192"/>
    </row>
    <row r="193" spans="1:2" x14ac:dyDescent="0.3">
      <c r="A193" s="5"/>
      <c r="B193"/>
    </row>
    <row r="194" spans="1:2" x14ac:dyDescent="0.3">
      <c r="A194" s="5"/>
      <c r="B194"/>
    </row>
    <row r="195" spans="1:2" x14ac:dyDescent="0.3">
      <c r="A195" s="5"/>
      <c r="B195"/>
    </row>
    <row r="196" spans="1:2" x14ac:dyDescent="0.3">
      <c r="A196" s="5"/>
      <c r="B196"/>
    </row>
    <row r="197" spans="1:2" x14ac:dyDescent="0.3">
      <c r="A197" s="5"/>
      <c r="B197"/>
    </row>
    <row r="198" spans="1:2" x14ac:dyDescent="0.3">
      <c r="A198" s="5"/>
      <c r="B198"/>
    </row>
    <row r="199" spans="1:2" x14ac:dyDescent="0.3">
      <c r="A199" s="5"/>
      <c r="B199"/>
    </row>
    <row r="200" spans="1:2" x14ac:dyDescent="0.3">
      <c r="A200" s="5"/>
      <c r="B200"/>
    </row>
    <row r="201" spans="1:2" x14ac:dyDescent="0.3">
      <c r="A201" s="5"/>
      <c r="B201"/>
    </row>
    <row r="202" spans="1:2" x14ac:dyDescent="0.3">
      <c r="A202" s="5"/>
      <c r="B202"/>
    </row>
    <row r="203" spans="1:2" x14ac:dyDescent="0.3">
      <c r="A203" s="5"/>
      <c r="B203"/>
    </row>
    <row r="204" spans="1:2" x14ac:dyDescent="0.3">
      <c r="A204" s="5"/>
      <c r="B204"/>
    </row>
    <row r="205" spans="1:2" x14ac:dyDescent="0.3">
      <c r="A205" s="5"/>
      <c r="B205"/>
    </row>
    <row r="206" spans="1:2" x14ac:dyDescent="0.3">
      <c r="A206" s="5"/>
      <c r="B206"/>
    </row>
    <row r="207" spans="1:2" x14ac:dyDescent="0.3">
      <c r="A207" s="5"/>
      <c r="B207"/>
    </row>
    <row r="208" spans="1:2" x14ac:dyDescent="0.3">
      <c r="A208" s="5"/>
      <c r="B208"/>
    </row>
    <row r="209" spans="1:2" x14ac:dyDescent="0.3">
      <c r="A209" s="5"/>
      <c r="B209"/>
    </row>
    <row r="210" spans="1:2" x14ac:dyDescent="0.3">
      <c r="A210" s="5"/>
      <c r="B210"/>
    </row>
    <row r="211" spans="1:2" x14ac:dyDescent="0.3">
      <c r="A211" s="5"/>
      <c r="B211"/>
    </row>
    <row r="212" spans="1:2" x14ac:dyDescent="0.3">
      <c r="A212" s="5"/>
      <c r="B212"/>
    </row>
    <row r="213" spans="1:2" x14ac:dyDescent="0.3">
      <c r="A213" s="5"/>
      <c r="B213"/>
    </row>
    <row r="214" spans="1:2" x14ac:dyDescent="0.3">
      <c r="A214" s="5"/>
      <c r="B214"/>
    </row>
    <row r="215" spans="1:2" x14ac:dyDescent="0.3">
      <c r="A215" s="5"/>
      <c r="B215"/>
    </row>
    <row r="216" spans="1:2" x14ac:dyDescent="0.3">
      <c r="A216" s="5"/>
      <c r="B216"/>
    </row>
    <row r="217" spans="1:2" x14ac:dyDescent="0.3">
      <c r="A217" s="5"/>
      <c r="B217"/>
    </row>
    <row r="218" spans="1:2" x14ac:dyDescent="0.3">
      <c r="A218" s="5"/>
      <c r="B218"/>
    </row>
    <row r="219" spans="1:2" x14ac:dyDescent="0.3">
      <c r="A219" s="5"/>
      <c r="B219"/>
    </row>
    <row r="220" spans="1:2" x14ac:dyDescent="0.3">
      <c r="A220" s="5"/>
      <c r="B220"/>
    </row>
    <row r="221" spans="1:2" x14ac:dyDescent="0.3">
      <c r="A221" s="5"/>
      <c r="B221"/>
    </row>
    <row r="222" spans="1:2" x14ac:dyDescent="0.3">
      <c r="A222" s="5"/>
      <c r="B222"/>
    </row>
    <row r="223" spans="1:2" x14ac:dyDescent="0.3">
      <c r="A223" s="5"/>
      <c r="B223"/>
    </row>
    <row r="224" spans="1:2" x14ac:dyDescent="0.3">
      <c r="A224" s="5"/>
      <c r="B224"/>
    </row>
    <row r="225" spans="1:2" x14ac:dyDescent="0.3">
      <c r="A225" s="5"/>
      <c r="B225"/>
    </row>
    <row r="226" spans="1:2" x14ac:dyDescent="0.3">
      <c r="A226" s="5"/>
      <c r="B226"/>
    </row>
    <row r="227" spans="1:2" x14ac:dyDescent="0.3">
      <c r="A227" s="5"/>
      <c r="B227"/>
    </row>
    <row r="228" spans="1:2" x14ac:dyDescent="0.3">
      <c r="A228" s="5"/>
      <c r="B228"/>
    </row>
    <row r="229" spans="1:2" x14ac:dyDescent="0.3">
      <c r="A229" s="5"/>
      <c r="B229"/>
    </row>
    <row r="230" spans="1:2" x14ac:dyDescent="0.3">
      <c r="A230" s="5"/>
      <c r="B230"/>
    </row>
    <row r="231" spans="1:2" x14ac:dyDescent="0.3">
      <c r="A231" s="5"/>
      <c r="B231"/>
    </row>
    <row r="232" spans="1:2" x14ac:dyDescent="0.3">
      <c r="A232" s="5"/>
      <c r="B232"/>
    </row>
    <row r="233" spans="1:2" x14ac:dyDescent="0.3">
      <c r="A233" s="5"/>
      <c r="B233"/>
    </row>
    <row r="234" spans="1:2" x14ac:dyDescent="0.3">
      <c r="A234" s="5"/>
      <c r="B234"/>
    </row>
    <row r="235" spans="1:2" x14ac:dyDescent="0.3">
      <c r="A235" s="5"/>
      <c r="B235"/>
    </row>
    <row r="236" spans="1:2" x14ac:dyDescent="0.3">
      <c r="A236" s="5"/>
      <c r="B236"/>
    </row>
    <row r="237" spans="1:2" x14ac:dyDescent="0.3">
      <c r="A237" s="5"/>
      <c r="B237"/>
    </row>
    <row r="238" spans="1:2" x14ac:dyDescent="0.3">
      <c r="A238" s="5"/>
      <c r="B238"/>
    </row>
    <row r="239" spans="1:2" x14ac:dyDescent="0.3">
      <c r="A239" s="5"/>
      <c r="B239"/>
    </row>
    <row r="240" spans="1:2" x14ac:dyDescent="0.3">
      <c r="A240" s="5"/>
      <c r="B240"/>
    </row>
    <row r="241" spans="1:2" x14ac:dyDescent="0.3">
      <c r="A241" s="5"/>
      <c r="B241"/>
    </row>
    <row r="242" spans="1:2" x14ac:dyDescent="0.3">
      <c r="A242" s="5"/>
      <c r="B242"/>
    </row>
    <row r="243" spans="1:2" x14ac:dyDescent="0.3">
      <c r="A243" s="5"/>
      <c r="B243"/>
    </row>
    <row r="244" spans="1:2" x14ac:dyDescent="0.3">
      <c r="A244" s="5"/>
      <c r="B244"/>
    </row>
    <row r="245" spans="1:2" x14ac:dyDescent="0.3">
      <c r="A245" s="5"/>
      <c r="B245"/>
    </row>
    <row r="246" spans="1:2" x14ac:dyDescent="0.3">
      <c r="A246" s="5"/>
      <c r="B246"/>
    </row>
    <row r="247" spans="1:2" x14ac:dyDescent="0.3">
      <c r="A247" s="5"/>
      <c r="B247"/>
    </row>
    <row r="248" spans="1:2" x14ac:dyDescent="0.3">
      <c r="A248" s="5"/>
      <c r="B248"/>
    </row>
    <row r="249" spans="1:2" x14ac:dyDescent="0.3">
      <c r="A249" s="5"/>
      <c r="B249"/>
    </row>
    <row r="250" spans="1:2" x14ac:dyDescent="0.3">
      <c r="A250" s="5"/>
      <c r="B250"/>
    </row>
    <row r="251" spans="1:2" x14ac:dyDescent="0.3">
      <c r="A251"/>
      <c r="B251" s="5"/>
    </row>
    <row r="252" spans="1:2" x14ac:dyDescent="0.3">
      <c r="A252"/>
      <c r="B252" s="5"/>
    </row>
    <row r="253" spans="1:2" x14ac:dyDescent="0.3">
      <c r="A253"/>
      <c r="B253" s="5"/>
    </row>
    <row r="254" spans="1:2" x14ac:dyDescent="0.3">
      <c r="A254"/>
      <c r="B254" s="5"/>
    </row>
    <row r="255" spans="1:2" x14ac:dyDescent="0.3">
      <c r="A255"/>
      <c r="B255" s="5"/>
    </row>
    <row r="256" spans="1:2" x14ac:dyDescent="0.3">
      <c r="A256"/>
      <c r="B256" s="5"/>
    </row>
    <row r="257" spans="1:2" x14ac:dyDescent="0.3">
      <c r="A257"/>
      <c r="B257" s="5"/>
    </row>
    <row r="258" spans="1:2" x14ac:dyDescent="0.3">
      <c r="A258"/>
      <c r="B258" s="5"/>
    </row>
    <row r="259" spans="1:2" x14ac:dyDescent="0.3">
      <c r="A259"/>
      <c r="B259" s="5"/>
    </row>
    <row r="260" spans="1:2" x14ac:dyDescent="0.3">
      <c r="A260"/>
      <c r="B260" s="5"/>
    </row>
    <row r="261" spans="1:2" x14ac:dyDescent="0.3">
      <c r="A261"/>
      <c r="B261" s="5"/>
    </row>
    <row r="262" spans="1:2" x14ac:dyDescent="0.3">
      <c r="A262"/>
      <c r="B262" s="5"/>
    </row>
    <row r="263" spans="1:2" x14ac:dyDescent="0.3">
      <c r="A263"/>
      <c r="B263" s="5"/>
    </row>
    <row r="264" spans="1:2" x14ac:dyDescent="0.3">
      <c r="A264"/>
      <c r="B264" s="5"/>
    </row>
    <row r="265" spans="1:2" x14ac:dyDescent="0.3">
      <c r="A265"/>
      <c r="B265" s="5"/>
    </row>
    <row r="266" spans="1:2" x14ac:dyDescent="0.3">
      <c r="A266"/>
      <c r="B266" s="5"/>
    </row>
    <row r="267" spans="1:2" x14ac:dyDescent="0.3">
      <c r="A267"/>
      <c r="B267" s="5"/>
    </row>
    <row r="268" spans="1:2" x14ac:dyDescent="0.3">
      <c r="A268"/>
      <c r="B268" s="5"/>
    </row>
    <row r="269" spans="1:2" x14ac:dyDescent="0.3">
      <c r="A269"/>
      <c r="B269" s="5"/>
    </row>
    <row r="270" spans="1:2" x14ac:dyDescent="0.3">
      <c r="A270"/>
      <c r="B270" s="5"/>
    </row>
    <row r="271" spans="1:2" x14ac:dyDescent="0.3">
      <c r="A271"/>
      <c r="B271" s="5"/>
    </row>
    <row r="272" spans="1:2" x14ac:dyDescent="0.3">
      <c r="A272"/>
      <c r="B272" s="5"/>
    </row>
    <row r="273" spans="1:2" x14ac:dyDescent="0.3">
      <c r="A273"/>
      <c r="B273" s="5"/>
    </row>
    <row r="274" spans="1:2" x14ac:dyDescent="0.3">
      <c r="A274"/>
      <c r="B274" s="5"/>
    </row>
    <row r="275" spans="1:2" x14ac:dyDescent="0.3">
      <c r="A275"/>
      <c r="B275" s="5"/>
    </row>
    <row r="276" spans="1:2" x14ac:dyDescent="0.3">
      <c r="A276"/>
      <c r="B276" s="5"/>
    </row>
    <row r="277" spans="1:2" x14ac:dyDescent="0.3">
      <c r="A277"/>
      <c r="B277" s="5"/>
    </row>
    <row r="278" spans="1:2" x14ac:dyDescent="0.3">
      <c r="A278"/>
      <c r="B278" s="5"/>
    </row>
    <row r="279" spans="1:2" x14ac:dyDescent="0.3">
      <c r="A279"/>
      <c r="B279" s="5"/>
    </row>
    <row r="280" spans="1:2" x14ac:dyDescent="0.3">
      <c r="A280"/>
      <c r="B280" s="5"/>
    </row>
    <row r="281" spans="1:2" x14ac:dyDescent="0.3">
      <c r="A281"/>
      <c r="B281" s="5"/>
    </row>
    <row r="282" spans="1:2" x14ac:dyDescent="0.3">
      <c r="A282"/>
      <c r="B282" s="5"/>
    </row>
    <row r="283" spans="1:2" x14ac:dyDescent="0.3">
      <c r="A283"/>
      <c r="B283" s="5"/>
    </row>
    <row r="284" spans="1:2" x14ac:dyDescent="0.3">
      <c r="A284"/>
      <c r="B284" s="5"/>
    </row>
    <row r="285" spans="1:2" x14ac:dyDescent="0.3">
      <c r="A285"/>
      <c r="B285" s="5"/>
    </row>
    <row r="286" spans="1:2" x14ac:dyDescent="0.3">
      <c r="A286"/>
      <c r="B286" s="5"/>
    </row>
    <row r="287" spans="1:2" x14ac:dyDescent="0.3">
      <c r="A287"/>
      <c r="B287" s="5"/>
    </row>
    <row r="288" spans="1:2" x14ac:dyDescent="0.3">
      <c r="A288"/>
      <c r="B288" s="5"/>
    </row>
    <row r="289" spans="1:2" x14ac:dyDescent="0.3">
      <c r="A289"/>
      <c r="B289" s="5"/>
    </row>
    <row r="290" spans="1:2" x14ac:dyDescent="0.3">
      <c r="A290"/>
      <c r="B290" s="5"/>
    </row>
    <row r="291" spans="1:2" x14ac:dyDescent="0.3">
      <c r="A291"/>
      <c r="B291" s="5"/>
    </row>
    <row r="292" spans="1:2" x14ac:dyDescent="0.3">
      <c r="A292"/>
      <c r="B292" s="5"/>
    </row>
    <row r="293" spans="1:2" x14ac:dyDescent="0.3">
      <c r="A293"/>
      <c r="B293" s="5"/>
    </row>
    <row r="294" spans="1:2" x14ac:dyDescent="0.3">
      <c r="A294"/>
      <c r="B294" s="5"/>
    </row>
    <row r="295" spans="1:2" x14ac:dyDescent="0.3">
      <c r="A295"/>
      <c r="B295" s="5"/>
    </row>
    <row r="296" spans="1:2" x14ac:dyDescent="0.3">
      <c r="A296"/>
      <c r="B296" s="5"/>
    </row>
    <row r="297" spans="1:2" x14ac:dyDescent="0.3">
      <c r="A297"/>
      <c r="B297" s="5"/>
    </row>
    <row r="298" spans="1:2" x14ac:dyDescent="0.3">
      <c r="A298"/>
      <c r="B298" s="5"/>
    </row>
    <row r="299" spans="1:2" x14ac:dyDescent="0.3">
      <c r="A299"/>
      <c r="B299" s="5"/>
    </row>
    <row r="300" spans="1:2" x14ac:dyDescent="0.3">
      <c r="A300"/>
      <c r="B300" s="5"/>
    </row>
    <row r="301" spans="1:2" x14ac:dyDescent="0.3">
      <c r="A301"/>
      <c r="B301" s="5"/>
    </row>
    <row r="302" spans="1:2" x14ac:dyDescent="0.3">
      <c r="A302"/>
      <c r="B302" s="5"/>
    </row>
    <row r="303" spans="1:2" x14ac:dyDescent="0.3">
      <c r="A303"/>
      <c r="B303" s="5"/>
    </row>
    <row r="304" spans="1:2" x14ac:dyDescent="0.3">
      <c r="A304"/>
      <c r="B304" s="5"/>
    </row>
    <row r="305" spans="1:2" x14ac:dyDescent="0.3">
      <c r="A305"/>
      <c r="B305" s="5"/>
    </row>
    <row r="306" spans="1:2" x14ac:dyDescent="0.3">
      <c r="A306"/>
      <c r="B306" s="5"/>
    </row>
    <row r="307" spans="1:2" x14ac:dyDescent="0.3">
      <c r="A307"/>
      <c r="B307" s="5"/>
    </row>
    <row r="308" spans="1:2" x14ac:dyDescent="0.3">
      <c r="A308"/>
      <c r="B308" s="5"/>
    </row>
    <row r="309" spans="1:2" x14ac:dyDescent="0.3">
      <c r="A309"/>
      <c r="B309" s="5"/>
    </row>
    <row r="310" spans="1:2" x14ac:dyDescent="0.3">
      <c r="A310"/>
      <c r="B310" s="5"/>
    </row>
    <row r="311" spans="1:2" x14ac:dyDescent="0.3">
      <c r="A311"/>
      <c r="B311" s="5"/>
    </row>
    <row r="312" spans="1:2" x14ac:dyDescent="0.3">
      <c r="A312"/>
      <c r="B312" s="5"/>
    </row>
    <row r="313" spans="1:2" x14ac:dyDescent="0.3">
      <c r="A313"/>
      <c r="B313" s="5"/>
    </row>
    <row r="314" spans="1:2" x14ac:dyDescent="0.3">
      <c r="A314"/>
      <c r="B314" s="5"/>
    </row>
    <row r="315" spans="1:2" x14ac:dyDescent="0.3">
      <c r="A315"/>
      <c r="B315" s="5"/>
    </row>
    <row r="316" spans="1:2" x14ac:dyDescent="0.3">
      <c r="A316"/>
      <c r="B316" s="5"/>
    </row>
    <row r="317" spans="1:2" x14ac:dyDescent="0.3">
      <c r="A317"/>
      <c r="B317" s="5"/>
    </row>
    <row r="318" spans="1:2" x14ac:dyDescent="0.3">
      <c r="A318"/>
      <c r="B318" s="5"/>
    </row>
    <row r="319" spans="1:2" x14ac:dyDescent="0.3">
      <c r="A319"/>
      <c r="B319" s="5"/>
    </row>
    <row r="320" spans="1:2" x14ac:dyDescent="0.3">
      <c r="A320"/>
      <c r="B320" s="5"/>
    </row>
    <row r="321" spans="1:2" x14ac:dyDescent="0.3">
      <c r="A321"/>
      <c r="B321" s="5"/>
    </row>
    <row r="322" spans="1:2" x14ac:dyDescent="0.3">
      <c r="A322"/>
      <c r="B322" s="5"/>
    </row>
    <row r="323" spans="1:2" x14ac:dyDescent="0.3">
      <c r="A323"/>
      <c r="B323" s="5"/>
    </row>
    <row r="324" spans="1:2" x14ac:dyDescent="0.3">
      <c r="A324"/>
      <c r="B324" s="5"/>
    </row>
    <row r="325" spans="1:2" x14ac:dyDescent="0.3">
      <c r="A325"/>
      <c r="B325" s="5"/>
    </row>
    <row r="326" spans="1:2" x14ac:dyDescent="0.3">
      <c r="A326"/>
      <c r="B326" s="5"/>
    </row>
    <row r="327" spans="1:2" x14ac:dyDescent="0.3">
      <c r="A327"/>
      <c r="B327" s="5"/>
    </row>
    <row r="328" spans="1:2" x14ac:dyDescent="0.3">
      <c r="A328"/>
      <c r="B328" s="5"/>
    </row>
    <row r="329" spans="1:2" x14ac:dyDescent="0.3">
      <c r="A329"/>
      <c r="B329" s="5"/>
    </row>
    <row r="330" spans="1:2" x14ac:dyDescent="0.3">
      <c r="A330"/>
      <c r="B330" s="5"/>
    </row>
    <row r="331" spans="1:2" x14ac:dyDescent="0.3">
      <c r="A331"/>
      <c r="B331" s="5"/>
    </row>
    <row r="332" spans="1:2" x14ac:dyDescent="0.3">
      <c r="A332"/>
      <c r="B332" s="5"/>
    </row>
    <row r="333" spans="1:2" x14ac:dyDescent="0.3">
      <c r="A333"/>
      <c r="B333" s="5"/>
    </row>
    <row r="334" spans="1:2" x14ac:dyDescent="0.3">
      <c r="A334"/>
      <c r="B334" s="5"/>
    </row>
    <row r="335" spans="1:2" x14ac:dyDescent="0.3">
      <c r="A335"/>
      <c r="B335" s="5"/>
    </row>
    <row r="336" spans="1:2" x14ac:dyDescent="0.3">
      <c r="A336"/>
      <c r="B336" s="5"/>
    </row>
    <row r="337" spans="1:2" x14ac:dyDescent="0.3">
      <c r="A337"/>
      <c r="B337" s="5"/>
    </row>
    <row r="338" spans="1:2" x14ac:dyDescent="0.3">
      <c r="A338"/>
      <c r="B338" s="5"/>
    </row>
    <row r="339" spans="1:2" x14ac:dyDescent="0.3">
      <c r="A339"/>
      <c r="B339" s="5"/>
    </row>
    <row r="340" spans="1:2" x14ac:dyDescent="0.3">
      <c r="A340"/>
      <c r="B340" s="5"/>
    </row>
    <row r="341" spans="1:2" x14ac:dyDescent="0.3">
      <c r="A341"/>
      <c r="B341" s="5"/>
    </row>
    <row r="342" spans="1:2" x14ac:dyDescent="0.3">
      <c r="A342"/>
      <c r="B342" s="5"/>
    </row>
    <row r="343" spans="1:2" x14ac:dyDescent="0.3">
      <c r="A343"/>
      <c r="B343" s="5"/>
    </row>
    <row r="344" spans="1:2" x14ac:dyDescent="0.3">
      <c r="A344"/>
      <c r="B344" s="5"/>
    </row>
    <row r="345" spans="1:2" x14ac:dyDescent="0.3">
      <c r="A345"/>
      <c r="B345" s="5"/>
    </row>
    <row r="346" spans="1:2" x14ac:dyDescent="0.3">
      <c r="A346"/>
      <c r="B346" s="5"/>
    </row>
    <row r="347" spans="1:2" x14ac:dyDescent="0.3">
      <c r="A347"/>
      <c r="B347" s="5"/>
    </row>
    <row r="348" spans="1:2" x14ac:dyDescent="0.3">
      <c r="A348"/>
      <c r="B348" s="5"/>
    </row>
    <row r="349" spans="1:2" x14ac:dyDescent="0.3">
      <c r="A349"/>
      <c r="B349" s="5"/>
    </row>
    <row r="350" spans="1:2" x14ac:dyDescent="0.3">
      <c r="A350"/>
      <c r="B350" s="5"/>
    </row>
    <row r="351" spans="1:2" x14ac:dyDescent="0.3">
      <c r="A351"/>
      <c r="B351" s="5"/>
    </row>
    <row r="352" spans="1:2" x14ac:dyDescent="0.3">
      <c r="A352"/>
      <c r="B352" s="5"/>
    </row>
    <row r="353" spans="1:2" x14ac:dyDescent="0.3">
      <c r="A353"/>
      <c r="B353" s="5"/>
    </row>
    <row r="354" spans="1:2" x14ac:dyDescent="0.3">
      <c r="A354"/>
      <c r="B354" s="5"/>
    </row>
    <row r="355" spans="1:2" x14ac:dyDescent="0.3">
      <c r="A355"/>
      <c r="B355" s="5"/>
    </row>
    <row r="356" spans="1:2" x14ac:dyDescent="0.3">
      <c r="A356"/>
      <c r="B356" s="5"/>
    </row>
    <row r="357" spans="1:2" x14ac:dyDescent="0.3">
      <c r="A357"/>
      <c r="B357" s="5"/>
    </row>
    <row r="358" spans="1:2" x14ac:dyDescent="0.3">
      <c r="A358"/>
      <c r="B358" s="5"/>
    </row>
    <row r="359" spans="1:2" x14ac:dyDescent="0.3">
      <c r="A359"/>
      <c r="B359" s="5"/>
    </row>
    <row r="360" spans="1:2" x14ac:dyDescent="0.3">
      <c r="A360"/>
      <c r="B360" s="5"/>
    </row>
    <row r="361" spans="1:2" x14ac:dyDescent="0.3">
      <c r="A361"/>
      <c r="B361" s="5"/>
    </row>
    <row r="362" spans="1:2" x14ac:dyDescent="0.3">
      <c r="A362"/>
      <c r="B362" s="5"/>
    </row>
    <row r="363" spans="1:2" x14ac:dyDescent="0.3">
      <c r="A363"/>
      <c r="B363" s="5"/>
    </row>
    <row r="364" spans="1:2" x14ac:dyDescent="0.3">
      <c r="A364"/>
      <c r="B364" s="5"/>
    </row>
    <row r="365" spans="1:2" x14ac:dyDescent="0.3">
      <c r="A365"/>
      <c r="B365" s="5"/>
    </row>
    <row r="366" spans="1:2" x14ac:dyDescent="0.3">
      <c r="A366"/>
      <c r="B366" s="5"/>
    </row>
    <row r="367" spans="1:2" x14ac:dyDescent="0.3">
      <c r="A367"/>
      <c r="B367" s="5"/>
    </row>
    <row r="368" spans="1:2" x14ac:dyDescent="0.3">
      <c r="A368"/>
      <c r="B368" s="5"/>
    </row>
    <row r="369" spans="1:2" x14ac:dyDescent="0.3">
      <c r="A369"/>
      <c r="B369" s="5"/>
    </row>
    <row r="370" spans="1:2" x14ac:dyDescent="0.3">
      <c r="A370"/>
      <c r="B370" s="5"/>
    </row>
    <row r="371" spans="1:2" x14ac:dyDescent="0.3">
      <c r="A371"/>
      <c r="B371" s="5"/>
    </row>
    <row r="372" spans="1:2" x14ac:dyDescent="0.3">
      <c r="A372"/>
      <c r="B372" s="5"/>
    </row>
    <row r="373" spans="1:2" x14ac:dyDescent="0.3">
      <c r="A373"/>
      <c r="B373" s="5"/>
    </row>
    <row r="374" spans="1:2" x14ac:dyDescent="0.3">
      <c r="A374"/>
      <c r="B374" s="5"/>
    </row>
    <row r="375" spans="1:2" x14ac:dyDescent="0.3">
      <c r="A375"/>
      <c r="B375" s="5"/>
    </row>
    <row r="376" spans="1:2" x14ac:dyDescent="0.3">
      <c r="A376"/>
      <c r="B376" s="5"/>
    </row>
    <row r="377" spans="1:2" x14ac:dyDescent="0.3">
      <c r="A377"/>
      <c r="B377" s="5"/>
    </row>
    <row r="378" spans="1:2" x14ac:dyDescent="0.3">
      <c r="A378"/>
      <c r="B378" s="5"/>
    </row>
    <row r="379" spans="1:2" x14ac:dyDescent="0.3">
      <c r="A379"/>
      <c r="B379" s="5"/>
    </row>
    <row r="380" spans="1:2" x14ac:dyDescent="0.3">
      <c r="A380"/>
      <c r="B380" s="5"/>
    </row>
    <row r="381" spans="1:2" x14ac:dyDescent="0.3">
      <c r="A381"/>
      <c r="B381" s="5"/>
    </row>
    <row r="382" spans="1:2" x14ac:dyDescent="0.3">
      <c r="A382"/>
      <c r="B382" s="5"/>
    </row>
    <row r="383" spans="1:2" x14ac:dyDescent="0.3">
      <c r="A383"/>
      <c r="B383" s="5"/>
    </row>
    <row r="384" spans="1:2" x14ac:dyDescent="0.3">
      <c r="A384"/>
      <c r="B384" s="5"/>
    </row>
    <row r="385" spans="1:2" x14ac:dyDescent="0.3">
      <c r="A385"/>
      <c r="B385" s="5"/>
    </row>
    <row r="386" spans="1:2" x14ac:dyDescent="0.3">
      <c r="A386"/>
      <c r="B386" s="5"/>
    </row>
    <row r="387" spans="1:2" x14ac:dyDescent="0.3">
      <c r="A387"/>
      <c r="B387" s="5"/>
    </row>
    <row r="388" spans="1:2" x14ac:dyDescent="0.3">
      <c r="A388"/>
      <c r="B388" s="5"/>
    </row>
    <row r="389" spans="1:2" x14ac:dyDescent="0.3">
      <c r="A389"/>
      <c r="B389" s="5"/>
    </row>
    <row r="390" spans="1:2" x14ac:dyDescent="0.3">
      <c r="A390"/>
      <c r="B390" s="5"/>
    </row>
    <row r="391" spans="1:2" x14ac:dyDescent="0.3">
      <c r="A391"/>
      <c r="B391" s="5"/>
    </row>
    <row r="392" spans="1:2" x14ac:dyDescent="0.3">
      <c r="A392"/>
      <c r="B392" s="5"/>
    </row>
    <row r="393" spans="1:2" x14ac:dyDescent="0.3">
      <c r="A393"/>
      <c r="B393" s="5"/>
    </row>
    <row r="394" spans="1:2" x14ac:dyDescent="0.3">
      <c r="A394"/>
      <c r="B394" s="5"/>
    </row>
    <row r="395" spans="1:2" x14ac:dyDescent="0.3">
      <c r="A395"/>
      <c r="B395" s="5"/>
    </row>
    <row r="396" spans="1:2" x14ac:dyDescent="0.3">
      <c r="A396"/>
      <c r="B396" s="5"/>
    </row>
    <row r="397" spans="1:2" x14ac:dyDescent="0.3">
      <c r="A397"/>
      <c r="B397" s="5"/>
    </row>
    <row r="398" spans="1:2" x14ac:dyDescent="0.3">
      <c r="A398"/>
      <c r="B398" s="5"/>
    </row>
    <row r="399" spans="1:2" x14ac:dyDescent="0.3">
      <c r="A399"/>
      <c r="B399" s="5"/>
    </row>
    <row r="400" spans="1:2" x14ac:dyDescent="0.3">
      <c r="A400"/>
      <c r="B400" s="5"/>
    </row>
    <row r="401" spans="1:2" x14ac:dyDescent="0.3">
      <c r="A401"/>
      <c r="B401" s="5"/>
    </row>
    <row r="402" spans="1:2" x14ac:dyDescent="0.3">
      <c r="A402"/>
      <c r="B402" s="5"/>
    </row>
    <row r="403" spans="1:2" x14ac:dyDescent="0.3">
      <c r="A403"/>
      <c r="B403" s="5"/>
    </row>
    <row r="404" spans="1:2" x14ac:dyDescent="0.3">
      <c r="A404"/>
      <c r="B404" s="5"/>
    </row>
    <row r="405" spans="1:2" x14ac:dyDescent="0.3">
      <c r="A405"/>
      <c r="B405" s="5"/>
    </row>
    <row r="406" spans="1:2" x14ac:dyDescent="0.3">
      <c r="A406"/>
      <c r="B406" s="5"/>
    </row>
    <row r="407" spans="1:2" x14ac:dyDescent="0.3">
      <c r="A407"/>
      <c r="B407" s="5"/>
    </row>
    <row r="408" spans="1:2" x14ac:dyDescent="0.3">
      <c r="A408"/>
      <c r="B408" s="5"/>
    </row>
    <row r="409" spans="1:2" x14ac:dyDescent="0.3">
      <c r="A409"/>
      <c r="B409" s="5"/>
    </row>
    <row r="410" spans="1:2" x14ac:dyDescent="0.3">
      <c r="A410"/>
      <c r="B410" s="5"/>
    </row>
    <row r="411" spans="1:2" x14ac:dyDescent="0.3">
      <c r="A411"/>
      <c r="B411" s="5"/>
    </row>
    <row r="412" spans="1:2" x14ac:dyDescent="0.3">
      <c r="A412"/>
      <c r="B412" s="5"/>
    </row>
    <row r="413" spans="1:2" x14ac:dyDescent="0.3">
      <c r="A413"/>
      <c r="B413" s="5"/>
    </row>
    <row r="414" spans="1:2" x14ac:dyDescent="0.3">
      <c r="A414"/>
      <c r="B414" s="5"/>
    </row>
    <row r="415" spans="1:2" x14ac:dyDescent="0.3">
      <c r="A415"/>
      <c r="B415" s="5"/>
    </row>
    <row r="416" spans="1:2" x14ac:dyDescent="0.3">
      <c r="A416"/>
      <c r="B416" s="5"/>
    </row>
    <row r="417" spans="1:2" x14ac:dyDescent="0.3">
      <c r="A417"/>
      <c r="B417" s="5"/>
    </row>
    <row r="418" spans="1:2" x14ac:dyDescent="0.3">
      <c r="A418"/>
      <c r="B418" s="5"/>
    </row>
    <row r="419" spans="1:2" x14ac:dyDescent="0.3">
      <c r="A419"/>
      <c r="B419" s="5"/>
    </row>
    <row r="420" spans="1:2" x14ac:dyDescent="0.3">
      <c r="A420"/>
      <c r="B420" s="5"/>
    </row>
    <row r="421" spans="1:2" x14ac:dyDescent="0.3">
      <c r="A421"/>
      <c r="B421" s="5"/>
    </row>
    <row r="422" spans="1:2" x14ac:dyDescent="0.3">
      <c r="A422"/>
      <c r="B422" s="5"/>
    </row>
    <row r="423" spans="1:2" x14ac:dyDescent="0.3">
      <c r="A423"/>
      <c r="B423" s="5"/>
    </row>
    <row r="424" spans="1:2" x14ac:dyDescent="0.3">
      <c r="A424"/>
      <c r="B424" s="5"/>
    </row>
    <row r="425" spans="1:2" x14ac:dyDescent="0.3">
      <c r="A425"/>
      <c r="B425" s="5"/>
    </row>
    <row r="426" spans="1:2" x14ac:dyDescent="0.3">
      <c r="A426"/>
      <c r="B426" s="5"/>
    </row>
    <row r="427" spans="1:2" x14ac:dyDescent="0.3">
      <c r="A427"/>
      <c r="B427" s="5"/>
    </row>
    <row r="428" spans="1:2" x14ac:dyDescent="0.3">
      <c r="A428"/>
      <c r="B428" s="5"/>
    </row>
    <row r="429" spans="1:2" x14ac:dyDescent="0.3">
      <c r="A429"/>
      <c r="B429" s="5"/>
    </row>
    <row r="430" spans="1:2" x14ac:dyDescent="0.3">
      <c r="A430"/>
      <c r="B430" s="5"/>
    </row>
    <row r="431" spans="1:2" x14ac:dyDescent="0.3">
      <c r="A431"/>
      <c r="B431" s="5"/>
    </row>
    <row r="432" spans="1:2" x14ac:dyDescent="0.3">
      <c r="A432"/>
      <c r="B432" s="5"/>
    </row>
    <row r="433" spans="1:2" x14ac:dyDescent="0.3">
      <c r="A433"/>
      <c r="B433" s="5"/>
    </row>
    <row r="434" spans="1:2" x14ac:dyDescent="0.3">
      <c r="A434"/>
      <c r="B434" s="5"/>
    </row>
    <row r="435" spans="1:2" x14ac:dyDescent="0.3">
      <c r="A435"/>
      <c r="B435" s="5"/>
    </row>
    <row r="436" spans="1:2" x14ac:dyDescent="0.3">
      <c r="A436"/>
      <c r="B436" s="5"/>
    </row>
    <row r="437" spans="1:2" x14ac:dyDescent="0.3">
      <c r="A437"/>
      <c r="B437" s="5"/>
    </row>
    <row r="438" spans="1:2" x14ac:dyDescent="0.3">
      <c r="A438"/>
      <c r="B438" s="5"/>
    </row>
    <row r="439" spans="1:2" x14ac:dyDescent="0.3">
      <c r="A439"/>
      <c r="B439" s="5"/>
    </row>
    <row r="440" spans="1:2" x14ac:dyDescent="0.3">
      <c r="A440"/>
      <c r="B440" s="5"/>
    </row>
    <row r="441" spans="1:2" x14ac:dyDescent="0.3">
      <c r="A441"/>
      <c r="B441" s="5"/>
    </row>
    <row r="442" spans="1:2" x14ac:dyDescent="0.3">
      <c r="A442"/>
      <c r="B442" s="5"/>
    </row>
    <row r="443" spans="1:2" x14ac:dyDescent="0.3">
      <c r="A443"/>
      <c r="B443" s="5"/>
    </row>
    <row r="444" spans="1:2" x14ac:dyDescent="0.3">
      <c r="A444"/>
      <c r="B444" s="5"/>
    </row>
    <row r="445" spans="1:2" x14ac:dyDescent="0.3">
      <c r="A445"/>
      <c r="B445" s="5"/>
    </row>
    <row r="446" spans="1:2" x14ac:dyDescent="0.3">
      <c r="A446"/>
      <c r="B446" s="5"/>
    </row>
    <row r="447" spans="1:2" x14ac:dyDescent="0.3">
      <c r="A447"/>
      <c r="B447" s="5"/>
    </row>
    <row r="448" spans="1:2" x14ac:dyDescent="0.3">
      <c r="A448"/>
      <c r="B448" s="5"/>
    </row>
    <row r="449" spans="1:2" x14ac:dyDescent="0.3">
      <c r="A449"/>
      <c r="B449" s="5"/>
    </row>
    <row r="450" spans="1:2" x14ac:dyDescent="0.3">
      <c r="A450"/>
      <c r="B450" s="5"/>
    </row>
    <row r="451" spans="1:2" x14ac:dyDescent="0.3">
      <c r="A451"/>
      <c r="B451" s="5"/>
    </row>
    <row r="452" spans="1:2" x14ac:dyDescent="0.3">
      <c r="A452"/>
      <c r="B452" s="5"/>
    </row>
    <row r="453" spans="1:2" x14ac:dyDescent="0.3">
      <c r="A453"/>
      <c r="B453" s="5"/>
    </row>
    <row r="454" spans="1:2" x14ac:dyDescent="0.3">
      <c r="A454"/>
      <c r="B454" s="5"/>
    </row>
    <row r="455" spans="1:2" x14ac:dyDescent="0.3">
      <c r="A455"/>
      <c r="B455" s="5"/>
    </row>
    <row r="456" spans="1:2" x14ac:dyDescent="0.3">
      <c r="A456"/>
      <c r="B456" s="5"/>
    </row>
    <row r="457" spans="1:2" x14ac:dyDescent="0.3">
      <c r="A457"/>
      <c r="B457" s="5"/>
    </row>
    <row r="458" spans="1:2" x14ac:dyDescent="0.3">
      <c r="A458"/>
      <c r="B458" s="5"/>
    </row>
    <row r="459" spans="1:2" x14ac:dyDescent="0.3">
      <c r="A459"/>
      <c r="B459" s="5"/>
    </row>
    <row r="460" spans="1:2" x14ac:dyDescent="0.3">
      <c r="A460"/>
      <c r="B460" s="5"/>
    </row>
    <row r="461" spans="1:2" x14ac:dyDescent="0.3">
      <c r="A461"/>
      <c r="B461" s="5"/>
    </row>
    <row r="462" spans="1:2" x14ac:dyDescent="0.3">
      <c r="A462"/>
      <c r="B462" s="5"/>
    </row>
    <row r="463" spans="1:2" x14ac:dyDescent="0.3">
      <c r="A463"/>
      <c r="B463" s="5"/>
    </row>
    <row r="464" spans="1:2" x14ac:dyDescent="0.3">
      <c r="A464"/>
      <c r="B464" s="5"/>
    </row>
    <row r="465" spans="1:2" x14ac:dyDescent="0.3">
      <c r="A465"/>
      <c r="B465" s="5"/>
    </row>
    <row r="466" spans="1:2" x14ac:dyDescent="0.3">
      <c r="A466"/>
      <c r="B466" s="5"/>
    </row>
    <row r="467" spans="1:2" x14ac:dyDescent="0.3">
      <c r="A467"/>
      <c r="B467" s="5"/>
    </row>
    <row r="468" spans="1:2" x14ac:dyDescent="0.3">
      <c r="A468"/>
      <c r="B468" s="5"/>
    </row>
    <row r="469" spans="1:2" x14ac:dyDescent="0.3">
      <c r="A469"/>
      <c r="B469" s="5"/>
    </row>
    <row r="470" spans="1:2" x14ac:dyDescent="0.3">
      <c r="A470"/>
      <c r="B470" s="5"/>
    </row>
    <row r="471" spans="1:2" x14ac:dyDescent="0.3">
      <c r="A471"/>
      <c r="B471" s="5"/>
    </row>
    <row r="472" spans="1:2" x14ac:dyDescent="0.3">
      <c r="A472"/>
      <c r="B472" s="5"/>
    </row>
    <row r="473" spans="1:2" x14ac:dyDescent="0.3">
      <c r="A473"/>
      <c r="B473" s="5"/>
    </row>
    <row r="474" spans="1:2" x14ac:dyDescent="0.3">
      <c r="A474"/>
      <c r="B474" s="5"/>
    </row>
    <row r="475" spans="1:2" x14ac:dyDescent="0.3">
      <c r="A475"/>
      <c r="B475" s="5"/>
    </row>
    <row r="476" spans="1:2" x14ac:dyDescent="0.3">
      <c r="A476"/>
      <c r="B476" s="5"/>
    </row>
    <row r="477" spans="1:2" x14ac:dyDescent="0.3">
      <c r="A477"/>
      <c r="B477" s="5"/>
    </row>
    <row r="478" spans="1:2" x14ac:dyDescent="0.3">
      <c r="A478"/>
      <c r="B478" s="5"/>
    </row>
    <row r="479" spans="1:2" x14ac:dyDescent="0.3">
      <c r="A479"/>
      <c r="B479" s="5"/>
    </row>
    <row r="480" spans="1:2" x14ac:dyDescent="0.3">
      <c r="A480"/>
      <c r="B480" s="5"/>
    </row>
    <row r="481" spans="1:2" x14ac:dyDescent="0.3">
      <c r="A481"/>
      <c r="B481" s="5"/>
    </row>
    <row r="482" spans="1:2" x14ac:dyDescent="0.3">
      <c r="A482"/>
      <c r="B482" s="5"/>
    </row>
    <row r="483" spans="1:2" x14ac:dyDescent="0.3">
      <c r="A483"/>
      <c r="B483" s="5"/>
    </row>
    <row r="484" spans="1:2" x14ac:dyDescent="0.3">
      <c r="A484"/>
      <c r="B484" s="5"/>
    </row>
    <row r="485" spans="1:2" x14ac:dyDescent="0.3">
      <c r="A485"/>
      <c r="B485" s="5"/>
    </row>
    <row r="486" spans="1:2" x14ac:dyDescent="0.3">
      <c r="A486"/>
      <c r="B486" s="5"/>
    </row>
    <row r="487" spans="1:2" x14ac:dyDescent="0.3">
      <c r="A487"/>
      <c r="B487" s="5"/>
    </row>
    <row r="488" spans="1:2" x14ac:dyDescent="0.3">
      <c r="A488"/>
      <c r="B488" s="5"/>
    </row>
    <row r="489" spans="1:2" x14ac:dyDescent="0.3">
      <c r="A489"/>
      <c r="B489" s="5"/>
    </row>
    <row r="490" spans="1:2" x14ac:dyDescent="0.3">
      <c r="A490"/>
      <c r="B490" s="5"/>
    </row>
    <row r="491" spans="1:2" x14ac:dyDescent="0.3">
      <c r="A491"/>
      <c r="B491" s="5"/>
    </row>
    <row r="492" spans="1:2" x14ac:dyDescent="0.3">
      <c r="A492"/>
      <c r="B492" s="5"/>
    </row>
    <row r="493" spans="1:2" x14ac:dyDescent="0.3">
      <c r="A493"/>
      <c r="B493" s="5"/>
    </row>
    <row r="494" spans="1:2" x14ac:dyDescent="0.3">
      <c r="A494"/>
      <c r="B494" s="5"/>
    </row>
    <row r="495" spans="1:2" x14ac:dyDescent="0.3">
      <c r="A495"/>
      <c r="B495" s="5"/>
    </row>
    <row r="496" spans="1:2" x14ac:dyDescent="0.3">
      <c r="A496"/>
      <c r="B496" s="5"/>
    </row>
    <row r="497" spans="1:2" x14ac:dyDescent="0.3">
      <c r="A497"/>
      <c r="B497" s="5"/>
    </row>
    <row r="498" spans="1:2" x14ac:dyDescent="0.3">
      <c r="A498"/>
      <c r="B498" s="5"/>
    </row>
    <row r="499" spans="1:2" x14ac:dyDescent="0.3">
      <c r="A499"/>
      <c r="B499" s="5"/>
    </row>
    <row r="500" spans="1:2" x14ac:dyDescent="0.3">
      <c r="A500"/>
      <c r="B500" s="5"/>
    </row>
    <row r="501" spans="1:2" x14ac:dyDescent="0.3">
      <c r="A501"/>
      <c r="B501" s="5"/>
    </row>
    <row r="502" spans="1:2" x14ac:dyDescent="0.3">
      <c r="A502"/>
      <c r="B502" s="5"/>
    </row>
    <row r="503" spans="1:2" x14ac:dyDescent="0.3">
      <c r="A503"/>
      <c r="B503" s="5"/>
    </row>
    <row r="504" spans="1:2" x14ac:dyDescent="0.3">
      <c r="A504"/>
      <c r="B504" s="5"/>
    </row>
    <row r="505" spans="1:2" x14ac:dyDescent="0.3">
      <c r="A505"/>
      <c r="B505" s="5"/>
    </row>
    <row r="506" spans="1:2" x14ac:dyDescent="0.3">
      <c r="A506"/>
      <c r="B506" s="5"/>
    </row>
    <row r="507" spans="1:2" x14ac:dyDescent="0.3">
      <c r="A507"/>
      <c r="B507" s="5"/>
    </row>
    <row r="508" spans="1:2" x14ac:dyDescent="0.3">
      <c r="A508"/>
      <c r="B508" s="5"/>
    </row>
    <row r="509" spans="1:2" x14ac:dyDescent="0.3">
      <c r="A509"/>
      <c r="B509" s="5"/>
    </row>
    <row r="510" spans="1:2" x14ac:dyDescent="0.3">
      <c r="A510"/>
      <c r="B510" s="5"/>
    </row>
    <row r="511" spans="1:2" x14ac:dyDescent="0.3">
      <c r="A511"/>
      <c r="B511" s="5"/>
    </row>
    <row r="512" spans="1:2" x14ac:dyDescent="0.3">
      <c r="A512"/>
      <c r="B512" s="5"/>
    </row>
    <row r="513" spans="1:2" x14ac:dyDescent="0.3">
      <c r="A513"/>
      <c r="B513" s="5"/>
    </row>
    <row r="514" spans="1:2" x14ac:dyDescent="0.3">
      <c r="A514"/>
      <c r="B514" s="5"/>
    </row>
    <row r="515" spans="1:2" x14ac:dyDescent="0.3">
      <c r="A515"/>
      <c r="B515" s="5"/>
    </row>
    <row r="516" spans="1:2" x14ac:dyDescent="0.3">
      <c r="A516"/>
      <c r="B516" s="5"/>
    </row>
    <row r="517" spans="1:2" x14ac:dyDescent="0.3">
      <c r="A517"/>
      <c r="B517" s="5"/>
    </row>
    <row r="518" spans="1:2" x14ac:dyDescent="0.3">
      <c r="A518"/>
      <c r="B518" s="5"/>
    </row>
    <row r="519" spans="1:2" x14ac:dyDescent="0.3">
      <c r="A519"/>
      <c r="B519" s="5"/>
    </row>
    <row r="520" spans="1:2" x14ac:dyDescent="0.3">
      <c r="A520"/>
      <c r="B520" s="5"/>
    </row>
    <row r="521" spans="1:2" x14ac:dyDescent="0.3">
      <c r="A521"/>
      <c r="B521" s="5"/>
    </row>
    <row r="522" spans="1:2" x14ac:dyDescent="0.3">
      <c r="A522"/>
      <c r="B522" s="5"/>
    </row>
    <row r="523" spans="1:2" x14ac:dyDescent="0.3">
      <c r="A523"/>
      <c r="B523" s="5"/>
    </row>
    <row r="524" spans="1:2" x14ac:dyDescent="0.3">
      <c r="A524"/>
      <c r="B524" s="5"/>
    </row>
    <row r="525" spans="1:2" x14ac:dyDescent="0.3">
      <c r="A525"/>
      <c r="B525" s="5"/>
    </row>
    <row r="526" spans="1:2" x14ac:dyDescent="0.3">
      <c r="A526"/>
      <c r="B526" s="5"/>
    </row>
    <row r="527" spans="1:2" x14ac:dyDescent="0.3">
      <c r="A527"/>
      <c r="B527" s="5"/>
    </row>
    <row r="528" spans="1:2" x14ac:dyDescent="0.3">
      <c r="A528"/>
      <c r="B528" s="5"/>
    </row>
    <row r="529" spans="1:2" x14ac:dyDescent="0.3">
      <c r="A529"/>
      <c r="B529" s="5"/>
    </row>
    <row r="530" spans="1:2" x14ac:dyDescent="0.3">
      <c r="A530"/>
      <c r="B530" s="5"/>
    </row>
    <row r="531" spans="1:2" x14ac:dyDescent="0.3">
      <c r="A531"/>
      <c r="B531" s="5"/>
    </row>
    <row r="532" spans="1:2" x14ac:dyDescent="0.3">
      <c r="A532"/>
      <c r="B532" s="5"/>
    </row>
    <row r="533" spans="1:2" x14ac:dyDescent="0.3">
      <c r="A533"/>
      <c r="B533" s="5"/>
    </row>
    <row r="534" spans="1:2" x14ac:dyDescent="0.3">
      <c r="A534"/>
      <c r="B534" s="5"/>
    </row>
    <row r="535" spans="1:2" x14ac:dyDescent="0.3">
      <c r="A535"/>
      <c r="B535" s="5"/>
    </row>
    <row r="536" spans="1:2" x14ac:dyDescent="0.3">
      <c r="A536"/>
      <c r="B536" s="5"/>
    </row>
    <row r="537" spans="1:2" x14ac:dyDescent="0.3">
      <c r="A537"/>
      <c r="B537" s="5"/>
    </row>
    <row r="538" spans="1:2" x14ac:dyDescent="0.3">
      <c r="A538"/>
      <c r="B538" s="5"/>
    </row>
    <row r="539" spans="1:2" x14ac:dyDescent="0.3">
      <c r="A539"/>
      <c r="B539" s="5"/>
    </row>
    <row r="540" spans="1:2" x14ac:dyDescent="0.3">
      <c r="A540"/>
      <c r="B540" s="5"/>
    </row>
    <row r="541" spans="1:2" x14ac:dyDescent="0.3">
      <c r="A541"/>
      <c r="B541" s="5"/>
    </row>
    <row r="542" spans="1:2" x14ac:dyDescent="0.3">
      <c r="A542"/>
      <c r="B542" s="5"/>
    </row>
    <row r="543" spans="1:2" x14ac:dyDescent="0.3">
      <c r="A543"/>
      <c r="B543" s="5"/>
    </row>
    <row r="544" spans="1:2" x14ac:dyDescent="0.3">
      <c r="A544"/>
      <c r="B544" s="5"/>
    </row>
    <row r="545" spans="1:2" x14ac:dyDescent="0.3">
      <c r="A545"/>
      <c r="B545" s="5"/>
    </row>
    <row r="546" spans="1:2" x14ac:dyDescent="0.3">
      <c r="A546"/>
      <c r="B546" s="5"/>
    </row>
    <row r="547" spans="1:2" x14ac:dyDescent="0.3">
      <c r="A547"/>
      <c r="B547" s="5"/>
    </row>
    <row r="548" spans="1:2" x14ac:dyDescent="0.3">
      <c r="A548"/>
      <c r="B548" s="5"/>
    </row>
    <row r="549" spans="1:2" x14ac:dyDescent="0.3">
      <c r="A549"/>
      <c r="B549" s="5"/>
    </row>
    <row r="550" spans="1:2" x14ac:dyDescent="0.3">
      <c r="A550"/>
      <c r="B550" s="5"/>
    </row>
    <row r="551" spans="1:2" x14ac:dyDescent="0.3">
      <c r="A551"/>
      <c r="B551" s="5"/>
    </row>
    <row r="552" spans="1:2" x14ac:dyDescent="0.3">
      <c r="A552"/>
      <c r="B552" s="5"/>
    </row>
    <row r="553" spans="1:2" x14ac:dyDescent="0.3">
      <c r="A553"/>
      <c r="B553" s="5"/>
    </row>
    <row r="554" spans="1:2" x14ac:dyDescent="0.3">
      <c r="A554"/>
      <c r="B554" s="5"/>
    </row>
    <row r="555" spans="1:2" x14ac:dyDescent="0.3">
      <c r="A555"/>
      <c r="B555" s="5"/>
    </row>
    <row r="556" spans="1:2" x14ac:dyDescent="0.3">
      <c r="A556"/>
      <c r="B556" s="5"/>
    </row>
    <row r="557" spans="1:2" x14ac:dyDescent="0.3">
      <c r="A557"/>
      <c r="B557" s="5"/>
    </row>
    <row r="558" spans="1:2" x14ac:dyDescent="0.3">
      <c r="A558"/>
      <c r="B558" s="5"/>
    </row>
    <row r="559" spans="1:2" x14ac:dyDescent="0.3">
      <c r="A559"/>
      <c r="B559" s="5"/>
    </row>
    <row r="560" spans="1:2" x14ac:dyDescent="0.3">
      <c r="A560"/>
      <c r="B560" s="5"/>
    </row>
    <row r="561" spans="1:2" x14ac:dyDescent="0.3">
      <c r="A561"/>
      <c r="B561" s="5"/>
    </row>
    <row r="562" spans="1:2" x14ac:dyDescent="0.3">
      <c r="A562"/>
      <c r="B562" s="5"/>
    </row>
    <row r="563" spans="1:2" x14ac:dyDescent="0.3">
      <c r="A563"/>
      <c r="B563" s="5"/>
    </row>
    <row r="564" spans="1:2" x14ac:dyDescent="0.3">
      <c r="A564"/>
      <c r="B564" s="5"/>
    </row>
    <row r="565" spans="1:2" x14ac:dyDescent="0.3">
      <c r="A565"/>
      <c r="B565" s="5"/>
    </row>
    <row r="566" spans="1:2" x14ac:dyDescent="0.3">
      <c r="A566"/>
      <c r="B566" s="5"/>
    </row>
    <row r="567" spans="1:2" x14ac:dyDescent="0.3">
      <c r="A567"/>
      <c r="B567" s="5"/>
    </row>
    <row r="568" spans="1:2" x14ac:dyDescent="0.3">
      <c r="A568"/>
      <c r="B568" s="5"/>
    </row>
    <row r="569" spans="1:2" x14ac:dyDescent="0.3">
      <c r="A569"/>
      <c r="B569" s="5"/>
    </row>
    <row r="570" spans="1:2" x14ac:dyDescent="0.3">
      <c r="A570"/>
      <c r="B570" s="5"/>
    </row>
    <row r="571" spans="1:2" x14ac:dyDescent="0.3">
      <c r="A571"/>
      <c r="B571" s="5"/>
    </row>
    <row r="572" spans="1:2" x14ac:dyDescent="0.3">
      <c r="A572"/>
      <c r="B572" s="5"/>
    </row>
    <row r="573" spans="1:2" x14ac:dyDescent="0.3">
      <c r="A573"/>
      <c r="B573" s="5"/>
    </row>
    <row r="574" spans="1:2" x14ac:dyDescent="0.3">
      <c r="A574"/>
      <c r="B574" s="5"/>
    </row>
    <row r="575" spans="1:2" x14ac:dyDescent="0.3">
      <c r="A575"/>
      <c r="B575" s="5"/>
    </row>
    <row r="576" spans="1:2" x14ac:dyDescent="0.3">
      <c r="A576"/>
      <c r="B576" s="5"/>
    </row>
    <row r="577" spans="1:2" x14ac:dyDescent="0.3">
      <c r="A577"/>
      <c r="B577" s="5"/>
    </row>
    <row r="578" spans="1:2" x14ac:dyDescent="0.3">
      <c r="A578"/>
      <c r="B578" s="5"/>
    </row>
    <row r="579" spans="1:2" x14ac:dyDescent="0.3">
      <c r="A579"/>
      <c r="B579" s="5"/>
    </row>
    <row r="580" spans="1:2" x14ac:dyDescent="0.3">
      <c r="A580"/>
      <c r="B580" s="5"/>
    </row>
    <row r="581" spans="1:2" x14ac:dyDescent="0.3">
      <c r="A581"/>
      <c r="B581" s="5"/>
    </row>
    <row r="582" spans="1:2" x14ac:dyDescent="0.3">
      <c r="A582"/>
      <c r="B582" s="5"/>
    </row>
    <row r="583" spans="1:2" x14ac:dyDescent="0.3">
      <c r="A583"/>
      <c r="B583" s="5"/>
    </row>
    <row r="584" spans="1:2" x14ac:dyDescent="0.3">
      <c r="A584"/>
      <c r="B584" s="5"/>
    </row>
    <row r="585" spans="1:2" x14ac:dyDescent="0.3">
      <c r="A585"/>
      <c r="B585" s="5"/>
    </row>
    <row r="586" spans="1:2" x14ac:dyDescent="0.3">
      <c r="A586"/>
      <c r="B586" s="5"/>
    </row>
    <row r="587" spans="1:2" x14ac:dyDescent="0.3">
      <c r="A587"/>
      <c r="B587" s="5"/>
    </row>
    <row r="588" spans="1:2" x14ac:dyDescent="0.3">
      <c r="A588"/>
      <c r="B588" s="5"/>
    </row>
    <row r="589" spans="1:2" x14ac:dyDescent="0.3">
      <c r="A589"/>
      <c r="B589" s="5"/>
    </row>
    <row r="590" spans="1:2" x14ac:dyDescent="0.3">
      <c r="A590"/>
      <c r="B590" s="5"/>
    </row>
    <row r="591" spans="1:2" x14ac:dyDescent="0.3">
      <c r="A591"/>
      <c r="B591" s="5"/>
    </row>
    <row r="592" spans="1:2" x14ac:dyDescent="0.3">
      <c r="A592"/>
      <c r="B592" s="5"/>
    </row>
    <row r="593" spans="1:2" x14ac:dyDescent="0.3">
      <c r="A593"/>
      <c r="B593" s="5"/>
    </row>
    <row r="594" spans="1:2" x14ac:dyDescent="0.3">
      <c r="A594"/>
      <c r="B594" s="5"/>
    </row>
    <row r="595" spans="1:2" x14ac:dyDescent="0.3">
      <c r="A595"/>
      <c r="B595" s="5"/>
    </row>
    <row r="596" spans="1:2" x14ac:dyDescent="0.3">
      <c r="A596"/>
      <c r="B596" s="5"/>
    </row>
    <row r="597" spans="1:2" x14ac:dyDescent="0.3">
      <c r="A597"/>
      <c r="B597" s="5"/>
    </row>
    <row r="598" spans="1:2" x14ac:dyDescent="0.3">
      <c r="A598"/>
      <c r="B598" s="5"/>
    </row>
    <row r="599" spans="1:2" x14ac:dyDescent="0.3">
      <c r="A599"/>
      <c r="B599" s="5"/>
    </row>
    <row r="600" spans="1:2" x14ac:dyDescent="0.3">
      <c r="A600"/>
      <c r="B600" s="5"/>
    </row>
    <row r="601" spans="1:2" x14ac:dyDescent="0.3">
      <c r="A601"/>
      <c r="B601" s="5"/>
    </row>
    <row r="602" spans="1:2" x14ac:dyDescent="0.3">
      <c r="A602"/>
      <c r="B602" s="5"/>
    </row>
    <row r="603" spans="1:2" x14ac:dyDescent="0.3">
      <c r="A603"/>
      <c r="B603" s="5"/>
    </row>
    <row r="604" spans="1:2" x14ac:dyDescent="0.3">
      <c r="A604"/>
      <c r="B604" s="5"/>
    </row>
    <row r="605" spans="1:2" x14ac:dyDescent="0.3">
      <c r="A605"/>
      <c r="B605" s="5"/>
    </row>
    <row r="606" spans="1:2" x14ac:dyDescent="0.3">
      <c r="A606"/>
      <c r="B606" s="5"/>
    </row>
    <row r="607" spans="1:2" x14ac:dyDescent="0.3">
      <c r="A607"/>
      <c r="B607" s="5"/>
    </row>
    <row r="608" spans="1:2" x14ac:dyDescent="0.3">
      <c r="A608"/>
      <c r="B608" s="5"/>
    </row>
    <row r="609" spans="1:2" x14ac:dyDescent="0.3">
      <c r="A609"/>
      <c r="B609" s="5"/>
    </row>
    <row r="610" spans="1:2" x14ac:dyDescent="0.3">
      <c r="A610"/>
      <c r="B610" s="5"/>
    </row>
    <row r="611" spans="1:2" x14ac:dyDescent="0.3">
      <c r="A611"/>
      <c r="B611" s="5"/>
    </row>
    <row r="612" spans="1:2" x14ac:dyDescent="0.3">
      <c r="A612"/>
      <c r="B612" s="5"/>
    </row>
    <row r="613" spans="1:2" x14ac:dyDescent="0.3">
      <c r="A613"/>
      <c r="B613" s="5"/>
    </row>
    <row r="614" spans="1:2" x14ac:dyDescent="0.3">
      <c r="A614"/>
      <c r="B614" s="5"/>
    </row>
    <row r="615" spans="1:2" x14ac:dyDescent="0.3">
      <c r="A615"/>
      <c r="B615" s="5"/>
    </row>
    <row r="616" spans="1:2" x14ac:dyDescent="0.3">
      <c r="A616"/>
      <c r="B616" s="5"/>
    </row>
    <row r="617" spans="1:2" x14ac:dyDescent="0.3">
      <c r="A617"/>
      <c r="B617" s="5"/>
    </row>
    <row r="618" spans="1:2" x14ac:dyDescent="0.3">
      <c r="A618"/>
      <c r="B618" s="5"/>
    </row>
    <row r="619" spans="1:2" x14ac:dyDescent="0.3">
      <c r="A619"/>
      <c r="B619" s="5"/>
    </row>
    <row r="620" spans="1:2" x14ac:dyDescent="0.3">
      <c r="A620"/>
      <c r="B620" s="5"/>
    </row>
    <row r="621" spans="1:2" x14ac:dyDescent="0.3">
      <c r="A621"/>
      <c r="B621" s="5"/>
    </row>
    <row r="622" spans="1:2" x14ac:dyDescent="0.3">
      <c r="A622"/>
      <c r="B622" s="5"/>
    </row>
    <row r="623" spans="1:2" x14ac:dyDescent="0.3">
      <c r="A623"/>
      <c r="B623" s="5"/>
    </row>
    <row r="624" spans="1:2" x14ac:dyDescent="0.3">
      <c r="A624"/>
      <c r="B624" s="5"/>
    </row>
    <row r="625" spans="1:2" x14ac:dyDescent="0.3">
      <c r="A625"/>
      <c r="B625" s="5"/>
    </row>
    <row r="626" spans="1:2" x14ac:dyDescent="0.3">
      <c r="A626"/>
      <c r="B626" s="5"/>
    </row>
    <row r="627" spans="1:2" x14ac:dyDescent="0.3">
      <c r="A627"/>
      <c r="B627" s="5"/>
    </row>
    <row r="628" spans="1:2" x14ac:dyDescent="0.3">
      <c r="A628"/>
      <c r="B628" s="5"/>
    </row>
    <row r="629" spans="1:2" x14ac:dyDescent="0.3">
      <c r="A629"/>
      <c r="B629" s="5"/>
    </row>
    <row r="630" spans="1:2" x14ac:dyDescent="0.3">
      <c r="A630"/>
      <c r="B630" s="5"/>
    </row>
    <row r="631" spans="1:2" x14ac:dyDescent="0.3">
      <c r="A631"/>
      <c r="B631" s="5"/>
    </row>
    <row r="632" spans="1:2" x14ac:dyDescent="0.3">
      <c r="A632"/>
      <c r="B632" s="5"/>
    </row>
    <row r="633" spans="1:2" x14ac:dyDescent="0.3">
      <c r="A633"/>
      <c r="B633" s="5"/>
    </row>
    <row r="634" spans="1:2" x14ac:dyDescent="0.3">
      <c r="A634"/>
      <c r="B634" s="5"/>
    </row>
    <row r="635" spans="1:2" x14ac:dyDescent="0.3">
      <c r="A635"/>
      <c r="B635" s="5"/>
    </row>
    <row r="636" spans="1:2" x14ac:dyDescent="0.3">
      <c r="A636"/>
      <c r="B636" s="5"/>
    </row>
    <row r="637" spans="1:2" x14ac:dyDescent="0.3">
      <c r="A637"/>
      <c r="B637" s="5"/>
    </row>
    <row r="638" spans="1:2" x14ac:dyDescent="0.3">
      <c r="A638"/>
      <c r="B638" s="5"/>
    </row>
    <row r="639" spans="1:2" x14ac:dyDescent="0.3">
      <c r="A639"/>
      <c r="B639" s="5"/>
    </row>
    <row r="640" spans="1:2" x14ac:dyDescent="0.3">
      <c r="A640"/>
      <c r="B640" s="5"/>
    </row>
    <row r="641" spans="1:2" x14ac:dyDescent="0.3">
      <c r="A641"/>
      <c r="B641" s="5"/>
    </row>
    <row r="642" spans="1:2" x14ac:dyDescent="0.3">
      <c r="A642"/>
      <c r="B642" s="5"/>
    </row>
    <row r="643" spans="1:2" x14ac:dyDescent="0.3">
      <c r="A643"/>
      <c r="B643" s="5"/>
    </row>
    <row r="644" spans="1:2" x14ac:dyDescent="0.3">
      <c r="A644"/>
      <c r="B644" s="5"/>
    </row>
    <row r="645" spans="1:2" x14ac:dyDescent="0.3">
      <c r="A645"/>
      <c r="B645" s="5"/>
    </row>
    <row r="646" spans="1:2" x14ac:dyDescent="0.3">
      <c r="A646"/>
      <c r="B646" s="5"/>
    </row>
    <row r="647" spans="1:2" x14ac:dyDescent="0.3">
      <c r="A647"/>
      <c r="B647" s="5"/>
    </row>
    <row r="648" spans="1:2" x14ac:dyDescent="0.3">
      <c r="A648"/>
      <c r="B648" s="5"/>
    </row>
    <row r="649" spans="1:2" x14ac:dyDescent="0.3">
      <c r="A649"/>
      <c r="B649" s="5"/>
    </row>
    <row r="650" spans="1:2" x14ac:dyDescent="0.3">
      <c r="A650"/>
      <c r="B650" s="5"/>
    </row>
    <row r="651" spans="1:2" x14ac:dyDescent="0.3">
      <c r="A651"/>
      <c r="B651" s="5"/>
    </row>
    <row r="652" spans="1:2" x14ac:dyDescent="0.3">
      <c r="A652"/>
      <c r="B652" s="5"/>
    </row>
    <row r="653" spans="1:2" x14ac:dyDescent="0.3">
      <c r="A653"/>
      <c r="B653" s="5"/>
    </row>
    <row r="654" spans="1:2" x14ac:dyDescent="0.3">
      <c r="A654"/>
      <c r="B654" s="5"/>
    </row>
    <row r="655" spans="1:2" x14ac:dyDescent="0.3">
      <c r="A655"/>
      <c r="B655" s="5"/>
    </row>
    <row r="656" spans="1:2" x14ac:dyDescent="0.3">
      <c r="A656"/>
      <c r="B656" s="5"/>
    </row>
    <row r="657" spans="1:2" x14ac:dyDescent="0.3">
      <c r="A657"/>
      <c r="B657" s="5"/>
    </row>
    <row r="658" spans="1:2" x14ac:dyDescent="0.3">
      <c r="A658"/>
      <c r="B658" s="5"/>
    </row>
    <row r="659" spans="1:2" x14ac:dyDescent="0.3">
      <c r="A659"/>
      <c r="B659" s="5"/>
    </row>
    <row r="660" spans="1:2" x14ac:dyDescent="0.3">
      <c r="A660"/>
      <c r="B660" s="5"/>
    </row>
    <row r="661" spans="1:2" x14ac:dyDescent="0.3">
      <c r="A661"/>
      <c r="B661" s="5"/>
    </row>
    <row r="662" spans="1:2" x14ac:dyDescent="0.3">
      <c r="A662"/>
      <c r="B662" s="5"/>
    </row>
    <row r="663" spans="1:2" x14ac:dyDescent="0.3">
      <c r="A663"/>
      <c r="B663" s="5"/>
    </row>
    <row r="664" spans="1:2" x14ac:dyDescent="0.3">
      <c r="A664"/>
      <c r="B664" s="5"/>
    </row>
    <row r="665" spans="1:2" x14ac:dyDescent="0.3">
      <c r="A665"/>
      <c r="B665" s="5"/>
    </row>
    <row r="666" spans="1:2" x14ac:dyDescent="0.3">
      <c r="A666"/>
      <c r="B666" s="5"/>
    </row>
    <row r="667" spans="1:2" x14ac:dyDescent="0.3">
      <c r="A667"/>
      <c r="B667" s="5"/>
    </row>
    <row r="668" spans="1:2" x14ac:dyDescent="0.3">
      <c r="A668"/>
      <c r="B668" s="5"/>
    </row>
    <row r="669" spans="1:2" x14ac:dyDescent="0.3">
      <c r="A669"/>
      <c r="B669" s="5"/>
    </row>
    <row r="670" spans="1:2" x14ac:dyDescent="0.3">
      <c r="A670"/>
      <c r="B670" s="5"/>
    </row>
    <row r="671" spans="1:2" x14ac:dyDescent="0.3">
      <c r="A671"/>
      <c r="B671" s="5"/>
    </row>
    <row r="672" spans="1:2" x14ac:dyDescent="0.3">
      <c r="A672"/>
      <c r="B672" s="5"/>
    </row>
    <row r="673" spans="1:2" x14ac:dyDescent="0.3">
      <c r="A673"/>
      <c r="B673" s="5"/>
    </row>
    <row r="674" spans="1:2" x14ac:dyDescent="0.3">
      <c r="A674"/>
      <c r="B674" s="5"/>
    </row>
    <row r="675" spans="1:2" x14ac:dyDescent="0.3">
      <c r="A675"/>
      <c r="B675" s="5"/>
    </row>
    <row r="676" spans="1:2" x14ac:dyDescent="0.3">
      <c r="A676"/>
      <c r="B676" s="5"/>
    </row>
    <row r="677" spans="1:2" x14ac:dyDescent="0.3">
      <c r="A677"/>
      <c r="B677" s="5"/>
    </row>
    <row r="678" spans="1:2" x14ac:dyDescent="0.3">
      <c r="A678"/>
      <c r="B678" s="5"/>
    </row>
    <row r="679" spans="1:2" x14ac:dyDescent="0.3">
      <c r="A679"/>
      <c r="B679" s="5"/>
    </row>
    <row r="680" spans="1:2" x14ac:dyDescent="0.3">
      <c r="A680"/>
      <c r="B680" s="5"/>
    </row>
    <row r="681" spans="1:2" x14ac:dyDescent="0.3">
      <c r="A681"/>
      <c r="B681" s="5"/>
    </row>
    <row r="682" spans="1:2" x14ac:dyDescent="0.3">
      <c r="A682"/>
      <c r="B682" s="5"/>
    </row>
    <row r="683" spans="1:2" x14ac:dyDescent="0.3">
      <c r="A683"/>
      <c r="B683" s="5"/>
    </row>
    <row r="684" spans="1:2" x14ac:dyDescent="0.3">
      <c r="A684"/>
      <c r="B684" s="5"/>
    </row>
    <row r="685" spans="1:2" x14ac:dyDescent="0.3">
      <c r="A685"/>
      <c r="B685" s="5"/>
    </row>
    <row r="686" spans="1:2" x14ac:dyDescent="0.3">
      <c r="A686"/>
      <c r="B686" s="5"/>
    </row>
    <row r="687" spans="1:2" x14ac:dyDescent="0.3">
      <c r="A687"/>
      <c r="B687" s="5"/>
    </row>
    <row r="688" spans="1:2" x14ac:dyDescent="0.3">
      <c r="A688"/>
      <c r="B688" s="5"/>
    </row>
    <row r="689" spans="1:2" x14ac:dyDescent="0.3">
      <c r="A689"/>
      <c r="B689" s="5"/>
    </row>
    <row r="690" spans="1:2" x14ac:dyDescent="0.3">
      <c r="A690"/>
      <c r="B690" s="5"/>
    </row>
    <row r="691" spans="1:2" x14ac:dyDescent="0.3">
      <c r="A691"/>
      <c r="B691" s="5"/>
    </row>
    <row r="692" spans="1:2" x14ac:dyDescent="0.3">
      <c r="A692"/>
      <c r="B692" s="5"/>
    </row>
    <row r="693" spans="1:2" x14ac:dyDescent="0.3">
      <c r="A693"/>
      <c r="B693" s="5"/>
    </row>
    <row r="694" spans="1:2" x14ac:dyDescent="0.3">
      <c r="A694"/>
      <c r="B694" s="5"/>
    </row>
    <row r="695" spans="1:2" x14ac:dyDescent="0.3">
      <c r="A695"/>
      <c r="B695" s="5"/>
    </row>
    <row r="696" spans="1:2" x14ac:dyDescent="0.3">
      <c r="A696"/>
      <c r="B696" s="5"/>
    </row>
    <row r="697" spans="1:2" x14ac:dyDescent="0.3">
      <c r="A697"/>
      <c r="B697" s="5"/>
    </row>
    <row r="698" spans="1:2" x14ac:dyDescent="0.3">
      <c r="A698"/>
      <c r="B698" s="5"/>
    </row>
    <row r="699" spans="1:2" x14ac:dyDescent="0.3">
      <c r="A699"/>
      <c r="B699" s="5"/>
    </row>
    <row r="700" spans="1:2" x14ac:dyDescent="0.3">
      <c r="A700"/>
      <c r="B700" s="5"/>
    </row>
    <row r="701" spans="1:2" x14ac:dyDescent="0.3">
      <c r="A701"/>
      <c r="B701" s="5"/>
    </row>
    <row r="702" spans="1:2" x14ac:dyDescent="0.3">
      <c r="A702"/>
      <c r="B702" s="5"/>
    </row>
    <row r="703" spans="1:2" x14ac:dyDescent="0.3">
      <c r="A703"/>
      <c r="B703" s="5"/>
    </row>
    <row r="704" spans="1:2" x14ac:dyDescent="0.3">
      <c r="A704"/>
      <c r="B704" s="5"/>
    </row>
    <row r="705" spans="1:2" x14ac:dyDescent="0.3">
      <c r="A705"/>
      <c r="B705" s="5"/>
    </row>
    <row r="706" spans="1:2" x14ac:dyDescent="0.3">
      <c r="A706"/>
      <c r="B706" s="5"/>
    </row>
    <row r="707" spans="1:2" x14ac:dyDescent="0.3">
      <c r="A707"/>
      <c r="B707" s="5"/>
    </row>
    <row r="708" spans="1:2" x14ac:dyDescent="0.3">
      <c r="A708"/>
      <c r="B708" s="5"/>
    </row>
    <row r="709" spans="1:2" x14ac:dyDescent="0.3">
      <c r="A709"/>
      <c r="B709" s="5"/>
    </row>
    <row r="710" spans="1:2" x14ac:dyDescent="0.3">
      <c r="A710"/>
      <c r="B710" s="5"/>
    </row>
    <row r="711" spans="1:2" x14ac:dyDescent="0.3">
      <c r="A711"/>
      <c r="B711" s="5"/>
    </row>
    <row r="712" spans="1:2" x14ac:dyDescent="0.3">
      <c r="A712"/>
      <c r="B712" s="5"/>
    </row>
    <row r="713" spans="1:2" x14ac:dyDescent="0.3">
      <c r="A713"/>
      <c r="B713" s="5"/>
    </row>
    <row r="714" spans="1:2" x14ac:dyDescent="0.3">
      <c r="A714"/>
      <c r="B714" s="5"/>
    </row>
    <row r="715" spans="1:2" x14ac:dyDescent="0.3">
      <c r="A715"/>
      <c r="B715" s="5"/>
    </row>
    <row r="716" spans="1:2" x14ac:dyDescent="0.3">
      <c r="A716"/>
      <c r="B716" s="5"/>
    </row>
    <row r="717" spans="1:2" x14ac:dyDescent="0.3">
      <c r="A717"/>
      <c r="B717" s="5"/>
    </row>
    <row r="718" spans="1:2" x14ac:dyDescent="0.3">
      <c r="A718"/>
      <c r="B718" s="5"/>
    </row>
    <row r="719" spans="1:2" x14ac:dyDescent="0.3">
      <c r="A719"/>
      <c r="B719" s="5"/>
    </row>
    <row r="720" spans="1:2" x14ac:dyDescent="0.3">
      <c r="A720"/>
      <c r="B720" s="5"/>
    </row>
    <row r="721" spans="1:2" x14ac:dyDescent="0.3">
      <c r="A721"/>
      <c r="B721" s="5"/>
    </row>
    <row r="722" spans="1:2" x14ac:dyDescent="0.3">
      <c r="A722"/>
      <c r="B722" s="5"/>
    </row>
    <row r="723" spans="1:2" x14ac:dyDescent="0.3">
      <c r="A723"/>
      <c r="B723" s="5"/>
    </row>
    <row r="724" spans="1:2" x14ac:dyDescent="0.3">
      <c r="A724"/>
      <c r="B724" s="5"/>
    </row>
    <row r="725" spans="1:2" x14ac:dyDescent="0.3">
      <c r="A725"/>
      <c r="B725" s="5"/>
    </row>
    <row r="726" spans="1:2" x14ac:dyDescent="0.3">
      <c r="A726"/>
      <c r="B726" s="5"/>
    </row>
    <row r="727" spans="1:2" x14ac:dyDescent="0.3">
      <c r="A727"/>
      <c r="B727" s="5"/>
    </row>
    <row r="728" spans="1:2" x14ac:dyDescent="0.3">
      <c r="A728"/>
      <c r="B728" s="5"/>
    </row>
    <row r="729" spans="1:2" x14ac:dyDescent="0.3">
      <c r="A729"/>
      <c r="B729" s="5"/>
    </row>
    <row r="730" spans="1:2" x14ac:dyDescent="0.3">
      <c r="A730"/>
      <c r="B730" s="5"/>
    </row>
    <row r="731" spans="1:2" x14ac:dyDescent="0.3">
      <c r="A731"/>
      <c r="B731" s="5"/>
    </row>
    <row r="732" spans="1:2" x14ac:dyDescent="0.3">
      <c r="A732"/>
      <c r="B732" s="5"/>
    </row>
    <row r="733" spans="1:2" x14ac:dyDescent="0.3">
      <c r="A733"/>
      <c r="B733" s="5"/>
    </row>
    <row r="734" spans="1:2" x14ac:dyDescent="0.3">
      <c r="A734"/>
      <c r="B734" s="5"/>
    </row>
    <row r="735" spans="1:2" x14ac:dyDescent="0.3">
      <c r="A735"/>
      <c r="B735" s="5"/>
    </row>
    <row r="736" spans="1:2" x14ac:dyDescent="0.3">
      <c r="A736"/>
      <c r="B736" s="5"/>
    </row>
    <row r="737" spans="1:2" x14ac:dyDescent="0.3">
      <c r="A737"/>
      <c r="B737" s="5"/>
    </row>
    <row r="738" spans="1:2" x14ac:dyDescent="0.3">
      <c r="A738"/>
      <c r="B738" s="5"/>
    </row>
    <row r="739" spans="1:2" x14ac:dyDescent="0.3">
      <c r="A739"/>
      <c r="B739" s="5"/>
    </row>
    <row r="740" spans="1:2" x14ac:dyDescent="0.3">
      <c r="A740"/>
      <c r="B740" s="5"/>
    </row>
    <row r="741" spans="1:2" x14ac:dyDescent="0.3">
      <c r="A741"/>
      <c r="B741" s="5"/>
    </row>
    <row r="742" spans="1:2" x14ac:dyDescent="0.3">
      <c r="A742"/>
      <c r="B742" s="5"/>
    </row>
    <row r="743" spans="1:2" x14ac:dyDescent="0.3">
      <c r="A743"/>
      <c r="B743" s="5"/>
    </row>
    <row r="744" spans="1:2" x14ac:dyDescent="0.3">
      <c r="A744"/>
      <c r="B744" s="5"/>
    </row>
    <row r="745" spans="1:2" x14ac:dyDescent="0.3">
      <c r="A745"/>
      <c r="B745" s="5"/>
    </row>
    <row r="746" spans="1:2" x14ac:dyDescent="0.3">
      <c r="A746"/>
      <c r="B746" s="5"/>
    </row>
    <row r="747" spans="1:2" x14ac:dyDescent="0.3">
      <c r="A747"/>
      <c r="B747" s="5"/>
    </row>
    <row r="748" spans="1:2" x14ac:dyDescent="0.3">
      <c r="A748"/>
      <c r="B748" s="5"/>
    </row>
    <row r="749" spans="1:2" x14ac:dyDescent="0.3">
      <c r="A749"/>
      <c r="B749" s="5"/>
    </row>
    <row r="750" spans="1:2" x14ac:dyDescent="0.3">
      <c r="A750"/>
      <c r="B750" s="5"/>
    </row>
    <row r="751" spans="1:2" x14ac:dyDescent="0.3">
      <c r="A751"/>
      <c r="B751" s="5"/>
    </row>
    <row r="752" spans="1:2" x14ac:dyDescent="0.3">
      <c r="A752"/>
      <c r="B752" s="5"/>
    </row>
    <row r="753" spans="1:2" x14ac:dyDescent="0.3">
      <c r="A753"/>
      <c r="B753" s="5"/>
    </row>
    <row r="754" spans="1:2" x14ac:dyDescent="0.3">
      <c r="A754"/>
      <c r="B754" s="5"/>
    </row>
    <row r="755" spans="1:2" x14ac:dyDescent="0.3">
      <c r="A755"/>
      <c r="B755" s="5"/>
    </row>
    <row r="756" spans="1:2" x14ac:dyDescent="0.3">
      <c r="A756"/>
      <c r="B756" s="5"/>
    </row>
    <row r="757" spans="1:2" x14ac:dyDescent="0.3">
      <c r="A757"/>
      <c r="B757" s="5"/>
    </row>
    <row r="758" spans="1:2" x14ac:dyDescent="0.3">
      <c r="A758"/>
      <c r="B758" s="5"/>
    </row>
    <row r="759" spans="1:2" x14ac:dyDescent="0.3">
      <c r="A759"/>
      <c r="B759" s="5"/>
    </row>
    <row r="760" spans="1:2" x14ac:dyDescent="0.3">
      <c r="A760"/>
      <c r="B760" s="5"/>
    </row>
    <row r="761" spans="1:2" x14ac:dyDescent="0.3">
      <c r="A761"/>
      <c r="B761" s="5"/>
    </row>
    <row r="762" spans="1:2" x14ac:dyDescent="0.3">
      <c r="A762"/>
      <c r="B762" s="5"/>
    </row>
    <row r="763" spans="1:2" x14ac:dyDescent="0.3">
      <c r="A763"/>
      <c r="B763" s="5"/>
    </row>
    <row r="764" spans="1:2" x14ac:dyDescent="0.3">
      <c r="A764"/>
      <c r="B764" s="5"/>
    </row>
    <row r="765" spans="1:2" x14ac:dyDescent="0.3">
      <c r="A765"/>
      <c r="B765" s="5"/>
    </row>
    <row r="766" spans="1:2" x14ac:dyDescent="0.3">
      <c r="A766"/>
      <c r="B766" s="5"/>
    </row>
    <row r="767" spans="1:2" x14ac:dyDescent="0.3">
      <c r="A767"/>
      <c r="B767" s="5"/>
    </row>
    <row r="768" spans="1:2" x14ac:dyDescent="0.3">
      <c r="A768"/>
      <c r="B768" s="5"/>
    </row>
    <row r="769" spans="1:2" x14ac:dyDescent="0.3">
      <c r="A769"/>
      <c r="B769" s="5"/>
    </row>
    <row r="770" spans="1:2" x14ac:dyDescent="0.3">
      <c r="A770"/>
      <c r="B770" s="5"/>
    </row>
    <row r="771" spans="1:2" x14ac:dyDescent="0.3">
      <c r="A771"/>
      <c r="B771" s="5"/>
    </row>
    <row r="772" spans="1:2" x14ac:dyDescent="0.3">
      <c r="A772"/>
      <c r="B772" s="5"/>
    </row>
    <row r="773" spans="1:2" x14ac:dyDescent="0.3">
      <c r="A773"/>
      <c r="B773" s="5"/>
    </row>
    <row r="774" spans="1:2" x14ac:dyDescent="0.3">
      <c r="A774"/>
      <c r="B774" s="5"/>
    </row>
    <row r="775" spans="1:2" x14ac:dyDescent="0.3">
      <c r="A775"/>
      <c r="B775" s="5"/>
    </row>
    <row r="776" spans="1:2" x14ac:dyDescent="0.3">
      <c r="A776"/>
      <c r="B776" s="5"/>
    </row>
    <row r="777" spans="1:2" x14ac:dyDescent="0.3">
      <c r="A777"/>
      <c r="B777" s="5"/>
    </row>
    <row r="778" spans="1:2" x14ac:dyDescent="0.3">
      <c r="A778"/>
      <c r="B778" s="5"/>
    </row>
    <row r="779" spans="1:2" x14ac:dyDescent="0.3">
      <c r="A779"/>
      <c r="B779" s="5"/>
    </row>
    <row r="780" spans="1:2" x14ac:dyDescent="0.3">
      <c r="A780"/>
      <c r="B780" s="5"/>
    </row>
    <row r="781" spans="1:2" x14ac:dyDescent="0.3">
      <c r="A781"/>
      <c r="B781" s="5"/>
    </row>
    <row r="782" spans="1:2" x14ac:dyDescent="0.3">
      <c r="A782"/>
      <c r="B782" s="5"/>
    </row>
    <row r="783" spans="1:2" x14ac:dyDescent="0.3">
      <c r="A783"/>
      <c r="B783" s="5"/>
    </row>
    <row r="784" spans="1:2" x14ac:dyDescent="0.3">
      <c r="A784"/>
      <c r="B784" s="5"/>
    </row>
    <row r="785" spans="1:2" x14ac:dyDescent="0.3">
      <c r="A785"/>
      <c r="B785" s="5"/>
    </row>
    <row r="786" spans="1:2" x14ac:dyDescent="0.3">
      <c r="A786"/>
      <c r="B786" s="5"/>
    </row>
    <row r="787" spans="1:2" x14ac:dyDescent="0.3">
      <c r="A787"/>
      <c r="B787" s="5"/>
    </row>
    <row r="788" spans="1:2" x14ac:dyDescent="0.3">
      <c r="A788"/>
      <c r="B788" s="5"/>
    </row>
    <row r="789" spans="1:2" x14ac:dyDescent="0.3">
      <c r="A789"/>
      <c r="B789" s="5"/>
    </row>
    <row r="790" spans="1:2" x14ac:dyDescent="0.3">
      <c r="A790"/>
      <c r="B790" s="5"/>
    </row>
    <row r="791" spans="1:2" x14ac:dyDescent="0.3">
      <c r="A791"/>
      <c r="B791" s="5"/>
    </row>
    <row r="792" spans="1:2" x14ac:dyDescent="0.3">
      <c r="A792"/>
      <c r="B792" s="5"/>
    </row>
    <row r="793" spans="1:2" x14ac:dyDescent="0.3">
      <c r="A793"/>
      <c r="B793" s="5"/>
    </row>
    <row r="794" spans="1:2" x14ac:dyDescent="0.3">
      <c r="A794"/>
      <c r="B794" s="5"/>
    </row>
    <row r="795" spans="1:2" x14ac:dyDescent="0.3">
      <c r="A795"/>
      <c r="B795" s="5"/>
    </row>
    <row r="796" spans="1:2" x14ac:dyDescent="0.3">
      <c r="A796"/>
      <c r="B796" s="5"/>
    </row>
    <row r="797" spans="1:2" x14ac:dyDescent="0.3">
      <c r="A797"/>
      <c r="B797" s="5"/>
    </row>
    <row r="798" spans="1:2" x14ac:dyDescent="0.3">
      <c r="A798"/>
      <c r="B798" s="5"/>
    </row>
    <row r="799" spans="1:2" x14ac:dyDescent="0.3">
      <c r="A799"/>
      <c r="B799" s="5"/>
    </row>
    <row r="800" spans="1:2" x14ac:dyDescent="0.3">
      <c r="A800"/>
      <c r="B800" s="5"/>
    </row>
    <row r="801" spans="1:2" x14ac:dyDescent="0.3">
      <c r="A801"/>
      <c r="B801" s="5"/>
    </row>
    <row r="802" spans="1:2" x14ac:dyDescent="0.3">
      <c r="A802"/>
      <c r="B802" s="5"/>
    </row>
    <row r="803" spans="1:2" x14ac:dyDescent="0.3">
      <c r="A803"/>
      <c r="B803" s="5"/>
    </row>
    <row r="804" spans="1:2" x14ac:dyDescent="0.3">
      <c r="A804"/>
      <c r="B804" s="5"/>
    </row>
    <row r="805" spans="1:2" x14ac:dyDescent="0.3">
      <c r="A805"/>
      <c r="B805" s="5"/>
    </row>
    <row r="806" spans="1:2" x14ac:dyDescent="0.3">
      <c r="A806"/>
      <c r="B806" s="5"/>
    </row>
    <row r="807" spans="1:2" x14ac:dyDescent="0.3">
      <c r="A807"/>
      <c r="B807" s="5"/>
    </row>
    <row r="808" spans="1:2" x14ac:dyDescent="0.3">
      <c r="A808"/>
      <c r="B808" s="5"/>
    </row>
    <row r="809" spans="1:2" x14ac:dyDescent="0.3">
      <c r="A809"/>
      <c r="B809" s="5"/>
    </row>
    <row r="810" spans="1:2" x14ac:dyDescent="0.3">
      <c r="A810"/>
      <c r="B810" s="5"/>
    </row>
    <row r="811" spans="1:2" x14ac:dyDescent="0.3">
      <c r="A811"/>
      <c r="B811" s="5"/>
    </row>
    <row r="812" spans="1:2" x14ac:dyDescent="0.3">
      <c r="A812"/>
      <c r="B812" s="5"/>
    </row>
    <row r="813" spans="1:2" x14ac:dyDescent="0.3">
      <c r="A813"/>
      <c r="B813" s="5"/>
    </row>
    <row r="814" spans="1:2" x14ac:dyDescent="0.3">
      <c r="A814"/>
      <c r="B814" s="5"/>
    </row>
    <row r="815" spans="1:2" x14ac:dyDescent="0.3">
      <c r="A815"/>
      <c r="B815" s="5"/>
    </row>
    <row r="816" spans="1:2" x14ac:dyDescent="0.3">
      <c r="A816"/>
      <c r="B816" s="5"/>
    </row>
    <row r="817" spans="1:2" x14ac:dyDescent="0.3">
      <c r="A817"/>
      <c r="B817" s="5"/>
    </row>
    <row r="818" spans="1:2" x14ac:dyDescent="0.3">
      <c r="A818"/>
      <c r="B818" s="5"/>
    </row>
    <row r="819" spans="1:2" x14ac:dyDescent="0.3">
      <c r="A819"/>
      <c r="B819" s="5"/>
    </row>
    <row r="820" spans="1:2" x14ac:dyDescent="0.3">
      <c r="A820"/>
      <c r="B820" s="5"/>
    </row>
    <row r="821" spans="1:2" x14ac:dyDescent="0.3">
      <c r="A821"/>
      <c r="B821" s="5"/>
    </row>
    <row r="822" spans="1:2" x14ac:dyDescent="0.3">
      <c r="A822"/>
      <c r="B822" s="5"/>
    </row>
    <row r="823" spans="1:2" x14ac:dyDescent="0.3">
      <c r="A823"/>
      <c r="B823" s="5"/>
    </row>
    <row r="824" spans="1:2" x14ac:dyDescent="0.3">
      <c r="A824"/>
      <c r="B824" s="5"/>
    </row>
    <row r="825" spans="1:2" x14ac:dyDescent="0.3">
      <c r="A825"/>
      <c r="B825" s="5"/>
    </row>
    <row r="826" spans="1:2" x14ac:dyDescent="0.3">
      <c r="A826"/>
      <c r="B826" s="5"/>
    </row>
    <row r="827" spans="1:2" x14ac:dyDescent="0.3">
      <c r="A827"/>
      <c r="B827" s="5"/>
    </row>
    <row r="828" spans="1:2" x14ac:dyDescent="0.3">
      <c r="A828"/>
      <c r="B828" s="5"/>
    </row>
    <row r="829" spans="1:2" x14ac:dyDescent="0.3">
      <c r="A829"/>
      <c r="B829" s="5"/>
    </row>
    <row r="830" spans="1:2" x14ac:dyDescent="0.3">
      <c r="A830"/>
      <c r="B830" s="5"/>
    </row>
    <row r="831" spans="1:2" x14ac:dyDescent="0.3">
      <c r="A831"/>
      <c r="B831" s="5"/>
    </row>
    <row r="832" spans="1:2" x14ac:dyDescent="0.3">
      <c r="A832"/>
      <c r="B832" s="5"/>
    </row>
    <row r="833" spans="1:2" x14ac:dyDescent="0.3">
      <c r="A833"/>
      <c r="B833" s="5"/>
    </row>
    <row r="834" spans="1:2" x14ac:dyDescent="0.3">
      <c r="A834"/>
      <c r="B834" s="5"/>
    </row>
    <row r="835" spans="1:2" x14ac:dyDescent="0.3">
      <c r="A835"/>
      <c r="B835" s="5"/>
    </row>
    <row r="836" spans="1:2" x14ac:dyDescent="0.3">
      <c r="A836"/>
      <c r="B836" s="5"/>
    </row>
    <row r="837" spans="1:2" x14ac:dyDescent="0.3">
      <c r="A837"/>
      <c r="B837" s="5"/>
    </row>
    <row r="838" spans="1:2" x14ac:dyDescent="0.3">
      <c r="A838"/>
      <c r="B838" s="5"/>
    </row>
    <row r="839" spans="1:2" x14ac:dyDescent="0.3">
      <c r="A839"/>
      <c r="B839" s="5"/>
    </row>
    <row r="840" spans="1:2" x14ac:dyDescent="0.3">
      <c r="A840"/>
      <c r="B840" s="5"/>
    </row>
    <row r="841" spans="1:2" x14ac:dyDescent="0.3">
      <c r="A841"/>
      <c r="B841" s="5"/>
    </row>
    <row r="842" spans="1:2" x14ac:dyDescent="0.3">
      <c r="A842"/>
      <c r="B842" s="5"/>
    </row>
    <row r="843" spans="1:2" x14ac:dyDescent="0.3">
      <c r="A843"/>
      <c r="B843" s="5"/>
    </row>
    <row r="844" spans="1:2" x14ac:dyDescent="0.3">
      <c r="A844"/>
      <c r="B844" s="5"/>
    </row>
    <row r="845" spans="1:2" x14ac:dyDescent="0.3">
      <c r="A845"/>
      <c r="B845" s="5"/>
    </row>
    <row r="846" spans="1:2" x14ac:dyDescent="0.3">
      <c r="A846"/>
      <c r="B846" s="5"/>
    </row>
    <row r="847" spans="1:2" x14ac:dyDescent="0.3">
      <c r="A847"/>
      <c r="B847" s="5"/>
    </row>
    <row r="848" spans="1:2" x14ac:dyDescent="0.3">
      <c r="A848"/>
      <c r="B848" s="5"/>
    </row>
    <row r="849" spans="1:2" x14ac:dyDescent="0.3">
      <c r="A849"/>
      <c r="B849" s="5"/>
    </row>
    <row r="850" spans="1:2" x14ac:dyDescent="0.3">
      <c r="A850"/>
      <c r="B850" s="5"/>
    </row>
    <row r="851" spans="1:2" x14ac:dyDescent="0.3">
      <c r="A851"/>
      <c r="B851" s="5"/>
    </row>
    <row r="852" spans="1:2" x14ac:dyDescent="0.3">
      <c r="A852"/>
      <c r="B852" s="5"/>
    </row>
    <row r="853" spans="1:2" x14ac:dyDescent="0.3">
      <c r="A853"/>
      <c r="B853" s="5"/>
    </row>
    <row r="854" spans="1:2" x14ac:dyDescent="0.3">
      <c r="A854"/>
      <c r="B854" s="5"/>
    </row>
    <row r="855" spans="1:2" x14ac:dyDescent="0.3">
      <c r="A855"/>
      <c r="B855" s="5"/>
    </row>
    <row r="856" spans="1:2" x14ac:dyDescent="0.3">
      <c r="A856"/>
      <c r="B856" s="5"/>
    </row>
    <row r="857" spans="1:2" x14ac:dyDescent="0.3">
      <c r="A857"/>
      <c r="B857" s="5"/>
    </row>
    <row r="858" spans="1:2" x14ac:dyDescent="0.3">
      <c r="A858"/>
      <c r="B858" s="5"/>
    </row>
    <row r="859" spans="1:2" x14ac:dyDescent="0.3">
      <c r="A859"/>
      <c r="B859" s="5"/>
    </row>
    <row r="860" spans="1:2" x14ac:dyDescent="0.3">
      <c r="A860"/>
      <c r="B860" s="5"/>
    </row>
    <row r="861" spans="1:2" x14ac:dyDescent="0.3">
      <c r="A861"/>
      <c r="B861" s="5"/>
    </row>
    <row r="862" spans="1:2" x14ac:dyDescent="0.3">
      <c r="A862"/>
      <c r="B862" s="5"/>
    </row>
    <row r="863" spans="1:2" x14ac:dyDescent="0.3">
      <c r="A863"/>
      <c r="B863" s="5"/>
    </row>
    <row r="864" spans="1:2" x14ac:dyDescent="0.3">
      <c r="A864"/>
      <c r="B864" s="5"/>
    </row>
    <row r="865" spans="1:2" x14ac:dyDescent="0.3">
      <c r="A865"/>
      <c r="B865" s="5"/>
    </row>
    <row r="866" spans="1:2" x14ac:dyDescent="0.3">
      <c r="A866"/>
      <c r="B866" s="5"/>
    </row>
    <row r="867" spans="1:2" x14ac:dyDescent="0.3">
      <c r="A867"/>
      <c r="B867" s="5"/>
    </row>
    <row r="868" spans="1:2" x14ac:dyDescent="0.3">
      <c r="A868"/>
      <c r="B868" s="5"/>
    </row>
    <row r="869" spans="1:2" x14ac:dyDescent="0.3">
      <c r="A869"/>
      <c r="B869" s="5"/>
    </row>
    <row r="870" spans="1:2" x14ac:dyDescent="0.3">
      <c r="A870"/>
      <c r="B870" s="5"/>
    </row>
    <row r="871" spans="1:2" x14ac:dyDescent="0.3">
      <c r="A871"/>
      <c r="B871" s="5"/>
    </row>
    <row r="872" spans="1:2" x14ac:dyDescent="0.3">
      <c r="A872"/>
      <c r="B872" s="5"/>
    </row>
    <row r="873" spans="1:2" x14ac:dyDescent="0.3">
      <c r="A873"/>
      <c r="B873" s="5"/>
    </row>
    <row r="874" spans="1:2" x14ac:dyDescent="0.3">
      <c r="A874"/>
      <c r="B874" s="5"/>
    </row>
    <row r="875" spans="1:2" x14ac:dyDescent="0.3">
      <c r="A875"/>
      <c r="B875" s="5"/>
    </row>
    <row r="876" spans="1:2" x14ac:dyDescent="0.3">
      <c r="A876"/>
      <c r="B876" s="5"/>
    </row>
    <row r="877" spans="1:2" x14ac:dyDescent="0.3">
      <c r="A877"/>
      <c r="B877" s="5"/>
    </row>
    <row r="878" spans="1:2" x14ac:dyDescent="0.3">
      <c r="A878"/>
      <c r="B878" s="5"/>
    </row>
    <row r="879" spans="1:2" x14ac:dyDescent="0.3">
      <c r="A879"/>
      <c r="B879" s="5"/>
    </row>
    <row r="880" spans="1:2" x14ac:dyDescent="0.3">
      <c r="A880"/>
      <c r="B880" s="5"/>
    </row>
    <row r="881" spans="1:2" x14ac:dyDescent="0.3">
      <c r="A881"/>
      <c r="B881" s="5"/>
    </row>
    <row r="882" spans="1:2" x14ac:dyDescent="0.3">
      <c r="A882"/>
      <c r="B882" s="5"/>
    </row>
    <row r="883" spans="1:2" x14ac:dyDescent="0.3">
      <c r="A883"/>
      <c r="B883" s="5"/>
    </row>
    <row r="884" spans="1:2" x14ac:dyDescent="0.3">
      <c r="A884"/>
      <c r="B884" s="5"/>
    </row>
    <row r="885" spans="1:2" x14ac:dyDescent="0.3">
      <c r="A885"/>
      <c r="B885" s="5"/>
    </row>
    <row r="886" spans="1:2" x14ac:dyDescent="0.3">
      <c r="A886"/>
      <c r="B886" s="5"/>
    </row>
    <row r="887" spans="1:2" x14ac:dyDescent="0.3">
      <c r="A887"/>
      <c r="B887" s="5"/>
    </row>
    <row r="888" spans="1:2" x14ac:dyDescent="0.3">
      <c r="A888"/>
      <c r="B888" s="5"/>
    </row>
    <row r="889" spans="1:2" x14ac:dyDescent="0.3">
      <c r="A889"/>
      <c r="B889" s="5"/>
    </row>
    <row r="890" spans="1:2" x14ac:dyDescent="0.3">
      <c r="A890"/>
      <c r="B890" s="5"/>
    </row>
    <row r="891" spans="1:2" x14ac:dyDescent="0.3">
      <c r="A891"/>
      <c r="B891" s="5"/>
    </row>
    <row r="892" spans="1:2" x14ac:dyDescent="0.3">
      <c r="A892"/>
      <c r="B892" s="5"/>
    </row>
    <row r="893" spans="1:2" x14ac:dyDescent="0.3">
      <c r="A893"/>
      <c r="B893" s="5"/>
    </row>
    <row r="894" spans="1:2" x14ac:dyDescent="0.3">
      <c r="A894"/>
      <c r="B894" s="5"/>
    </row>
    <row r="895" spans="1:2" x14ac:dyDescent="0.3">
      <c r="A895"/>
      <c r="B895" s="5"/>
    </row>
    <row r="896" spans="1:2" x14ac:dyDescent="0.3">
      <c r="A896"/>
      <c r="B896" s="5"/>
    </row>
    <row r="897" spans="1:2" x14ac:dyDescent="0.3">
      <c r="A897"/>
      <c r="B897" s="5"/>
    </row>
    <row r="898" spans="1:2" x14ac:dyDescent="0.3">
      <c r="A898"/>
      <c r="B898" s="5"/>
    </row>
    <row r="899" spans="1:2" x14ac:dyDescent="0.3">
      <c r="A899"/>
      <c r="B899" s="5"/>
    </row>
    <row r="900" spans="1:2" x14ac:dyDescent="0.3">
      <c r="A900"/>
      <c r="B900" s="5"/>
    </row>
    <row r="901" spans="1:2" x14ac:dyDescent="0.3">
      <c r="A901"/>
      <c r="B901" s="5"/>
    </row>
    <row r="902" spans="1:2" x14ac:dyDescent="0.3">
      <c r="A902"/>
      <c r="B902" s="5"/>
    </row>
    <row r="903" spans="1:2" x14ac:dyDescent="0.3">
      <c r="A903"/>
      <c r="B903" s="5"/>
    </row>
    <row r="904" spans="1:2" x14ac:dyDescent="0.3">
      <c r="A904"/>
      <c r="B904" s="5"/>
    </row>
    <row r="905" spans="1:2" x14ac:dyDescent="0.3">
      <c r="A905"/>
      <c r="B905" s="5"/>
    </row>
    <row r="906" spans="1:2" x14ac:dyDescent="0.3">
      <c r="A906"/>
      <c r="B906" s="5"/>
    </row>
    <row r="907" spans="1:2" x14ac:dyDescent="0.3">
      <c r="A907"/>
      <c r="B907" s="5"/>
    </row>
    <row r="908" spans="1:2" x14ac:dyDescent="0.3">
      <c r="A908"/>
      <c r="B908" s="5"/>
    </row>
    <row r="909" spans="1:2" x14ac:dyDescent="0.3">
      <c r="A909"/>
      <c r="B909" s="5"/>
    </row>
    <row r="910" spans="1:2" x14ac:dyDescent="0.3">
      <c r="A910"/>
      <c r="B910" s="5"/>
    </row>
    <row r="911" spans="1:2" x14ac:dyDescent="0.3">
      <c r="A911"/>
      <c r="B911" s="5"/>
    </row>
    <row r="912" spans="1:2" x14ac:dyDescent="0.3">
      <c r="A912"/>
      <c r="B912" s="5"/>
    </row>
    <row r="913" spans="1:2" x14ac:dyDescent="0.3">
      <c r="A913"/>
      <c r="B913" s="5"/>
    </row>
    <row r="914" spans="1:2" x14ac:dyDescent="0.3">
      <c r="A914"/>
      <c r="B914" s="5"/>
    </row>
    <row r="915" spans="1:2" x14ac:dyDescent="0.3">
      <c r="A915"/>
      <c r="B915" s="5"/>
    </row>
    <row r="916" spans="1:2" x14ac:dyDescent="0.3">
      <c r="A916"/>
      <c r="B916" s="5"/>
    </row>
    <row r="917" spans="1:2" x14ac:dyDescent="0.3">
      <c r="A917"/>
      <c r="B917" s="5"/>
    </row>
    <row r="918" spans="1:2" x14ac:dyDescent="0.3">
      <c r="A918"/>
      <c r="B918" s="5"/>
    </row>
    <row r="919" spans="1:2" x14ac:dyDescent="0.3">
      <c r="A919"/>
      <c r="B919" s="5"/>
    </row>
    <row r="920" spans="1:2" x14ac:dyDescent="0.3">
      <c r="A920"/>
      <c r="B920" s="5"/>
    </row>
    <row r="921" spans="1:2" x14ac:dyDescent="0.3">
      <c r="A921"/>
      <c r="B921" s="5"/>
    </row>
    <row r="922" spans="1:2" x14ac:dyDescent="0.3">
      <c r="A922"/>
      <c r="B922" s="5"/>
    </row>
    <row r="923" spans="1:2" x14ac:dyDescent="0.3">
      <c r="A923"/>
      <c r="B923" s="5"/>
    </row>
    <row r="924" spans="1:2" x14ac:dyDescent="0.3">
      <c r="A924"/>
      <c r="B924" s="5"/>
    </row>
    <row r="925" spans="1:2" x14ac:dyDescent="0.3">
      <c r="A925"/>
      <c r="B925" s="5"/>
    </row>
    <row r="926" spans="1:2" x14ac:dyDescent="0.3">
      <c r="A926"/>
      <c r="B926" s="5"/>
    </row>
    <row r="927" spans="1:2" x14ac:dyDescent="0.3">
      <c r="A927"/>
      <c r="B927" s="5"/>
    </row>
    <row r="928" spans="1:2" x14ac:dyDescent="0.3">
      <c r="A928"/>
      <c r="B928" s="5"/>
    </row>
    <row r="929" spans="1:2" x14ac:dyDescent="0.3">
      <c r="A929"/>
      <c r="B929" s="5"/>
    </row>
    <row r="930" spans="1:2" x14ac:dyDescent="0.3">
      <c r="A930"/>
      <c r="B930" s="5"/>
    </row>
    <row r="931" spans="1:2" x14ac:dyDescent="0.3">
      <c r="A931"/>
      <c r="B931" s="5"/>
    </row>
    <row r="932" spans="1:2" x14ac:dyDescent="0.3">
      <c r="A932"/>
      <c r="B932" s="5"/>
    </row>
    <row r="933" spans="1:2" x14ac:dyDescent="0.3">
      <c r="A933"/>
      <c r="B933" s="5"/>
    </row>
    <row r="934" spans="1:2" x14ac:dyDescent="0.3">
      <c r="A934"/>
      <c r="B934" s="5"/>
    </row>
    <row r="935" spans="1:2" x14ac:dyDescent="0.3">
      <c r="A935"/>
      <c r="B935" s="5"/>
    </row>
    <row r="936" spans="1:2" x14ac:dyDescent="0.3">
      <c r="A936"/>
      <c r="B936" s="5"/>
    </row>
    <row r="937" spans="1:2" x14ac:dyDescent="0.3">
      <c r="A937"/>
      <c r="B937" s="5"/>
    </row>
    <row r="938" spans="1:2" x14ac:dyDescent="0.3">
      <c r="A938"/>
      <c r="B938" s="5"/>
    </row>
    <row r="939" spans="1:2" x14ac:dyDescent="0.3">
      <c r="A939"/>
      <c r="B939" s="5"/>
    </row>
    <row r="940" spans="1:2" x14ac:dyDescent="0.3">
      <c r="A940"/>
      <c r="B940" s="5"/>
    </row>
    <row r="941" spans="1:2" x14ac:dyDescent="0.3">
      <c r="A941"/>
      <c r="B941" s="5"/>
    </row>
    <row r="942" spans="1:2" x14ac:dyDescent="0.3">
      <c r="A942"/>
      <c r="B942" s="5"/>
    </row>
    <row r="943" spans="1:2" x14ac:dyDescent="0.3">
      <c r="A943"/>
      <c r="B943" s="5"/>
    </row>
    <row r="944" spans="1:2" x14ac:dyDescent="0.3">
      <c r="A944"/>
      <c r="B944" s="5"/>
    </row>
    <row r="945" spans="1:2" x14ac:dyDescent="0.3">
      <c r="A945"/>
      <c r="B945" s="5"/>
    </row>
    <row r="946" spans="1:2" x14ac:dyDescent="0.3">
      <c r="A946"/>
      <c r="B946" s="5"/>
    </row>
    <row r="947" spans="1:2" x14ac:dyDescent="0.3">
      <c r="A947"/>
      <c r="B947" s="5"/>
    </row>
    <row r="948" spans="1:2" x14ac:dyDescent="0.3">
      <c r="A948"/>
      <c r="B948" s="5"/>
    </row>
    <row r="949" spans="1:2" x14ac:dyDescent="0.3">
      <c r="A949"/>
      <c r="B949" s="5"/>
    </row>
    <row r="950" spans="1:2" x14ac:dyDescent="0.3">
      <c r="A950"/>
      <c r="B950" s="5"/>
    </row>
    <row r="951" spans="1:2" x14ac:dyDescent="0.3">
      <c r="A951"/>
      <c r="B951" s="5"/>
    </row>
    <row r="952" spans="1:2" x14ac:dyDescent="0.3">
      <c r="A952"/>
      <c r="B952" s="5"/>
    </row>
    <row r="953" spans="1:2" x14ac:dyDescent="0.3">
      <c r="A953"/>
      <c r="B953" s="5"/>
    </row>
    <row r="954" spans="1:2" x14ac:dyDescent="0.3">
      <c r="A954"/>
      <c r="B954" s="5"/>
    </row>
    <row r="955" spans="1:2" x14ac:dyDescent="0.3">
      <c r="A955"/>
      <c r="B955" s="5"/>
    </row>
    <row r="956" spans="1:2" x14ac:dyDescent="0.3">
      <c r="A956"/>
      <c r="B956" s="5"/>
    </row>
    <row r="957" spans="1:2" x14ac:dyDescent="0.3">
      <c r="A957"/>
      <c r="B957" s="5"/>
    </row>
    <row r="958" spans="1:2" x14ac:dyDescent="0.3">
      <c r="A958"/>
      <c r="B958" s="5"/>
    </row>
    <row r="959" spans="1:2" x14ac:dyDescent="0.3">
      <c r="A959"/>
      <c r="B959" s="5"/>
    </row>
    <row r="960" spans="1:2" x14ac:dyDescent="0.3">
      <c r="A960"/>
      <c r="B960" s="5"/>
    </row>
    <row r="961" spans="1:2" x14ac:dyDescent="0.3">
      <c r="A961"/>
      <c r="B961" s="5"/>
    </row>
    <row r="962" spans="1:2" x14ac:dyDescent="0.3">
      <c r="A962"/>
      <c r="B962" s="5"/>
    </row>
    <row r="963" spans="1:2" x14ac:dyDescent="0.3">
      <c r="A963"/>
      <c r="B963" s="5"/>
    </row>
    <row r="964" spans="1:2" x14ac:dyDescent="0.3">
      <c r="A964"/>
      <c r="B964" s="5"/>
    </row>
    <row r="965" spans="1:2" x14ac:dyDescent="0.3">
      <c r="A965"/>
      <c r="B965" s="5"/>
    </row>
    <row r="966" spans="1:2" x14ac:dyDescent="0.3">
      <c r="A966"/>
      <c r="B966" s="5"/>
    </row>
    <row r="967" spans="1:2" x14ac:dyDescent="0.3">
      <c r="A967"/>
      <c r="B967" s="5"/>
    </row>
    <row r="968" spans="1:2" x14ac:dyDescent="0.3">
      <c r="A968"/>
      <c r="B968" s="5"/>
    </row>
    <row r="969" spans="1:2" x14ac:dyDescent="0.3">
      <c r="A969"/>
      <c r="B969" s="5"/>
    </row>
    <row r="970" spans="1:2" x14ac:dyDescent="0.3">
      <c r="A970"/>
      <c r="B970" s="5"/>
    </row>
    <row r="971" spans="1:2" x14ac:dyDescent="0.3">
      <c r="A971"/>
      <c r="B971" s="5"/>
    </row>
    <row r="972" spans="1:2" x14ac:dyDescent="0.3">
      <c r="A972"/>
      <c r="B972" s="5"/>
    </row>
    <row r="973" spans="1:2" x14ac:dyDescent="0.3">
      <c r="A973"/>
      <c r="B973" s="5"/>
    </row>
    <row r="974" spans="1:2" x14ac:dyDescent="0.3">
      <c r="A974"/>
      <c r="B974" s="5"/>
    </row>
    <row r="975" spans="1:2" x14ac:dyDescent="0.3">
      <c r="A975"/>
      <c r="B975" s="5"/>
    </row>
    <row r="976" spans="1:2" x14ac:dyDescent="0.3">
      <c r="A976"/>
      <c r="B976" s="5"/>
    </row>
    <row r="977" spans="1:2" x14ac:dyDescent="0.3">
      <c r="A977"/>
      <c r="B977" s="5"/>
    </row>
    <row r="978" spans="1:2" x14ac:dyDescent="0.3">
      <c r="A978"/>
      <c r="B978" s="5"/>
    </row>
    <row r="979" spans="1:2" x14ac:dyDescent="0.3">
      <c r="A979"/>
      <c r="B979" s="5"/>
    </row>
    <row r="980" spans="1:2" x14ac:dyDescent="0.3">
      <c r="A980"/>
      <c r="B980" s="5"/>
    </row>
    <row r="981" spans="1:2" x14ac:dyDescent="0.3">
      <c r="A981"/>
      <c r="B981" s="5"/>
    </row>
    <row r="982" spans="1:2" x14ac:dyDescent="0.3">
      <c r="A982"/>
      <c r="B982" s="5"/>
    </row>
    <row r="983" spans="1:2" x14ac:dyDescent="0.3">
      <c r="A983"/>
      <c r="B983" s="5"/>
    </row>
    <row r="984" spans="1:2" x14ac:dyDescent="0.3">
      <c r="A984"/>
      <c r="B984" s="5"/>
    </row>
    <row r="985" spans="1:2" x14ac:dyDescent="0.3">
      <c r="A985"/>
      <c r="B985" s="5"/>
    </row>
    <row r="986" spans="1:2" x14ac:dyDescent="0.3">
      <c r="A986"/>
      <c r="B986" s="5"/>
    </row>
    <row r="987" spans="1:2" x14ac:dyDescent="0.3">
      <c r="A987"/>
      <c r="B987" s="5"/>
    </row>
    <row r="988" spans="1:2" x14ac:dyDescent="0.3">
      <c r="A988"/>
      <c r="B988" s="5"/>
    </row>
    <row r="989" spans="1:2" x14ac:dyDescent="0.3">
      <c r="A989"/>
      <c r="B989" s="5"/>
    </row>
    <row r="990" spans="1:2" x14ac:dyDescent="0.3">
      <c r="A990"/>
      <c r="B990" s="5"/>
    </row>
    <row r="991" spans="1:2" x14ac:dyDescent="0.3">
      <c r="A991"/>
      <c r="B991" s="5"/>
    </row>
    <row r="992" spans="1:2" x14ac:dyDescent="0.3">
      <c r="A992"/>
      <c r="B992" s="5"/>
    </row>
    <row r="993" spans="1:2" x14ac:dyDescent="0.3">
      <c r="A993"/>
      <c r="B993" s="5"/>
    </row>
    <row r="994" spans="1:2" x14ac:dyDescent="0.3">
      <c r="A994"/>
      <c r="B994" s="5"/>
    </row>
    <row r="995" spans="1:2" x14ac:dyDescent="0.3">
      <c r="A995"/>
      <c r="B995" s="5"/>
    </row>
    <row r="996" spans="1:2" x14ac:dyDescent="0.3">
      <c r="A996"/>
      <c r="B996" s="5"/>
    </row>
    <row r="997" spans="1:2" x14ac:dyDescent="0.3">
      <c r="A997"/>
      <c r="B997" s="5"/>
    </row>
    <row r="998" spans="1:2" x14ac:dyDescent="0.3">
      <c r="A998"/>
      <c r="B998" s="5"/>
    </row>
    <row r="999" spans="1:2" x14ac:dyDescent="0.3">
      <c r="A999"/>
      <c r="B999" s="5"/>
    </row>
    <row r="1000" spans="1:2" x14ac:dyDescent="0.3">
      <c r="A1000"/>
      <c r="B1000" s="5"/>
    </row>
    <row r="1001" spans="1:2" x14ac:dyDescent="0.3">
      <c r="A1001"/>
      <c r="B1001" s="5"/>
    </row>
    <row r="1002" spans="1:2" x14ac:dyDescent="0.3">
      <c r="A1002"/>
      <c r="B1002" s="5"/>
    </row>
    <row r="1003" spans="1:2" x14ac:dyDescent="0.3">
      <c r="A1003"/>
      <c r="B1003" s="5"/>
    </row>
    <row r="1004" spans="1:2" x14ac:dyDescent="0.3">
      <c r="A1004"/>
      <c r="B1004" s="5"/>
    </row>
    <row r="1005" spans="1:2" x14ac:dyDescent="0.3">
      <c r="A1005"/>
      <c r="B1005" s="5"/>
    </row>
    <row r="1006" spans="1:2" x14ac:dyDescent="0.3">
      <c r="A1006"/>
      <c r="B1006" s="5"/>
    </row>
    <row r="1007" spans="1:2" x14ac:dyDescent="0.3">
      <c r="A1007"/>
      <c r="B1007" s="5"/>
    </row>
    <row r="1008" spans="1:2" x14ac:dyDescent="0.3">
      <c r="A1008"/>
      <c r="B1008" s="5"/>
    </row>
    <row r="1009" spans="1:2" x14ac:dyDescent="0.3">
      <c r="A1009"/>
      <c r="B1009" s="5"/>
    </row>
    <row r="1010" spans="1:2" x14ac:dyDescent="0.3">
      <c r="A1010"/>
      <c r="B1010" s="5"/>
    </row>
    <row r="1011" spans="1:2" x14ac:dyDescent="0.3">
      <c r="A1011"/>
      <c r="B1011" s="5"/>
    </row>
    <row r="1012" spans="1:2" x14ac:dyDescent="0.3">
      <c r="A1012"/>
      <c r="B1012" s="5"/>
    </row>
    <row r="1013" spans="1:2" x14ac:dyDescent="0.3">
      <c r="A1013"/>
      <c r="B1013" s="5"/>
    </row>
    <row r="1014" spans="1:2" x14ac:dyDescent="0.3">
      <c r="A1014"/>
      <c r="B1014" s="5"/>
    </row>
    <row r="1015" spans="1:2" x14ac:dyDescent="0.3">
      <c r="A1015"/>
      <c r="B1015" s="5"/>
    </row>
    <row r="1016" spans="1:2" x14ac:dyDescent="0.3">
      <c r="A1016"/>
      <c r="B1016" s="5"/>
    </row>
    <row r="1017" spans="1:2" x14ac:dyDescent="0.3">
      <c r="A1017"/>
      <c r="B1017" s="5"/>
    </row>
    <row r="1018" spans="1:2" x14ac:dyDescent="0.3">
      <c r="A1018"/>
      <c r="B1018" s="5"/>
    </row>
    <row r="1019" spans="1:2" x14ac:dyDescent="0.3">
      <c r="A1019"/>
      <c r="B1019" s="5"/>
    </row>
    <row r="1020" spans="1:2" x14ac:dyDescent="0.3">
      <c r="A1020"/>
      <c r="B1020" s="5"/>
    </row>
    <row r="1021" spans="1:2" x14ac:dyDescent="0.3">
      <c r="A1021"/>
      <c r="B1021" s="5"/>
    </row>
    <row r="1022" spans="1:2" x14ac:dyDescent="0.3">
      <c r="A1022"/>
      <c r="B1022" s="5"/>
    </row>
    <row r="1023" spans="1:2" x14ac:dyDescent="0.3">
      <c r="A1023"/>
      <c r="B1023" s="5"/>
    </row>
    <row r="1024" spans="1:2" x14ac:dyDescent="0.3">
      <c r="A1024"/>
      <c r="B1024" s="5"/>
    </row>
    <row r="1025" spans="1:2" x14ac:dyDescent="0.3">
      <c r="A1025"/>
      <c r="B1025" s="5"/>
    </row>
    <row r="1026" spans="1:2" x14ac:dyDescent="0.3">
      <c r="A1026"/>
      <c r="B1026" s="5"/>
    </row>
    <row r="1027" spans="1:2" x14ac:dyDescent="0.3">
      <c r="A1027"/>
      <c r="B1027" s="5"/>
    </row>
    <row r="1028" spans="1:2" x14ac:dyDescent="0.3">
      <c r="A1028"/>
      <c r="B1028" s="5"/>
    </row>
    <row r="1029" spans="1:2" x14ac:dyDescent="0.3">
      <c r="A1029"/>
      <c r="B1029" s="5"/>
    </row>
    <row r="1030" spans="1:2" x14ac:dyDescent="0.3">
      <c r="A1030"/>
      <c r="B1030" s="5"/>
    </row>
    <row r="1031" spans="1:2" x14ac:dyDescent="0.3">
      <c r="A1031"/>
      <c r="B1031" s="5"/>
    </row>
    <row r="1032" spans="1:2" x14ac:dyDescent="0.3">
      <c r="A1032"/>
      <c r="B1032" s="5"/>
    </row>
    <row r="1033" spans="1:2" x14ac:dyDescent="0.3">
      <c r="A1033"/>
      <c r="B1033" s="5"/>
    </row>
    <row r="1034" spans="1:2" x14ac:dyDescent="0.3">
      <c r="A1034"/>
      <c r="B1034" s="5"/>
    </row>
    <row r="1035" spans="1:2" x14ac:dyDescent="0.3">
      <c r="A1035"/>
      <c r="B1035" s="5"/>
    </row>
    <row r="1036" spans="1:2" x14ac:dyDescent="0.3">
      <c r="A1036"/>
      <c r="B1036" s="5"/>
    </row>
    <row r="1037" spans="1:2" x14ac:dyDescent="0.3">
      <c r="A1037"/>
      <c r="B1037" s="5"/>
    </row>
    <row r="1038" spans="1:2" x14ac:dyDescent="0.3">
      <c r="A1038"/>
      <c r="B1038" s="5"/>
    </row>
    <row r="1039" spans="1:2" x14ac:dyDescent="0.3">
      <c r="A1039"/>
      <c r="B1039" s="5"/>
    </row>
    <row r="1040" spans="1:2" x14ac:dyDescent="0.3">
      <c r="A1040"/>
      <c r="B1040" s="5"/>
    </row>
    <row r="1041" spans="1:2" x14ac:dyDescent="0.3">
      <c r="A1041"/>
      <c r="B1041" s="5"/>
    </row>
    <row r="1042" spans="1:2" x14ac:dyDescent="0.3">
      <c r="A1042"/>
      <c r="B1042" s="5"/>
    </row>
    <row r="1043" spans="1:2" x14ac:dyDescent="0.3">
      <c r="A1043"/>
      <c r="B1043" s="5"/>
    </row>
    <row r="1044" spans="1:2" x14ac:dyDescent="0.3">
      <c r="A1044"/>
      <c r="B1044" s="5"/>
    </row>
    <row r="1045" spans="1:2" x14ac:dyDescent="0.3">
      <c r="A1045"/>
      <c r="B1045" s="5"/>
    </row>
    <row r="1046" spans="1:2" x14ac:dyDescent="0.3">
      <c r="A1046"/>
      <c r="B1046" s="5"/>
    </row>
    <row r="1047" spans="1:2" x14ac:dyDescent="0.3">
      <c r="A1047"/>
      <c r="B1047" s="5"/>
    </row>
    <row r="1048" spans="1:2" x14ac:dyDescent="0.3">
      <c r="A1048"/>
      <c r="B1048" s="5"/>
    </row>
    <row r="1049" spans="1:2" x14ac:dyDescent="0.3">
      <c r="A1049"/>
      <c r="B1049" s="5"/>
    </row>
    <row r="1050" spans="1:2" x14ac:dyDescent="0.3">
      <c r="A1050"/>
      <c r="B1050" s="5"/>
    </row>
    <row r="1051" spans="1:2" x14ac:dyDescent="0.3">
      <c r="A1051"/>
      <c r="B1051" s="5"/>
    </row>
    <row r="1052" spans="1:2" x14ac:dyDescent="0.3">
      <c r="A1052"/>
      <c r="B1052" s="5"/>
    </row>
    <row r="1053" spans="1:2" x14ac:dyDescent="0.3">
      <c r="A1053"/>
      <c r="B1053" s="5"/>
    </row>
    <row r="1054" spans="1:2" x14ac:dyDescent="0.3">
      <c r="A1054"/>
      <c r="B1054" s="5"/>
    </row>
    <row r="1055" spans="1:2" x14ac:dyDescent="0.3">
      <c r="A1055"/>
      <c r="B1055" s="5"/>
    </row>
    <row r="1056" spans="1:2" x14ac:dyDescent="0.3">
      <c r="A1056"/>
      <c r="B1056" s="5"/>
    </row>
    <row r="1057" spans="1:2" x14ac:dyDescent="0.3">
      <c r="A1057"/>
      <c r="B1057" s="5"/>
    </row>
    <row r="1058" spans="1:2" x14ac:dyDescent="0.3">
      <c r="A1058"/>
      <c r="B1058" s="5"/>
    </row>
    <row r="1059" spans="1:2" x14ac:dyDescent="0.3">
      <c r="A1059"/>
      <c r="B1059" s="5"/>
    </row>
    <row r="1060" spans="1:2" x14ac:dyDescent="0.3">
      <c r="A1060"/>
      <c r="B1060" s="5"/>
    </row>
    <row r="1061" spans="1:2" x14ac:dyDescent="0.3">
      <c r="A1061"/>
      <c r="B1061" s="5"/>
    </row>
    <row r="1062" spans="1:2" x14ac:dyDescent="0.3">
      <c r="A1062"/>
      <c r="B1062" s="5"/>
    </row>
    <row r="1063" spans="1:2" x14ac:dyDescent="0.3">
      <c r="A1063"/>
      <c r="B1063" s="5"/>
    </row>
    <row r="1064" spans="1:2" x14ac:dyDescent="0.3">
      <c r="A1064"/>
      <c r="B1064" s="5"/>
    </row>
    <row r="1065" spans="1:2" x14ac:dyDescent="0.3">
      <c r="A1065"/>
      <c r="B1065" s="5"/>
    </row>
    <row r="1066" spans="1:2" x14ac:dyDescent="0.3">
      <c r="A1066"/>
      <c r="B1066" s="5"/>
    </row>
    <row r="1067" spans="1:2" x14ac:dyDescent="0.3">
      <c r="A1067"/>
      <c r="B1067" s="5"/>
    </row>
    <row r="1068" spans="1:2" x14ac:dyDescent="0.3">
      <c r="A1068"/>
      <c r="B1068" s="5"/>
    </row>
    <row r="1069" spans="1:2" x14ac:dyDescent="0.3">
      <c r="A1069"/>
      <c r="B1069" s="5"/>
    </row>
    <row r="1070" spans="1:2" x14ac:dyDescent="0.3">
      <c r="A1070"/>
      <c r="B1070" s="5"/>
    </row>
    <row r="1071" spans="1:2" x14ac:dyDescent="0.3">
      <c r="A1071"/>
      <c r="B1071" s="5"/>
    </row>
    <row r="1072" spans="1:2" x14ac:dyDescent="0.3">
      <c r="A1072"/>
      <c r="B1072" s="5"/>
    </row>
    <row r="1073" spans="1:2" x14ac:dyDescent="0.3">
      <c r="A1073"/>
      <c r="B1073" s="5"/>
    </row>
    <row r="1074" spans="1:2" x14ac:dyDescent="0.3">
      <c r="A1074"/>
      <c r="B1074" s="5"/>
    </row>
    <row r="1075" spans="1:2" x14ac:dyDescent="0.3">
      <c r="A1075"/>
      <c r="B1075" s="5"/>
    </row>
    <row r="1076" spans="1:2" x14ac:dyDescent="0.3">
      <c r="A1076"/>
      <c r="B1076" s="5"/>
    </row>
    <row r="1077" spans="1:2" x14ac:dyDescent="0.3">
      <c r="A1077"/>
      <c r="B1077" s="5"/>
    </row>
    <row r="1078" spans="1:2" x14ac:dyDescent="0.3">
      <c r="A1078"/>
      <c r="B1078" s="5"/>
    </row>
    <row r="1079" spans="1:2" x14ac:dyDescent="0.3">
      <c r="A1079"/>
      <c r="B1079" s="5"/>
    </row>
    <row r="1080" spans="1:2" x14ac:dyDescent="0.3">
      <c r="A1080"/>
      <c r="B1080" s="5"/>
    </row>
    <row r="1081" spans="1:2" x14ac:dyDescent="0.3">
      <c r="A1081"/>
      <c r="B1081" s="5"/>
    </row>
    <row r="1082" spans="1:2" x14ac:dyDescent="0.3">
      <c r="A1082"/>
      <c r="B1082" s="5"/>
    </row>
    <row r="1083" spans="1:2" x14ac:dyDescent="0.3">
      <c r="A1083"/>
      <c r="B1083" s="5"/>
    </row>
    <row r="1084" spans="1:2" x14ac:dyDescent="0.3">
      <c r="A1084"/>
      <c r="B1084" s="5"/>
    </row>
    <row r="1085" spans="1:2" x14ac:dyDescent="0.3">
      <c r="A1085"/>
      <c r="B1085" s="5"/>
    </row>
    <row r="1086" spans="1:2" x14ac:dyDescent="0.3">
      <c r="A1086"/>
      <c r="B1086" s="5"/>
    </row>
    <row r="1087" spans="1:2" x14ac:dyDescent="0.3">
      <c r="A1087"/>
      <c r="B1087" s="5"/>
    </row>
    <row r="1088" spans="1:2" x14ac:dyDescent="0.3">
      <c r="A1088"/>
      <c r="B1088" s="5"/>
    </row>
    <row r="1089" spans="1:2" x14ac:dyDescent="0.3">
      <c r="A1089"/>
      <c r="B1089" s="5"/>
    </row>
    <row r="1090" spans="1:2" x14ac:dyDescent="0.3">
      <c r="A1090"/>
      <c r="B1090" s="5"/>
    </row>
    <row r="1091" spans="1:2" x14ac:dyDescent="0.3">
      <c r="A1091"/>
      <c r="B1091" s="5"/>
    </row>
    <row r="1092" spans="1:2" x14ac:dyDescent="0.3">
      <c r="A1092"/>
      <c r="B1092" s="5"/>
    </row>
    <row r="1093" spans="1:2" x14ac:dyDescent="0.3">
      <c r="A1093"/>
      <c r="B1093" s="5"/>
    </row>
    <row r="1094" spans="1:2" x14ac:dyDescent="0.3">
      <c r="A1094"/>
      <c r="B1094" s="5"/>
    </row>
    <row r="1095" spans="1:2" x14ac:dyDescent="0.3">
      <c r="A1095"/>
      <c r="B1095" s="5"/>
    </row>
    <row r="1096" spans="1:2" x14ac:dyDescent="0.3">
      <c r="A1096"/>
      <c r="B1096" s="5"/>
    </row>
    <row r="1097" spans="1:2" x14ac:dyDescent="0.3">
      <c r="A1097"/>
      <c r="B1097" s="5"/>
    </row>
    <row r="1098" spans="1:2" x14ac:dyDescent="0.3">
      <c r="A1098"/>
      <c r="B1098" s="5"/>
    </row>
    <row r="1099" spans="1:2" x14ac:dyDescent="0.3">
      <c r="A1099"/>
      <c r="B1099" s="5"/>
    </row>
    <row r="1100" spans="1:2" x14ac:dyDescent="0.3">
      <c r="A1100"/>
      <c r="B1100" s="5"/>
    </row>
    <row r="1101" spans="1:2" x14ac:dyDescent="0.3">
      <c r="A1101"/>
      <c r="B1101" s="5"/>
    </row>
    <row r="1102" spans="1:2" x14ac:dyDescent="0.3">
      <c r="A1102"/>
      <c r="B1102" s="5"/>
    </row>
    <row r="1103" spans="1:2" x14ac:dyDescent="0.3">
      <c r="A1103"/>
      <c r="B1103" s="5"/>
    </row>
    <row r="1104" spans="1:2" x14ac:dyDescent="0.3">
      <c r="A1104"/>
      <c r="B1104" s="5"/>
    </row>
    <row r="1105" spans="1:2" x14ac:dyDescent="0.3">
      <c r="A1105"/>
      <c r="B1105" s="5"/>
    </row>
    <row r="1106" spans="1:2" x14ac:dyDescent="0.3">
      <c r="A1106"/>
      <c r="B1106" s="5"/>
    </row>
    <row r="1107" spans="1:2" x14ac:dyDescent="0.3">
      <c r="A1107"/>
      <c r="B1107" s="5"/>
    </row>
    <row r="1108" spans="1:2" x14ac:dyDescent="0.3">
      <c r="A1108"/>
      <c r="B1108" s="5"/>
    </row>
    <row r="1109" spans="1:2" x14ac:dyDescent="0.3">
      <c r="A1109"/>
      <c r="B1109" s="5"/>
    </row>
    <row r="1110" spans="1:2" x14ac:dyDescent="0.3">
      <c r="A1110"/>
      <c r="B1110" s="5"/>
    </row>
    <row r="1111" spans="1:2" x14ac:dyDescent="0.3">
      <c r="A1111"/>
      <c r="B1111" s="5"/>
    </row>
    <row r="1112" spans="1:2" x14ac:dyDescent="0.3">
      <c r="A1112"/>
      <c r="B1112" s="5"/>
    </row>
    <row r="1113" spans="1:2" x14ac:dyDescent="0.3">
      <c r="A1113"/>
      <c r="B1113" s="5"/>
    </row>
    <row r="1114" spans="1:2" x14ac:dyDescent="0.3">
      <c r="A1114"/>
      <c r="B1114" s="5"/>
    </row>
    <row r="1115" spans="1:2" x14ac:dyDescent="0.3">
      <c r="A1115"/>
      <c r="B1115" s="5"/>
    </row>
    <row r="1116" spans="1:2" x14ac:dyDescent="0.3">
      <c r="A1116"/>
      <c r="B1116" s="5"/>
    </row>
    <row r="1117" spans="1:2" x14ac:dyDescent="0.3">
      <c r="A1117"/>
      <c r="B1117" s="5"/>
    </row>
    <row r="1118" spans="1:2" x14ac:dyDescent="0.3">
      <c r="A1118"/>
      <c r="B1118" s="5"/>
    </row>
    <row r="1119" spans="1:2" x14ac:dyDescent="0.3">
      <c r="A1119"/>
      <c r="B1119" s="5"/>
    </row>
    <row r="1120" spans="1:2" x14ac:dyDescent="0.3">
      <c r="A1120"/>
      <c r="B1120" s="5"/>
    </row>
    <row r="1121" spans="1:2" x14ac:dyDescent="0.3">
      <c r="A1121"/>
      <c r="B1121" s="5"/>
    </row>
    <row r="1122" spans="1:2" x14ac:dyDescent="0.3">
      <c r="A1122"/>
      <c r="B1122" s="5"/>
    </row>
    <row r="1123" spans="1:2" x14ac:dyDescent="0.3">
      <c r="A1123"/>
      <c r="B1123" s="5"/>
    </row>
    <row r="1124" spans="1:2" x14ac:dyDescent="0.3">
      <c r="A1124"/>
      <c r="B1124" s="5"/>
    </row>
    <row r="1125" spans="1:2" x14ac:dyDescent="0.3">
      <c r="A1125"/>
      <c r="B1125" s="5"/>
    </row>
    <row r="1126" spans="1:2" x14ac:dyDescent="0.3">
      <c r="A1126"/>
      <c r="B1126" s="5"/>
    </row>
    <row r="1127" spans="1:2" x14ac:dyDescent="0.3">
      <c r="A1127"/>
      <c r="B1127" s="5"/>
    </row>
    <row r="1128" spans="1:2" x14ac:dyDescent="0.3">
      <c r="A1128"/>
      <c r="B1128" s="5"/>
    </row>
    <row r="1129" spans="1:2" x14ac:dyDescent="0.3">
      <c r="A1129"/>
      <c r="B1129" s="5"/>
    </row>
    <row r="1130" spans="1:2" x14ac:dyDescent="0.3">
      <c r="A1130"/>
      <c r="B1130" s="5"/>
    </row>
    <row r="1131" spans="1:2" x14ac:dyDescent="0.3">
      <c r="A1131"/>
      <c r="B1131" s="5"/>
    </row>
    <row r="1132" spans="1:2" x14ac:dyDescent="0.3">
      <c r="A1132"/>
      <c r="B1132" s="5"/>
    </row>
    <row r="1133" spans="1:2" x14ac:dyDescent="0.3">
      <c r="A1133"/>
      <c r="B1133" s="5"/>
    </row>
    <row r="1134" spans="1:2" x14ac:dyDescent="0.3">
      <c r="A1134"/>
      <c r="B1134" s="5"/>
    </row>
    <row r="1135" spans="1:2" x14ac:dyDescent="0.3">
      <c r="A1135"/>
      <c r="B1135" s="5"/>
    </row>
    <row r="1136" spans="1:2" x14ac:dyDescent="0.3">
      <c r="A1136"/>
      <c r="B1136" s="5"/>
    </row>
    <row r="1137" spans="1:2" x14ac:dyDescent="0.3">
      <c r="A1137"/>
      <c r="B1137" s="5"/>
    </row>
    <row r="1138" spans="1:2" x14ac:dyDescent="0.3">
      <c r="A1138"/>
      <c r="B1138" s="5"/>
    </row>
    <row r="1139" spans="1:2" x14ac:dyDescent="0.3">
      <c r="A1139"/>
      <c r="B1139" s="5"/>
    </row>
    <row r="1140" spans="1:2" x14ac:dyDescent="0.3">
      <c r="A1140"/>
      <c r="B1140" s="5"/>
    </row>
    <row r="1141" spans="1:2" x14ac:dyDescent="0.3">
      <c r="A1141"/>
      <c r="B1141" s="5"/>
    </row>
    <row r="1142" spans="1:2" x14ac:dyDescent="0.3">
      <c r="A1142"/>
      <c r="B1142" s="5"/>
    </row>
    <row r="1143" spans="1:2" x14ac:dyDescent="0.3">
      <c r="A1143"/>
      <c r="B1143" s="5"/>
    </row>
    <row r="1144" spans="1:2" x14ac:dyDescent="0.3">
      <c r="A1144"/>
      <c r="B1144" s="5"/>
    </row>
    <row r="1145" spans="1:2" x14ac:dyDescent="0.3">
      <c r="A1145"/>
      <c r="B1145" s="5"/>
    </row>
    <row r="1146" spans="1:2" x14ac:dyDescent="0.3">
      <c r="A1146"/>
      <c r="B1146" s="5"/>
    </row>
    <row r="1147" spans="1:2" x14ac:dyDescent="0.3">
      <c r="A1147"/>
      <c r="B1147" s="5"/>
    </row>
    <row r="1148" spans="1:2" x14ac:dyDescent="0.3">
      <c r="A1148"/>
      <c r="B1148" s="5"/>
    </row>
    <row r="1149" spans="1:2" x14ac:dyDescent="0.3">
      <c r="A1149"/>
      <c r="B1149" s="5"/>
    </row>
    <row r="1150" spans="1:2" x14ac:dyDescent="0.3">
      <c r="A1150"/>
      <c r="B1150" s="5"/>
    </row>
    <row r="1151" spans="1:2" x14ac:dyDescent="0.3">
      <c r="A1151"/>
      <c r="B1151" s="5"/>
    </row>
    <row r="1152" spans="1:2" x14ac:dyDescent="0.3">
      <c r="A1152"/>
      <c r="B1152" s="5"/>
    </row>
    <row r="1153" spans="1:2" x14ac:dyDescent="0.3">
      <c r="A1153"/>
      <c r="B1153" s="5"/>
    </row>
    <row r="1154" spans="1:2" x14ac:dyDescent="0.3">
      <c r="A1154"/>
      <c r="B1154" s="5"/>
    </row>
    <row r="1155" spans="1:2" x14ac:dyDescent="0.3">
      <c r="A1155"/>
      <c r="B1155" s="5"/>
    </row>
    <row r="1156" spans="1:2" x14ac:dyDescent="0.3">
      <c r="A1156"/>
      <c r="B1156" s="5"/>
    </row>
    <row r="1157" spans="1:2" x14ac:dyDescent="0.3">
      <c r="A1157"/>
      <c r="B1157" s="5"/>
    </row>
    <row r="1158" spans="1:2" x14ac:dyDescent="0.3">
      <c r="A1158"/>
      <c r="B1158" s="5"/>
    </row>
    <row r="1159" spans="1:2" x14ac:dyDescent="0.3">
      <c r="A1159"/>
      <c r="B1159" s="5"/>
    </row>
    <row r="1160" spans="1:2" x14ac:dyDescent="0.3">
      <c r="A1160"/>
      <c r="B1160" s="5"/>
    </row>
    <row r="1161" spans="1:2" x14ac:dyDescent="0.3">
      <c r="A1161"/>
      <c r="B1161" s="5"/>
    </row>
    <row r="1162" spans="1:2" x14ac:dyDescent="0.3">
      <c r="A1162"/>
      <c r="B1162" s="5"/>
    </row>
    <row r="1163" spans="1:2" x14ac:dyDescent="0.3">
      <c r="A1163"/>
      <c r="B1163" s="5"/>
    </row>
    <row r="1164" spans="1:2" x14ac:dyDescent="0.3">
      <c r="A1164"/>
      <c r="B1164" s="5"/>
    </row>
    <row r="1165" spans="1:2" x14ac:dyDescent="0.3">
      <c r="A1165"/>
      <c r="B1165" s="5"/>
    </row>
    <row r="1166" spans="1:2" x14ac:dyDescent="0.3">
      <c r="A1166"/>
      <c r="B1166" s="5"/>
    </row>
    <row r="1167" spans="1:2" x14ac:dyDescent="0.3">
      <c r="A1167"/>
      <c r="B1167" s="5"/>
    </row>
    <row r="1168" spans="1:2" x14ac:dyDescent="0.3">
      <c r="A1168"/>
      <c r="B1168" s="5"/>
    </row>
    <row r="1169" spans="1:2" x14ac:dyDescent="0.3">
      <c r="A1169"/>
      <c r="B1169" s="5"/>
    </row>
    <row r="1170" spans="1:2" x14ac:dyDescent="0.3">
      <c r="A1170"/>
      <c r="B1170" s="5"/>
    </row>
    <row r="1171" spans="1:2" x14ac:dyDescent="0.3">
      <c r="A1171"/>
      <c r="B1171" s="5"/>
    </row>
    <row r="1172" spans="1:2" x14ac:dyDescent="0.3">
      <c r="A1172"/>
      <c r="B1172" s="5"/>
    </row>
    <row r="1173" spans="1:2" x14ac:dyDescent="0.3">
      <c r="A1173"/>
      <c r="B1173" s="5"/>
    </row>
    <row r="1174" spans="1:2" x14ac:dyDescent="0.3">
      <c r="A1174"/>
      <c r="B1174" s="5"/>
    </row>
    <row r="1175" spans="1:2" x14ac:dyDescent="0.3">
      <c r="A1175"/>
      <c r="B1175" s="5"/>
    </row>
    <row r="1176" spans="1:2" x14ac:dyDescent="0.3">
      <c r="A1176"/>
      <c r="B1176" s="5"/>
    </row>
    <row r="1177" spans="1:2" x14ac:dyDescent="0.3">
      <c r="A1177"/>
      <c r="B1177" s="5"/>
    </row>
    <row r="1178" spans="1:2" x14ac:dyDescent="0.3">
      <c r="A1178"/>
      <c r="B1178" s="5"/>
    </row>
    <row r="1179" spans="1:2" x14ac:dyDescent="0.3">
      <c r="A1179"/>
      <c r="B1179" s="5"/>
    </row>
    <row r="1180" spans="1:2" x14ac:dyDescent="0.3">
      <c r="A1180"/>
      <c r="B1180" s="5"/>
    </row>
    <row r="1181" spans="1:2" x14ac:dyDescent="0.3">
      <c r="A1181"/>
      <c r="B1181" s="5"/>
    </row>
    <row r="1182" spans="1:2" x14ac:dyDescent="0.3">
      <c r="A1182"/>
      <c r="B1182" s="5"/>
    </row>
    <row r="1183" spans="1:2" x14ac:dyDescent="0.3">
      <c r="A1183"/>
      <c r="B1183" s="5"/>
    </row>
    <row r="1184" spans="1:2" x14ac:dyDescent="0.3">
      <c r="A1184"/>
      <c r="B1184" s="5"/>
    </row>
    <row r="1185" spans="1:2" x14ac:dyDescent="0.3">
      <c r="A1185"/>
      <c r="B1185" s="5"/>
    </row>
    <row r="1186" spans="1:2" x14ac:dyDescent="0.3">
      <c r="A1186"/>
      <c r="B1186" s="5"/>
    </row>
    <row r="1187" spans="1:2" x14ac:dyDescent="0.3">
      <c r="A1187"/>
      <c r="B1187" s="5"/>
    </row>
    <row r="1188" spans="1:2" x14ac:dyDescent="0.3">
      <c r="A1188"/>
      <c r="B1188" s="5"/>
    </row>
    <row r="1189" spans="1:2" x14ac:dyDescent="0.3">
      <c r="A1189"/>
      <c r="B1189" s="5"/>
    </row>
    <row r="1190" spans="1:2" x14ac:dyDescent="0.3">
      <c r="A1190"/>
      <c r="B1190" s="5"/>
    </row>
    <row r="1191" spans="1:2" x14ac:dyDescent="0.3">
      <c r="A1191"/>
      <c r="B1191" s="5"/>
    </row>
    <row r="1192" spans="1:2" x14ac:dyDescent="0.3">
      <c r="A1192"/>
      <c r="B1192" s="5"/>
    </row>
    <row r="1193" spans="1:2" x14ac:dyDescent="0.3">
      <c r="A1193"/>
      <c r="B1193" s="5"/>
    </row>
    <row r="1194" spans="1:2" x14ac:dyDescent="0.3">
      <c r="A1194"/>
      <c r="B1194" s="5"/>
    </row>
    <row r="1195" spans="1:2" x14ac:dyDescent="0.3">
      <c r="A1195"/>
      <c r="B1195" s="5"/>
    </row>
    <row r="1196" spans="1:2" x14ac:dyDescent="0.3">
      <c r="A1196"/>
      <c r="B1196" s="5"/>
    </row>
    <row r="1197" spans="1:2" x14ac:dyDescent="0.3">
      <c r="A1197"/>
      <c r="B1197" s="5"/>
    </row>
    <row r="1198" spans="1:2" x14ac:dyDescent="0.3">
      <c r="A1198"/>
      <c r="B1198" s="5"/>
    </row>
    <row r="1199" spans="1:2" x14ac:dyDescent="0.3">
      <c r="A1199"/>
      <c r="B1199" s="5"/>
    </row>
    <row r="1200" spans="1:2" x14ac:dyDescent="0.3">
      <c r="A1200"/>
      <c r="B1200" s="5"/>
    </row>
    <row r="1201" spans="1:2" x14ac:dyDescent="0.3">
      <c r="A1201"/>
      <c r="B1201" s="5"/>
    </row>
    <row r="1202" spans="1:2" x14ac:dyDescent="0.3">
      <c r="A1202"/>
      <c r="B1202" s="5"/>
    </row>
    <row r="1203" spans="1:2" x14ac:dyDescent="0.3">
      <c r="A1203"/>
      <c r="B1203" s="5"/>
    </row>
    <row r="1204" spans="1:2" x14ac:dyDescent="0.3">
      <c r="A1204"/>
      <c r="B1204" s="5"/>
    </row>
    <row r="1205" spans="1:2" x14ac:dyDescent="0.3">
      <c r="A1205"/>
      <c r="B1205" s="5"/>
    </row>
    <row r="1206" spans="1:2" x14ac:dyDescent="0.3">
      <c r="A1206"/>
      <c r="B1206" s="5"/>
    </row>
    <row r="1207" spans="1:2" x14ac:dyDescent="0.3">
      <c r="A1207"/>
      <c r="B1207" s="5"/>
    </row>
    <row r="1208" spans="1:2" x14ac:dyDescent="0.3">
      <c r="A1208"/>
      <c r="B1208" s="5"/>
    </row>
    <row r="1209" spans="1:2" x14ac:dyDescent="0.3">
      <c r="A1209"/>
      <c r="B1209" s="5"/>
    </row>
    <row r="1210" spans="1:2" x14ac:dyDescent="0.3">
      <c r="A1210"/>
      <c r="B1210" s="5"/>
    </row>
    <row r="1211" spans="1:2" x14ac:dyDescent="0.3">
      <c r="A1211"/>
      <c r="B1211" s="5"/>
    </row>
    <row r="1212" spans="1:2" x14ac:dyDescent="0.3">
      <c r="A1212"/>
      <c r="B1212" s="5"/>
    </row>
    <row r="1213" spans="1:2" x14ac:dyDescent="0.3">
      <c r="A1213"/>
      <c r="B1213" s="5"/>
    </row>
    <row r="1214" spans="1:2" x14ac:dyDescent="0.3">
      <c r="A1214"/>
      <c r="B1214" s="5"/>
    </row>
    <row r="1215" spans="1:2" x14ac:dyDescent="0.3">
      <c r="A1215"/>
      <c r="B1215" s="5"/>
    </row>
    <row r="1216" spans="1:2" x14ac:dyDescent="0.3">
      <c r="A1216"/>
      <c r="B1216" s="5"/>
    </row>
    <row r="1217" spans="1:2" x14ac:dyDescent="0.3">
      <c r="A1217"/>
      <c r="B1217" s="5"/>
    </row>
    <row r="1218" spans="1:2" x14ac:dyDescent="0.3">
      <c r="A1218"/>
      <c r="B1218" s="5"/>
    </row>
    <row r="1219" spans="1:2" x14ac:dyDescent="0.3">
      <c r="A1219"/>
      <c r="B1219" s="5"/>
    </row>
    <row r="1220" spans="1:2" x14ac:dyDescent="0.3">
      <c r="A1220"/>
      <c r="B1220" s="5"/>
    </row>
    <row r="1221" spans="1:2" x14ac:dyDescent="0.3">
      <c r="A1221"/>
      <c r="B1221" s="5"/>
    </row>
    <row r="1222" spans="1:2" x14ac:dyDescent="0.3">
      <c r="A1222"/>
      <c r="B1222" s="5"/>
    </row>
    <row r="1223" spans="1:2" x14ac:dyDescent="0.3">
      <c r="A1223"/>
      <c r="B1223" s="5"/>
    </row>
    <row r="1224" spans="1:2" x14ac:dyDescent="0.3">
      <c r="A1224"/>
      <c r="B1224" s="5"/>
    </row>
    <row r="1225" spans="1:2" x14ac:dyDescent="0.3">
      <c r="A1225"/>
      <c r="B1225" s="5"/>
    </row>
    <row r="1226" spans="1:2" x14ac:dyDescent="0.3">
      <c r="A1226"/>
      <c r="B1226" s="5"/>
    </row>
    <row r="1227" spans="1:2" x14ac:dyDescent="0.3">
      <c r="A1227"/>
      <c r="B1227" s="5"/>
    </row>
    <row r="1228" spans="1:2" x14ac:dyDescent="0.3">
      <c r="A1228"/>
      <c r="B1228" s="5"/>
    </row>
    <row r="1229" spans="1:2" x14ac:dyDescent="0.3">
      <c r="A1229"/>
      <c r="B1229" s="5"/>
    </row>
    <row r="1230" spans="1:2" x14ac:dyDescent="0.3">
      <c r="A1230"/>
      <c r="B1230" s="5"/>
    </row>
    <row r="1231" spans="1:2" x14ac:dyDescent="0.3">
      <c r="A1231"/>
      <c r="B1231" s="5"/>
    </row>
    <row r="1232" spans="1:2" x14ac:dyDescent="0.3">
      <c r="A1232"/>
      <c r="B1232" s="5"/>
    </row>
    <row r="1233" spans="1:2" x14ac:dyDescent="0.3">
      <c r="A1233"/>
      <c r="B1233" s="5"/>
    </row>
    <row r="1234" spans="1:2" x14ac:dyDescent="0.3">
      <c r="A1234"/>
      <c r="B1234" s="5"/>
    </row>
    <row r="1235" spans="1:2" x14ac:dyDescent="0.3">
      <c r="A1235"/>
      <c r="B1235" s="5"/>
    </row>
    <row r="1236" spans="1:2" x14ac:dyDescent="0.3">
      <c r="A1236"/>
      <c r="B1236" s="5"/>
    </row>
    <row r="1237" spans="1:2" x14ac:dyDescent="0.3">
      <c r="A1237"/>
      <c r="B1237" s="5"/>
    </row>
    <row r="1238" spans="1:2" x14ac:dyDescent="0.3">
      <c r="A1238"/>
      <c r="B1238" s="5"/>
    </row>
    <row r="1239" spans="1:2" x14ac:dyDescent="0.3">
      <c r="A1239"/>
      <c r="B1239" s="5"/>
    </row>
    <row r="1240" spans="1:2" x14ac:dyDescent="0.3">
      <c r="A1240"/>
      <c r="B1240" s="5"/>
    </row>
    <row r="1241" spans="1:2" x14ac:dyDescent="0.3">
      <c r="A1241"/>
      <c r="B1241" s="5"/>
    </row>
    <row r="1242" spans="1:2" x14ac:dyDescent="0.3">
      <c r="A1242"/>
      <c r="B1242" s="5"/>
    </row>
    <row r="1243" spans="1:2" x14ac:dyDescent="0.3">
      <c r="A1243"/>
      <c r="B1243" s="5"/>
    </row>
    <row r="1244" spans="1:2" x14ac:dyDescent="0.3">
      <c r="A1244"/>
      <c r="B1244" s="5"/>
    </row>
    <row r="1245" spans="1:2" x14ac:dyDescent="0.3">
      <c r="A1245"/>
      <c r="B1245" s="5"/>
    </row>
    <row r="1246" spans="1:2" x14ac:dyDescent="0.3">
      <c r="A1246"/>
      <c r="B1246" s="5"/>
    </row>
    <row r="1247" spans="1:2" x14ac:dyDescent="0.3">
      <c r="A1247"/>
      <c r="B1247" s="5"/>
    </row>
    <row r="1248" spans="1:2" x14ac:dyDescent="0.3">
      <c r="A1248"/>
      <c r="B1248" s="5"/>
    </row>
    <row r="1249" spans="1:2" x14ac:dyDescent="0.3">
      <c r="A1249"/>
      <c r="B1249" s="5"/>
    </row>
    <row r="1250" spans="1:2" x14ac:dyDescent="0.3">
      <c r="A1250"/>
      <c r="B1250" s="5"/>
    </row>
    <row r="1251" spans="1:2" x14ac:dyDescent="0.3">
      <c r="A1251"/>
      <c r="B1251" s="5"/>
    </row>
    <row r="1252" spans="1:2" x14ac:dyDescent="0.3">
      <c r="A1252"/>
      <c r="B1252" s="5"/>
    </row>
    <row r="1253" spans="1:2" x14ac:dyDescent="0.3">
      <c r="A1253"/>
      <c r="B1253" s="5"/>
    </row>
    <row r="1254" spans="1:2" x14ac:dyDescent="0.3">
      <c r="A1254"/>
      <c r="B1254" s="5"/>
    </row>
    <row r="1255" spans="1:2" x14ac:dyDescent="0.3">
      <c r="A1255"/>
      <c r="B1255" s="5"/>
    </row>
    <row r="1256" spans="1:2" x14ac:dyDescent="0.3">
      <c r="A1256"/>
      <c r="B1256" s="5"/>
    </row>
    <row r="1257" spans="1:2" x14ac:dyDescent="0.3">
      <c r="A1257"/>
      <c r="B1257" s="5"/>
    </row>
    <row r="1258" spans="1:2" x14ac:dyDescent="0.3">
      <c r="A1258"/>
      <c r="B1258" s="5"/>
    </row>
    <row r="1259" spans="1:2" x14ac:dyDescent="0.3">
      <c r="A1259"/>
      <c r="B1259" s="5"/>
    </row>
    <row r="1260" spans="1:2" x14ac:dyDescent="0.3">
      <c r="A1260"/>
      <c r="B1260" s="5"/>
    </row>
    <row r="1261" spans="1:2" x14ac:dyDescent="0.3">
      <c r="A1261"/>
      <c r="B1261" s="5"/>
    </row>
    <row r="1262" spans="1:2" x14ac:dyDescent="0.3">
      <c r="A1262"/>
      <c r="B1262" s="5"/>
    </row>
    <row r="1263" spans="1:2" x14ac:dyDescent="0.3">
      <c r="A1263"/>
      <c r="B1263" s="5"/>
    </row>
    <row r="1264" spans="1:2" x14ac:dyDescent="0.3">
      <c r="A1264"/>
      <c r="B1264" s="5"/>
    </row>
    <row r="1265" spans="1:2" x14ac:dyDescent="0.3">
      <c r="A1265"/>
      <c r="B1265" s="5"/>
    </row>
    <row r="1266" spans="1:2" x14ac:dyDescent="0.3">
      <c r="A1266"/>
      <c r="B1266" s="5"/>
    </row>
    <row r="1267" spans="1:2" x14ac:dyDescent="0.3">
      <c r="A1267"/>
      <c r="B1267" s="5"/>
    </row>
    <row r="1268" spans="1:2" x14ac:dyDescent="0.3">
      <c r="A1268"/>
      <c r="B1268" s="5"/>
    </row>
    <row r="1269" spans="1:2" x14ac:dyDescent="0.3">
      <c r="A1269"/>
      <c r="B1269" s="5"/>
    </row>
    <row r="1270" spans="1:2" x14ac:dyDescent="0.3">
      <c r="A1270"/>
      <c r="B1270" s="5"/>
    </row>
    <row r="1271" spans="1:2" x14ac:dyDescent="0.3">
      <c r="A1271"/>
      <c r="B1271" s="5"/>
    </row>
    <row r="1272" spans="1:2" x14ac:dyDescent="0.3">
      <c r="A1272"/>
      <c r="B1272" s="5"/>
    </row>
    <row r="1273" spans="1:2" x14ac:dyDescent="0.3">
      <c r="A1273"/>
      <c r="B1273" s="5"/>
    </row>
    <row r="1274" spans="1:2" x14ac:dyDescent="0.3">
      <c r="A1274"/>
      <c r="B1274" s="5"/>
    </row>
    <row r="1275" spans="1:2" x14ac:dyDescent="0.3">
      <c r="A1275"/>
      <c r="B1275" s="5"/>
    </row>
    <row r="1276" spans="1:2" x14ac:dyDescent="0.3">
      <c r="A1276"/>
      <c r="B1276" s="5"/>
    </row>
    <row r="1277" spans="1:2" x14ac:dyDescent="0.3">
      <c r="A1277"/>
      <c r="B1277" s="5"/>
    </row>
    <row r="1278" spans="1:2" x14ac:dyDescent="0.3">
      <c r="A1278"/>
      <c r="B1278" s="5"/>
    </row>
    <row r="1279" spans="1:2" x14ac:dyDescent="0.3">
      <c r="A1279"/>
      <c r="B1279" s="5"/>
    </row>
    <row r="1280" spans="1:2" x14ac:dyDescent="0.3">
      <c r="A1280"/>
      <c r="B1280" s="5"/>
    </row>
    <row r="1281" spans="1:2" x14ac:dyDescent="0.3">
      <c r="A1281"/>
      <c r="B1281" s="5"/>
    </row>
    <row r="1282" spans="1:2" x14ac:dyDescent="0.3">
      <c r="A1282"/>
      <c r="B1282" s="5"/>
    </row>
    <row r="1283" spans="1:2" x14ac:dyDescent="0.3">
      <c r="A1283"/>
      <c r="B1283" s="5"/>
    </row>
    <row r="1284" spans="1:2" x14ac:dyDescent="0.3">
      <c r="A1284"/>
      <c r="B1284" s="5"/>
    </row>
    <row r="1285" spans="1:2" x14ac:dyDescent="0.3">
      <c r="A1285"/>
      <c r="B1285" s="5"/>
    </row>
    <row r="1286" spans="1:2" x14ac:dyDescent="0.3">
      <c r="A1286"/>
      <c r="B1286" s="5"/>
    </row>
    <row r="1287" spans="1:2" x14ac:dyDescent="0.3">
      <c r="A1287"/>
      <c r="B1287" s="5"/>
    </row>
    <row r="1288" spans="1:2" x14ac:dyDescent="0.3">
      <c r="A1288"/>
      <c r="B1288" s="5"/>
    </row>
    <row r="1289" spans="1:2" x14ac:dyDescent="0.3">
      <c r="A1289"/>
      <c r="B1289" s="5"/>
    </row>
    <row r="1290" spans="1:2" x14ac:dyDescent="0.3">
      <c r="A1290"/>
      <c r="B1290" s="5"/>
    </row>
    <row r="1291" spans="1:2" x14ac:dyDescent="0.3">
      <c r="A1291"/>
      <c r="B1291" s="5"/>
    </row>
    <row r="1292" spans="1:2" x14ac:dyDescent="0.3">
      <c r="A1292"/>
      <c r="B1292" s="5"/>
    </row>
    <row r="1293" spans="1:2" x14ac:dyDescent="0.3">
      <c r="A1293"/>
      <c r="B1293" s="5"/>
    </row>
    <row r="1294" spans="1:2" x14ac:dyDescent="0.3">
      <c r="A1294"/>
      <c r="B1294" s="5"/>
    </row>
    <row r="1295" spans="1:2" x14ac:dyDescent="0.3">
      <c r="A1295"/>
      <c r="B1295" s="5"/>
    </row>
    <row r="1296" spans="1:2" x14ac:dyDescent="0.3">
      <c r="A1296"/>
      <c r="B1296" s="5"/>
    </row>
    <row r="1297" spans="1:2" x14ac:dyDescent="0.3">
      <c r="A1297"/>
      <c r="B1297" s="5"/>
    </row>
    <row r="1298" spans="1:2" x14ac:dyDescent="0.3">
      <c r="A1298"/>
      <c r="B1298" s="5"/>
    </row>
    <row r="1299" spans="1:2" x14ac:dyDescent="0.3">
      <c r="A1299"/>
      <c r="B1299" s="5"/>
    </row>
    <row r="1300" spans="1:2" x14ac:dyDescent="0.3">
      <c r="A1300"/>
      <c r="B1300" s="5"/>
    </row>
    <row r="1301" spans="1:2" x14ac:dyDescent="0.3">
      <c r="A1301"/>
      <c r="B1301" s="5"/>
    </row>
    <row r="1302" spans="1:2" x14ac:dyDescent="0.3">
      <c r="A1302"/>
      <c r="B1302" s="5"/>
    </row>
    <row r="1303" spans="1:2" x14ac:dyDescent="0.3">
      <c r="A1303"/>
      <c r="B1303" s="5"/>
    </row>
    <row r="1304" spans="1:2" x14ac:dyDescent="0.3">
      <c r="A1304"/>
      <c r="B1304" s="5"/>
    </row>
    <row r="1305" spans="1:2" x14ac:dyDescent="0.3">
      <c r="A1305"/>
      <c r="B1305" s="5"/>
    </row>
    <row r="1306" spans="1:2" x14ac:dyDescent="0.3">
      <c r="A1306"/>
      <c r="B1306" s="5"/>
    </row>
    <row r="1307" spans="1:2" x14ac:dyDescent="0.3">
      <c r="A1307"/>
      <c r="B1307" s="5"/>
    </row>
    <row r="1308" spans="1:2" x14ac:dyDescent="0.3">
      <c r="A1308"/>
      <c r="B1308" s="5"/>
    </row>
    <row r="1309" spans="1:2" x14ac:dyDescent="0.3">
      <c r="A1309"/>
      <c r="B1309" s="5"/>
    </row>
    <row r="1310" spans="1:2" x14ac:dyDescent="0.3">
      <c r="A1310"/>
      <c r="B1310" s="5"/>
    </row>
    <row r="1311" spans="1:2" x14ac:dyDescent="0.3">
      <c r="A1311"/>
      <c r="B1311" s="5"/>
    </row>
    <row r="1312" spans="1:2" x14ac:dyDescent="0.3">
      <c r="A1312"/>
      <c r="B1312" s="5"/>
    </row>
    <row r="1313" spans="1:2" x14ac:dyDescent="0.3">
      <c r="A1313"/>
      <c r="B1313" s="5"/>
    </row>
    <row r="1314" spans="1:2" x14ac:dyDescent="0.3">
      <c r="A1314"/>
      <c r="B1314" s="5"/>
    </row>
    <row r="1315" spans="1:2" x14ac:dyDescent="0.3">
      <c r="A1315"/>
      <c r="B1315" s="5"/>
    </row>
    <row r="1316" spans="1:2" x14ac:dyDescent="0.3">
      <c r="A1316"/>
      <c r="B1316" s="5"/>
    </row>
    <row r="1317" spans="1:2" x14ac:dyDescent="0.3">
      <c r="A1317"/>
      <c r="B1317" s="5"/>
    </row>
    <row r="1318" spans="1:2" x14ac:dyDescent="0.3">
      <c r="A1318"/>
      <c r="B1318" s="5"/>
    </row>
    <row r="1319" spans="1:2" x14ac:dyDescent="0.3">
      <c r="A1319"/>
      <c r="B1319" s="5"/>
    </row>
    <row r="1320" spans="1:2" x14ac:dyDescent="0.3">
      <c r="A1320"/>
      <c r="B1320" s="5"/>
    </row>
    <row r="1321" spans="1:2" x14ac:dyDescent="0.3">
      <c r="A1321"/>
      <c r="B1321" s="5"/>
    </row>
    <row r="1322" spans="1:2" x14ac:dyDescent="0.3">
      <c r="A1322"/>
      <c r="B1322" s="5"/>
    </row>
    <row r="1323" spans="1:2" x14ac:dyDescent="0.3">
      <c r="A1323"/>
      <c r="B1323" s="5"/>
    </row>
    <row r="1324" spans="1:2" x14ac:dyDescent="0.3">
      <c r="A1324"/>
      <c r="B1324" s="5"/>
    </row>
    <row r="1325" spans="1:2" x14ac:dyDescent="0.3">
      <c r="A1325"/>
      <c r="B1325" s="5"/>
    </row>
    <row r="1326" spans="1:2" x14ac:dyDescent="0.3">
      <c r="A1326"/>
      <c r="B1326" s="5"/>
    </row>
    <row r="1327" spans="1:2" x14ac:dyDescent="0.3">
      <c r="A1327"/>
      <c r="B1327" s="5"/>
    </row>
    <row r="1328" spans="1:2" x14ac:dyDescent="0.3">
      <c r="A1328"/>
      <c r="B1328" s="5"/>
    </row>
    <row r="1329" spans="1:2" x14ac:dyDescent="0.3">
      <c r="A1329"/>
      <c r="B1329" s="5"/>
    </row>
    <row r="1330" spans="1:2" x14ac:dyDescent="0.3">
      <c r="A1330"/>
      <c r="B1330" s="5"/>
    </row>
    <row r="1331" spans="1:2" x14ac:dyDescent="0.3">
      <c r="A1331"/>
      <c r="B1331" s="5"/>
    </row>
    <row r="1332" spans="1:2" x14ac:dyDescent="0.3">
      <c r="A1332"/>
      <c r="B1332" s="5"/>
    </row>
    <row r="1333" spans="1:2" x14ac:dyDescent="0.3">
      <c r="A1333"/>
      <c r="B1333" s="5"/>
    </row>
    <row r="1334" spans="1:2" x14ac:dyDescent="0.3">
      <c r="A1334"/>
      <c r="B1334" s="5"/>
    </row>
    <row r="1335" spans="1:2" x14ac:dyDescent="0.3">
      <c r="A1335"/>
      <c r="B1335" s="5"/>
    </row>
    <row r="1336" spans="1:2" x14ac:dyDescent="0.3">
      <c r="A1336"/>
      <c r="B1336" s="5"/>
    </row>
    <row r="1337" spans="1:2" x14ac:dyDescent="0.3">
      <c r="A1337"/>
      <c r="B1337" s="5"/>
    </row>
    <row r="1338" spans="1:2" x14ac:dyDescent="0.3">
      <c r="A1338"/>
      <c r="B1338" s="5"/>
    </row>
    <row r="1339" spans="1:2" x14ac:dyDescent="0.3">
      <c r="A1339"/>
      <c r="B1339" s="5"/>
    </row>
    <row r="1340" spans="1:2" x14ac:dyDescent="0.3">
      <c r="A1340"/>
      <c r="B1340" s="5"/>
    </row>
    <row r="1341" spans="1:2" x14ac:dyDescent="0.3">
      <c r="A1341"/>
      <c r="B1341" s="5"/>
    </row>
    <row r="1342" spans="1:2" x14ac:dyDescent="0.3">
      <c r="A1342"/>
      <c r="B1342" s="5"/>
    </row>
    <row r="1343" spans="1:2" x14ac:dyDescent="0.3">
      <c r="A1343"/>
      <c r="B1343" s="5"/>
    </row>
    <row r="1344" spans="1:2" x14ac:dyDescent="0.3">
      <c r="A1344"/>
      <c r="B1344" s="5"/>
    </row>
    <row r="1345" spans="1:2" x14ac:dyDescent="0.3">
      <c r="A1345"/>
      <c r="B1345" s="5"/>
    </row>
    <row r="1346" spans="1:2" x14ac:dyDescent="0.3">
      <c r="A1346"/>
      <c r="B1346" s="5"/>
    </row>
    <row r="1347" spans="1:2" x14ac:dyDescent="0.3">
      <c r="A1347"/>
      <c r="B1347" s="5"/>
    </row>
    <row r="1348" spans="1:2" x14ac:dyDescent="0.3">
      <c r="A1348"/>
      <c r="B1348" s="5"/>
    </row>
    <row r="1349" spans="1:2" x14ac:dyDescent="0.3">
      <c r="A1349"/>
      <c r="B1349" s="5"/>
    </row>
    <row r="1350" spans="1:2" x14ac:dyDescent="0.3">
      <c r="A1350"/>
      <c r="B1350" s="5"/>
    </row>
    <row r="1351" spans="1:2" x14ac:dyDescent="0.3">
      <c r="A1351"/>
      <c r="B1351" s="5"/>
    </row>
    <row r="1352" spans="1:2" x14ac:dyDescent="0.3">
      <c r="A1352"/>
      <c r="B1352" s="5"/>
    </row>
    <row r="1353" spans="1:2" x14ac:dyDescent="0.3">
      <c r="A1353"/>
      <c r="B1353" s="5"/>
    </row>
    <row r="1354" spans="1:2" x14ac:dyDescent="0.3">
      <c r="A1354"/>
      <c r="B1354" s="5"/>
    </row>
    <row r="1355" spans="1:2" x14ac:dyDescent="0.3">
      <c r="A1355"/>
      <c r="B1355" s="5"/>
    </row>
    <row r="1356" spans="1:2" x14ac:dyDescent="0.3">
      <c r="A1356"/>
      <c r="B1356" s="5"/>
    </row>
    <row r="1357" spans="1:2" x14ac:dyDescent="0.3">
      <c r="A1357"/>
      <c r="B1357" s="5"/>
    </row>
    <row r="1358" spans="1:2" x14ac:dyDescent="0.3">
      <c r="A1358"/>
      <c r="B1358" s="5"/>
    </row>
    <row r="1359" spans="1:2" x14ac:dyDescent="0.3">
      <c r="A1359"/>
      <c r="B1359" s="5"/>
    </row>
    <row r="1360" spans="1:2" x14ac:dyDescent="0.3">
      <c r="A1360"/>
      <c r="B1360" s="5"/>
    </row>
    <row r="1361" spans="1:2" x14ac:dyDescent="0.3">
      <c r="A1361"/>
      <c r="B1361" s="5"/>
    </row>
    <row r="1362" spans="1:2" x14ac:dyDescent="0.3">
      <c r="A1362"/>
      <c r="B1362" s="5"/>
    </row>
    <row r="1363" spans="1:2" x14ac:dyDescent="0.3">
      <c r="A1363"/>
      <c r="B1363" s="5"/>
    </row>
    <row r="1364" spans="1:2" x14ac:dyDescent="0.3">
      <c r="A1364"/>
      <c r="B1364" s="5"/>
    </row>
    <row r="1365" spans="1:2" x14ac:dyDescent="0.3">
      <c r="A1365"/>
      <c r="B1365" s="5"/>
    </row>
    <row r="1366" spans="1:2" x14ac:dyDescent="0.3">
      <c r="A1366"/>
      <c r="B1366" s="5"/>
    </row>
    <row r="1367" spans="1:2" x14ac:dyDescent="0.3">
      <c r="A1367"/>
      <c r="B1367" s="5"/>
    </row>
    <row r="1368" spans="1:2" x14ac:dyDescent="0.3">
      <c r="A1368"/>
      <c r="B1368" s="5"/>
    </row>
    <row r="1369" spans="1:2" x14ac:dyDescent="0.3">
      <c r="A1369"/>
      <c r="B1369" s="5"/>
    </row>
    <row r="1370" spans="1:2" x14ac:dyDescent="0.3">
      <c r="A1370"/>
      <c r="B1370" s="5"/>
    </row>
    <row r="1371" spans="1:2" x14ac:dyDescent="0.3">
      <c r="A1371"/>
      <c r="B1371" s="5"/>
    </row>
    <row r="1372" spans="1:2" x14ac:dyDescent="0.3">
      <c r="A1372"/>
      <c r="B1372" s="5"/>
    </row>
    <row r="1373" spans="1:2" x14ac:dyDescent="0.3">
      <c r="A1373"/>
      <c r="B1373" s="5"/>
    </row>
    <row r="1374" spans="1:2" x14ac:dyDescent="0.3">
      <c r="A1374"/>
      <c r="B1374" s="5"/>
    </row>
    <row r="1375" spans="1:2" x14ac:dyDescent="0.3">
      <c r="A1375"/>
      <c r="B1375" s="5"/>
    </row>
    <row r="1376" spans="1:2" x14ac:dyDescent="0.3">
      <c r="A1376"/>
      <c r="B1376" s="5"/>
    </row>
    <row r="1377" spans="1:2" x14ac:dyDescent="0.3">
      <c r="A1377"/>
      <c r="B1377" s="5"/>
    </row>
    <row r="1378" spans="1:2" x14ac:dyDescent="0.3">
      <c r="A1378"/>
      <c r="B1378" s="5"/>
    </row>
    <row r="1379" spans="1:2" x14ac:dyDescent="0.3">
      <c r="A1379"/>
      <c r="B1379" s="5"/>
    </row>
    <row r="1380" spans="1:2" x14ac:dyDescent="0.3">
      <c r="A1380"/>
      <c r="B1380" s="5"/>
    </row>
    <row r="1381" spans="1:2" x14ac:dyDescent="0.3">
      <c r="A1381"/>
      <c r="B1381" s="5"/>
    </row>
    <row r="1382" spans="1:2" x14ac:dyDescent="0.3">
      <c r="A1382"/>
      <c r="B1382" s="5"/>
    </row>
    <row r="1383" spans="1:2" x14ac:dyDescent="0.3">
      <c r="A1383"/>
      <c r="B1383" s="5"/>
    </row>
    <row r="1384" spans="1:2" x14ac:dyDescent="0.3">
      <c r="A1384"/>
      <c r="B1384" s="5"/>
    </row>
    <row r="1385" spans="1:2" x14ac:dyDescent="0.3">
      <c r="A1385"/>
      <c r="B1385" s="5"/>
    </row>
    <row r="1386" spans="1:2" x14ac:dyDescent="0.3">
      <c r="A1386"/>
      <c r="B1386" s="5"/>
    </row>
    <row r="1387" spans="1:2" x14ac:dyDescent="0.3">
      <c r="A1387"/>
      <c r="B1387" s="5"/>
    </row>
    <row r="1388" spans="1:2" x14ac:dyDescent="0.3">
      <c r="A1388"/>
      <c r="B1388" s="5"/>
    </row>
    <row r="1389" spans="1:2" x14ac:dyDescent="0.3">
      <c r="A1389"/>
      <c r="B1389" s="5"/>
    </row>
    <row r="1390" spans="1:2" x14ac:dyDescent="0.3">
      <c r="A1390"/>
      <c r="B1390" s="5"/>
    </row>
    <row r="1391" spans="1:2" x14ac:dyDescent="0.3">
      <c r="A1391"/>
      <c r="B1391" s="5"/>
    </row>
    <row r="1392" spans="1:2" x14ac:dyDescent="0.3">
      <c r="A1392"/>
      <c r="B1392" s="5"/>
    </row>
    <row r="1393" spans="1:2" x14ac:dyDescent="0.3">
      <c r="A1393"/>
      <c r="B1393" s="5"/>
    </row>
    <row r="1394" spans="1:2" x14ac:dyDescent="0.3">
      <c r="A1394"/>
      <c r="B1394" s="5"/>
    </row>
    <row r="1395" spans="1:2" x14ac:dyDescent="0.3">
      <c r="A1395"/>
      <c r="B1395" s="5"/>
    </row>
    <row r="1396" spans="1:2" x14ac:dyDescent="0.3">
      <c r="A1396"/>
      <c r="B1396" s="5"/>
    </row>
    <row r="1397" spans="1:2" x14ac:dyDescent="0.3">
      <c r="A1397"/>
      <c r="B1397" s="5"/>
    </row>
    <row r="1398" spans="1:2" x14ac:dyDescent="0.3">
      <c r="A1398"/>
      <c r="B1398" s="5"/>
    </row>
    <row r="1399" spans="1:2" x14ac:dyDescent="0.3">
      <c r="A1399"/>
      <c r="B1399" s="5"/>
    </row>
    <row r="1400" spans="1:2" x14ac:dyDescent="0.3">
      <c r="A1400"/>
      <c r="B1400" s="5"/>
    </row>
    <row r="1401" spans="1:2" x14ac:dyDescent="0.3">
      <c r="A1401"/>
      <c r="B1401" s="5"/>
    </row>
    <row r="1402" spans="1:2" x14ac:dyDescent="0.3">
      <c r="A1402"/>
      <c r="B1402" s="5"/>
    </row>
    <row r="1403" spans="1:2" x14ac:dyDescent="0.3">
      <c r="A1403"/>
      <c r="B1403" s="5"/>
    </row>
    <row r="1404" spans="1:2" x14ac:dyDescent="0.3">
      <c r="A1404"/>
      <c r="B1404" s="5"/>
    </row>
    <row r="1405" spans="1:2" x14ac:dyDescent="0.3">
      <c r="A1405"/>
      <c r="B1405" s="5"/>
    </row>
    <row r="1406" spans="1:2" x14ac:dyDescent="0.3">
      <c r="A1406"/>
      <c r="B1406" s="5"/>
    </row>
    <row r="1407" spans="1:2" x14ac:dyDescent="0.3">
      <c r="A1407"/>
      <c r="B1407" s="5"/>
    </row>
    <row r="1408" spans="1:2" x14ac:dyDescent="0.3">
      <c r="A1408"/>
      <c r="B1408" s="5"/>
    </row>
    <row r="1409" spans="1:2" x14ac:dyDescent="0.3">
      <c r="A1409"/>
      <c r="B1409" s="5"/>
    </row>
    <row r="1410" spans="1:2" x14ac:dyDescent="0.3">
      <c r="A1410"/>
      <c r="B1410" s="5"/>
    </row>
    <row r="1411" spans="1:2" x14ac:dyDescent="0.3">
      <c r="A1411"/>
      <c r="B1411" s="5"/>
    </row>
    <row r="1412" spans="1:2" x14ac:dyDescent="0.3">
      <c r="A1412"/>
      <c r="B1412" s="5"/>
    </row>
    <row r="1413" spans="1:2" x14ac:dyDescent="0.3">
      <c r="A1413"/>
      <c r="B1413" s="5"/>
    </row>
    <row r="1414" spans="1:2" x14ac:dyDescent="0.3">
      <c r="A1414"/>
      <c r="B1414" s="5"/>
    </row>
    <row r="1415" spans="1:2" x14ac:dyDescent="0.3">
      <c r="A1415"/>
      <c r="B1415" s="5"/>
    </row>
    <row r="1416" spans="1:2" x14ac:dyDescent="0.3">
      <c r="A1416"/>
      <c r="B1416" s="5"/>
    </row>
    <row r="1417" spans="1:2" x14ac:dyDescent="0.3">
      <c r="A1417"/>
      <c r="B1417" s="5"/>
    </row>
    <row r="1418" spans="1:2" x14ac:dyDescent="0.3">
      <c r="A1418"/>
      <c r="B1418" s="5"/>
    </row>
    <row r="1419" spans="1:2" x14ac:dyDescent="0.3">
      <c r="A1419"/>
      <c r="B1419" s="5"/>
    </row>
    <row r="1420" spans="1:2" x14ac:dyDescent="0.3">
      <c r="A1420"/>
      <c r="B1420" s="5"/>
    </row>
    <row r="1421" spans="1:2" x14ac:dyDescent="0.3">
      <c r="A1421"/>
      <c r="B1421" s="5"/>
    </row>
    <row r="1422" spans="1:2" x14ac:dyDescent="0.3">
      <c r="A1422"/>
      <c r="B1422" s="5"/>
    </row>
    <row r="1423" spans="1:2" x14ac:dyDescent="0.3">
      <c r="A1423"/>
      <c r="B1423" s="5"/>
    </row>
    <row r="1424" spans="1:2" x14ac:dyDescent="0.3">
      <c r="A1424"/>
      <c r="B1424" s="5"/>
    </row>
    <row r="1425" spans="1:2" x14ac:dyDescent="0.3">
      <c r="A1425"/>
      <c r="B1425" s="5"/>
    </row>
    <row r="1426" spans="1:2" x14ac:dyDescent="0.3">
      <c r="A1426"/>
      <c r="B1426" s="5"/>
    </row>
    <row r="1427" spans="1:2" x14ac:dyDescent="0.3">
      <c r="A1427"/>
      <c r="B1427" s="5"/>
    </row>
    <row r="1428" spans="1:2" x14ac:dyDescent="0.3">
      <c r="A1428"/>
      <c r="B1428" s="5"/>
    </row>
    <row r="1429" spans="1:2" x14ac:dyDescent="0.3">
      <c r="A1429"/>
      <c r="B1429" s="5"/>
    </row>
    <row r="1430" spans="1:2" x14ac:dyDescent="0.3">
      <c r="A1430"/>
      <c r="B1430" s="5"/>
    </row>
    <row r="1431" spans="1:2" x14ac:dyDescent="0.3">
      <c r="A1431"/>
      <c r="B1431" s="5"/>
    </row>
    <row r="1432" spans="1:2" x14ac:dyDescent="0.3">
      <c r="A1432"/>
      <c r="B1432" s="5"/>
    </row>
    <row r="1433" spans="1:2" x14ac:dyDescent="0.3">
      <c r="A1433"/>
      <c r="B1433" s="5"/>
    </row>
    <row r="1434" spans="1:2" x14ac:dyDescent="0.3">
      <c r="A1434"/>
      <c r="B1434" s="5"/>
    </row>
    <row r="1435" spans="1:2" x14ac:dyDescent="0.3">
      <c r="A1435"/>
      <c r="B1435" s="5"/>
    </row>
    <row r="1436" spans="1:2" x14ac:dyDescent="0.3">
      <c r="A1436"/>
      <c r="B1436" s="5"/>
    </row>
    <row r="1437" spans="1:2" x14ac:dyDescent="0.3">
      <c r="A1437"/>
      <c r="B1437" s="5"/>
    </row>
    <row r="1438" spans="1:2" x14ac:dyDescent="0.3">
      <c r="A1438"/>
      <c r="B1438" s="5"/>
    </row>
    <row r="1439" spans="1:2" x14ac:dyDescent="0.3">
      <c r="A1439"/>
      <c r="B1439" s="5"/>
    </row>
    <row r="1440" spans="1:2" x14ac:dyDescent="0.3">
      <c r="A1440"/>
      <c r="B1440" s="5"/>
    </row>
    <row r="1441" spans="1:2" x14ac:dyDescent="0.3">
      <c r="A1441"/>
      <c r="B1441" s="5"/>
    </row>
    <row r="1442" spans="1:2" x14ac:dyDescent="0.3">
      <c r="A1442"/>
      <c r="B1442" s="5"/>
    </row>
    <row r="1443" spans="1:2" x14ac:dyDescent="0.3">
      <c r="A1443"/>
      <c r="B1443" s="5"/>
    </row>
    <row r="1444" spans="1:2" x14ac:dyDescent="0.3">
      <c r="A1444"/>
      <c r="B1444" s="5"/>
    </row>
    <row r="1445" spans="1:2" x14ac:dyDescent="0.3">
      <c r="A1445"/>
      <c r="B1445" s="5"/>
    </row>
    <row r="1446" spans="1:2" x14ac:dyDescent="0.3">
      <c r="A1446"/>
      <c r="B1446" s="5"/>
    </row>
    <row r="1447" spans="1:2" x14ac:dyDescent="0.3">
      <c r="A1447"/>
      <c r="B1447" s="5"/>
    </row>
    <row r="1448" spans="1:2" x14ac:dyDescent="0.3">
      <c r="A1448"/>
      <c r="B1448" s="5"/>
    </row>
    <row r="1449" spans="1:2" x14ac:dyDescent="0.3">
      <c r="A1449"/>
      <c r="B1449" s="5"/>
    </row>
    <row r="1450" spans="1:2" x14ac:dyDescent="0.3">
      <c r="A1450"/>
      <c r="B1450" s="5"/>
    </row>
    <row r="1451" spans="1:2" x14ac:dyDescent="0.3">
      <c r="A1451"/>
      <c r="B1451" s="5"/>
    </row>
    <row r="1452" spans="1:2" x14ac:dyDescent="0.3">
      <c r="A1452"/>
      <c r="B1452" s="5"/>
    </row>
    <row r="1453" spans="1:2" x14ac:dyDescent="0.3">
      <c r="A1453"/>
      <c r="B1453" s="5"/>
    </row>
    <row r="1454" spans="1:2" x14ac:dyDescent="0.3">
      <c r="A1454"/>
      <c r="B1454" s="5"/>
    </row>
    <row r="1455" spans="1:2" x14ac:dyDescent="0.3">
      <c r="A1455"/>
      <c r="B1455" s="5"/>
    </row>
    <row r="1456" spans="1:2" x14ac:dyDescent="0.3">
      <c r="A1456"/>
      <c r="B1456" s="5"/>
    </row>
    <row r="1457" spans="1:2" x14ac:dyDescent="0.3">
      <c r="A1457"/>
      <c r="B1457" s="5"/>
    </row>
    <row r="1458" spans="1:2" x14ac:dyDescent="0.3">
      <c r="A1458"/>
      <c r="B1458" s="5"/>
    </row>
    <row r="1459" spans="1:2" x14ac:dyDescent="0.3">
      <c r="A1459"/>
      <c r="B1459" s="5"/>
    </row>
    <row r="1460" spans="1:2" x14ac:dyDescent="0.3">
      <c r="A1460"/>
      <c r="B1460" s="5"/>
    </row>
    <row r="1461" spans="1:2" x14ac:dyDescent="0.3">
      <c r="A1461"/>
      <c r="B1461" s="5"/>
    </row>
    <row r="1462" spans="1:2" x14ac:dyDescent="0.3">
      <c r="A1462"/>
      <c r="B1462" s="5"/>
    </row>
    <row r="1463" spans="1:2" x14ac:dyDescent="0.3">
      <c r="A1463"/>
      <c r="B1463" s="5"/>
    </row>
    <row r="1464" spans="1:2" x14ac:dyDescent="0.3">
      <c r="A1464"/>
      <c r="B1464" s="5"/>
    </row>
    <row r="1465" spans="1:2" x14ac:dyDescent="0.3">
      <c r="A1465"/>
      <c r="B1465" s="5"/>
    </row>
    <row r="1466" spans="1:2" x14ac:dyDescent="0.3">
      <c r="A1466"/>
      <c r="B1466" s="5"/>
    </row>
    <row r="1467" spans="1:2" x14ac:dyDescent="0.3">
      <c r="A1467"/>
      <c r="B1467" s="5"/>
    </row>
    <row r="1468" spans="1:2" x14ac:dyDescent="0.3">
      <c r="A1468"/>
      <c r="B1468" s="5"/>
    </row>
    <row r="1469" spans="1:2" x14ac:dyDescent="0.3">
      <c r="A1469"/>
      <c r="B1469" s="5"/>
    </row>
    <row r="1470" spans="1:2" x14ac:dyDescent="0.3">
      <c r="A1470"/>
      <c r="B1470" s="5"/>
    </row>
    <row r="1471" spans="1:2" x14ac:dyDescent="0.3">
      <c r="A1471"/>
      <c r="B1471" s="5"/>
    </row>
    <row r="1472" spans="1:2" x14ac:dyDescent="0.3">
      <c r="A1472"/>
      <c r="B1472" s="5"/>
    </row>
    <row r="1473" spans="1:2" x14ac:dyDescent="0.3">
      <c r="A1473"/>
      <c r="B1473" s="5"/>
    </row>
    <row r="1474" spans="1:2" x14ac:dyDescent="0.3">
      <c r="A1474"/>
      <c r="B1474" s="5"/>
    </row>
    <row r="1475" spans="1:2" x14ac:dyDescent="0.3">
      <c r="A1475"/>
      <c r="B1475" s="5"/>
    </row>
    <row r="1476" spans="1:2" x14ac:dyDescent="0.3">
      <c r="A1476"/>
      <c r="B1476" s="5"/>
    </row>
    <row r="1477" spans="1:2" x14ac:dyDescent="0.3">
      <c r="A1477"/>
      <c r="B1477" s="5"/>
    </row>
    <row r="1478" spans="1:2" x14ac:dyDescent="0.3">
      <c r="A1478"/>
      <c r="B1478" s="5"/>
    </row>
    <row r="1479" spans="1:2" x14ac:dyDescent="0.3">
      <c r="A1479"/>
      <c r="B1479" s="5"/>
    </row>
    <row r="1480" spans="1:2" x14ac:dyDescent="0.3">
      <c r="A1480"/>
      <c r="B1480" s="5"/>
    </row>
    <row r="1481" spans="1:2" x14ac:dyDescent="0.3">
      <c r="A1481"/>
      <c r="B1481" s="5"/>
    </row>
    <row r="1482" spans="1:2" x14ac:dyDescent="0.3">
      <c r="A1482"/>
      <c r="B1482" s="5"/>
    </row>
    <row r="1483" spans="1:2" x14ac:dyDescent="0.3">
      <c r="A1483"/>
      <c r="B1483" s="5"/>
    </row>
    <row r="1484" spans="1:2" x14ac:dyDescent="0.3">
      <c r="A1484"/>
      <c r="B1484" s="5"/>
    </row>
    <row r="1485" spans="1:2" x14ac:dyDescent="0.3">
      <c r="A1485"/>
      <c r="B1485" s="5"/>
    </row>
    <row r="1486" spans="1:2" x14ac:dyDescent="0.3">
      <c r="A1486"/>
      <c r="B1486" s="5"/>
    </row>
    <row r="1487" spans="1:2" x14ac:dyDescent="0.3">
      <c r="A1487"/>
      <c r="B1487" s="5"/>
    </row>
    <row r="1488" spans="1:2" x14ac:dyDescent="0.3">
      <c r="A1488"/>
      <c r="B1488" s="5"/>
    </row>
    <row r="1489" spans="1:2" x14ac:dyDescent="0.3">
      <c r="A1489"/>
      <c r="B1489" s="5"/>
    </row>
    <row r="1490" spans="1:2" x14ac:dyDescent="0.3">
      <c r="A1490"/>
      <c r="B1490" s="5"/>
    </row>
    <row r="1491" spans="1:2" x14ac:dyDescent="0.3">
      <c r="A1491"/>
      <c r="B1491" s="5"/>
    </row>
    <row r="1492" spans="1:2" x14ac:dyDescent="0.3">
      <c r="A1492"/>
      <c r="B1492" s="5"/>
    </row>
    <row r="1493" spans="1:2" x14ac:dyDescent="0.3">
      <c r="A1493"/>
      <c r="B1493" s="5"/>
    </row>
    <row r="1494" spans="1:2" x14ac:dyDescent="0.3">
      <c r="A1494"/>
      <c r="B1494" s="5"/>
    </row>
    <row r="1495" spans="1:2" x14ac:dyDescent="0.3">
      <c r="A1495"/>
      <c r="B1495" s="5"/>
    </row>
    <row r="1496" spans="1:2" x14ac:dyDescent="0.3">
      <c r="A1496"/>
      <c r="B1496" s="5"/>
    </row>
    <row r="1497" spans="1:2" x14ac:dyDescent="0.3">
      <c r="A1497"/>
      <c r="B1497" s="5"/>
    </row>
    <row r="1498" spans="1:2" x14ac:dyDescent="0.3">
      <c r="A1498"/>
      <c r="B1498" s="5"/>
    </row>
    <row r="1499" spans="1:2" x14ac:dyDescent="0.3">
      <c r="A1499"/>
      <c r="B1499" s="5"/>
    </row>
    <row r="1500" spans="1:2" x14ac:dyDescent="0.3">
      <c r="A1500"/>
      <c r="B1500" s="5"/>
    </row>
    <row r="1501" spans="1:2" x14ac:dyDescent="0.3">
      <c r="A1501"/>
      <c r="B1501" s="5"/>
    </row>
    <row r="1502" spans="1:2" x14ac:dyDescent="0.3">
      <c r="A1502"/>
      <c r="B1502" s="5"/>
    </row>
    <row r="1503" spans="1:2" x14ac:dyDescent="0.3">
      <c r="A1503"/>
      <c r="B1503" s="5"/>
    </row>
    <row r="1504" spans="1:2" x14ac:dyDescent="0.3">
      <c r="A1504"/>
      <c r="B1504" s="5"/>
    </row>
    <row r="1505" spans="1:2" x14ac:dyDescent="0.3">
      <c r="A1505"/>
      <c r="B1505" s="5"/>
    </row>
    <row r="1506" spans="1:2" x14ac:dyDescent="0.3">
      <c r="A1506"/>
      <c r="B1506" s="5"/>
    </row>
    <row r="1507" spans="1:2" x14ac:dyDescent="0.3">
      <c r="A1507"/>
      <c r="B1507" s="5"/>
    </row>
    <row r="1508" spans="1:2" x14ac:dyDescent="0.3">
      <c r="A1508"/>
      <c r="B1508" s="5"/>
    </row>
    <row r="1509" spans="1:2" x14ac:dyDescent="0.3">
      <c r="A1509"/>
      <c r="B1509" s="5"/>
    </row>
    <row r="1510" spans="1:2" x14ac:dyDescent="0.3">
      <c r="A1510"/>
      <c r="B1510" s="5"/>
    </row>
    <row r="1511" spans="1:2" x14ac:dyDescent="0.3">
      <c r="A1511"/>
      <c r="B1511" s="5"/>
    </row>
    <row r="1512" spans="1:2" x14ac:dyDescent="0.3">
      <c r="A1512"/>
      <c r="B1512" s="5"/>
    </row>
    <row r="1513" spans="1:2" x14ac:dyDescent="0.3">
      <c r="A1513"/>
      <c r="B1513" s="5"/>
    </row>
    <row r="1514" spans="1:2" x14ac:dyDescent="0.3">
      <c r="A1514"/>
      <c r="B1514" s="5"/>
    </row>
    <row r="1515" spans="1:2" x14ac:dyDescent="0.3">
      <c r="A1515"/>
      <c r="B1515" s="5"/>
    </row>
    <row r="1516" spans="1:2" x14ac:dyDescent="0.3">
      <c r="A1516"/>
      <c r="B1516" s="5"/>
    </row>
    <row r="1517" spans="1:2" x14ac:dyDescent="0.3">
      <c r="A1517"/>
      <c r="B1517" s="5"/>
    </row>
    <row r="1518" spans="1:2" x14ac:dyDescent="0.3">
      <c r="A1518"/>
      <c r="B1518" s="5"/>
    </row>
    <row r="1519" spans="1:2" x14ac:dyDescent="0.3">
      <c r="A1519"/>
      <c r="B1519" s="5"/>
    </row>
    <row r="1520" spans="1:2" x14ac:dyDescent="0.3">
      <c r="A1520"/>
      <c r="B1520" s="5"/>
    </row>
    <row r="1521" spans="1:2" x14ac:dyDescent="0.3">
      <c r="A1521"/>
      <c r="B1521" s="5"/>
    </row>
    <row r="1522" spans="1:2" x14ac:dyDescent="0.3">
      <c r="A1522"/>
      <c r="B1522" s="5"/>
    </row>
    <row r="1523" spans="1:2" x14ac:dyDescent="0.3">
      <c r="A1523"/>
      <c r="B1523" s="5"/>
    </row>
    <row r="1524" spans="1:2" x14ac:dyDescent="0.3">
      <c r="A1524"/>
      <c r="B1524" s="5"/>
    </row>
    <row r="1525" spans="1:2" x14ac:dyDescent="0.3">
      <c r="A1525"/>
      <c r="B1525" s="5"/>
    </row>
    <row r="1526" spans="1:2" x14ac:dyDescent="0.3">
      <c r="A1526"/>
      <c r="B1526" s="5"/>
    </row>
    <row r="1527" spans="1:2" x14ac:dyDescent="0.3">
      <c r="A1527"/>
      <c r="B1527" s="5"/>
    </row>
    <row r="1528" spans="1:2" x14ac:dyDescent="0.3">
      <c r="A1528"/>
      <c r="B1528" s="5"/>
    </row>
    <row r="1529" spans="1:2" x14ac:dyDescent="0.3">
      <c r="A1529"/>
      <c r="B1529" s="5"/>
    </row>
    <row r="1530" spans="1:2" x14ac:dyDescent="0.3">
      <c r="A1530"/>
      <c r="B1530" s="5"/>
    </row>
    <row r="1531" spans="1:2" x14ac:dyDescent="0.3">
      <c r="A1531"/>
      <c r="B1531" s="5"/>
    </row>
    <row r="1532" spans="1:2" x14ac:dyDescent="0.3">
      <c r="A1532"/>
      <c r="B1532" s="5"/>
    </row>
    <row r="1533" spans="1:2" x14ac:dyDescent="0.3">
      <c r="A1533"/>
      <c r="B1533" s="5"/>
    </row>
    <row r="1534" spans="1:2" x14ac:dyDescent="0.3">
      <c r="A1534"/>
      <c r="B1534" s="5"/>
    </row>
    <row r="1535" spans="1:2" x14ac:dyDescent="0.3">
      <c r="A1535"/>
      <c r="B1535" s="5"/>
    </row>
    <row r="1536" spans="1:2" x14ac:dyDescent="0.3">
      <c r="A1536"/>
      <c r="B1536" s="5"/>
    </row>
    <row r="1537" spans="1:2" x14ac:dyDescent="0.3">
      <c r="A1537"/>
      <c r="B1537" s="5"/>
    </row>
    <row r="1538" spans="1:2" x14ac:dyDescent="0.3">
      <c r="A1538"/>
      <c r="B1538" s="5"/>
    </row>
    <row r="1539" spans="1:2" x14ac:dyDescent="0.3">
      <c r="A1539"/>
      <c r="B1539" s="5"/>
    </row>
    <row r="1540" spans="1:2" x14ac:dyDescent="0.3">
      <c r="A1540"/>
      <c r="B1540" s="5"/>
    </row>
    <row r="1541" spans="1:2" x14ac:dyDescent="0.3">
      <c r="A1541"/>
      <c r="B1541" s="5"/>
    </row>
    <row r="1542" spans="1:2" x14ac:dyDescent="0.3">
      <c r="A1542"/>
      <c r="B1542" s="5"/>
    </row>
    <row r="1543" spans="1:2" x14ac:dyDescent="0.3">
      <c r="A1543"/>
      <c r="B1543" s="5"/>
    </row>
    <row r="1544" spans="1:2" x14ac:dyDescent="0.3">
      <c r="A1544"/>
      <c r="B1544" s="5"/>
    </row>
    <row r="1545" spans="1:2" x14ac:dyDescent="0.3">
      <c r="A1545"/>
      <c r="B1545" s="5"/>
    </row>
    <row r="1546" spans="1:2" x14ac:dyDescent="0.3">
      <c r="A1546"/>
      <c r="B1546" s="5"/>
    </row>
    <row r="1547" spans="1:2" x14ac:dyDescent="0.3">
      <c r="A1547"/>
      <c r="B1547" s="5"/>
    </row>
    <row r="1548" spans="1:2" x14ac:dyDescent="0.3">
      <c r="A1548"/>
      <c r="B1548" s="5"/>
    </row>
    <row r="1549" spans="1:2" x14ac:dyDescent="0.3">
      <c r="A1549"/>
      <c r="B1549" s="5"/>
    </row>
    <row r="1550" spans="1:2" x14ac:dyDescent="0.3">
      <c r="A1550"/>
      <c r="B1550" s="5"/>
    </row>
    <row r="1551" spans="1:2" x14ac:dyDescent="0.3">
      <c r="A1551"/>
      <c r="B1551" s="5"/>
    </row>
    <row r="1552" spans="1:2" x14ac:dyDescent="0.3">
      <c r="A1552"/>
      <c r="B1552" s="5"/>
    </row>
    <row r="1553" spans="1:2" x14ac:dyDescent="0.3">
      <c r="A1553"/>
      <c r="B1553" s="5"/>
    </row>
    <row r="1554" spans="1:2" x14ac:dyDescent="0.3">
      <c r="A1554"/>
      <c r="B1554" s="5"/>
    </row>
    <row r="1555" spans="1:2" x14ac:dyDescent="0.3">
      <c r="A1555"/>
      <c r="B1555" s="5"/>
    </row>
    <row r="1556" spans="1:2" x14ac:dyDescent="0.3">
      <c r="A1556"/>
      <c r="B1556" s="5"/>
    </row>
    <row r="1557" spans="1:2" x14ac:dyDescent="0.3">
      <c r="A1557"/>
      <c r="B1557" s="5"/>
    </row>
    <row r="1558" spans="1:2" x14ac:dyDescent="0.3">
      <c r="A1558"/>
      <c r="B1558" s="5"/>
    </row>
    <row r="1559" spans="1:2" x14ac:dyDescent="0.3">
      <c r="A1559"/>
      <c r="B1559" s="5"/>
    </row>
    <row r="1560" spans="1:2" x14ac:dyDescent="0.3">
      <c r="A1560"/>
      <c r="B1560" s="5"/>
    </row>
    <row r="1561" spans="1:2" x14ac:dyDescent="0.3">
      <c r="A1561"/>
      <c r="B1561" s="5"/>
    </row>
    <row r="1562" spans="1:2" x14ac:dyDescent="0.3">
      <c r="A1562"/>
      <c r="B1562" s="5"/>
    </row>
    <row r="1563" spans="1:2" x14ac:dyDescent="0.3">
      <c r="A1563"/>
      <c r="B1563" s="5"/>
    </row>
    <row r="1564" spans="1:2" x14ac:dyDescent="0.3">
      <c r="A1564"/>
      <c r="B1564" s="5"/>
    </row>
    <row r="1565" spans="1:2" x14ac:dyDescent="0.3">
      <c r="A1565"/>
      <c r="B1565" s="5"/>
    </row>
    <row r="1566" spans="1:2" x14ac:dyDescent="0.3">
      <c r="A1566"/>
      <c r="B1566" s="5"/>
    </row>
    <row r="1567" spans="1:2" x14ac:dyDescent="0.3">
      <c r="A1567"/>
      <c r="B1567" s="5"/>
    </row>
    <row r="1568" spans="1:2" x14ac:dyDescent="0.3">
      <c r="A1568"/>
      <c r="B1568" s="5"/>
    </row>
    <row r="1569" spans="1:2" x14ac:dyDescent="0.3">
      <c r="A1569"/>
      <c r="B1569" s="5"/>
    </row>
    <row r="1570" spans="1:2" x14ac:dyDescent="0.3">
      <c r="A1570"/>
      <c r="B1570" s="5"/>
    </row>
    <row r="1571" spans="1:2" x14ac:dyDescent="0.3">
      <c r="A1571"/>
      <c r="B1571" s="5"/>
    </row>
    <row r="1572" spans="1:2" x14ac:dyDescent="0.3">
      <c r="A1572"/>
      <c r="B1572" s="5"/>
    </row>
    <row r="1573" spans="1:2" x14ac:dyDescent="0.3">
      <c r="A1573"/>
      <c r="B1573" s="5"/>
    </row>
    <row r="1574" spans="1:2" x14ac:dyDescent="0.3">
      <c r="A1574"/>
      <c r="B1574" s="5"/>
    </row>
    <row r="1575" spans="1:2" x14ac:dyDescent="0.3">
      <c r="A1575"/>
      <c r="B1575" s="5"/>
    </row>
    <row r="1576" spans="1:2" x14ac:dyDescent="0.3">
      <c r="A1576"/>
      <c r="B1576" s="5"/>
    </row>
    <row r="1577" spans="1:2" x14ac:dyDescent="0.3">
      <c r="A1577"/>
      <c r="B1577" s="5"/>
    </row>
    <row r="1578" spans="1:2" x14ac:dyDescent="0.3">
      <c r="A1578"/>
      <c r="B1578" s="5"/>
    </row>
    <row r="1579" spans="1:2" x14ac:dyDescent="0.3">
      <c r="A1579"/>
      <c r="B1579" s="5"/>
    </row>
    <row r="1580" spans="1:2" x14ac:dyDescent="0.3">
      <c r="A1580"/>
      <c r="B1580" s="5"/>
    </row>
    <row r="1581" spans="1:2" x14ac:dyDescent="0.3">
      <c r="A1581"/>
      <c r="B1581" s="5"/>
    </row>
    <row r="1582" spans="1:2" x14ac:dyDescent="0.3">
      <c r="A1582"/>
      <c r="B1582" s="5"/>
    </row>
    <row r="1583" spans="1:2" x14ac:dyDescent="0.3">
      <c r="A1583"/>
      <c r="B1583" s="5"/>
    </row>
    <row r="1584" spans="1:2" x14ac:dyDescent="0.3">
      <c r="A1584"/>
      <c r="B1584" s="5"/>
    </row>
    <row r="1585" spans="1:2" x14ac:dyDescent="0.3">
      <c r="A1585"/>
      <c r="B1585" s="5"/>
    </row>
    <row r="1586" spans="1:2" x14ac:dyDescent="0.3">
      <c r="A1586"/>
      <c r="B1586" s="5"/>
    </row>
    <row r="1587" spans="1:2" x14ac:dyDescent="0.3">
      <c r="A1587"/>
      <c r="B1587" s="5"/>
    </row>
    <row r="1588" spans="1:2" x14ac:dyDescent="0.3">
      <c r="A1588"/>
      <c r="B1588" s="5"/>
    </row>
    <row r="1589" spans="1:2" x14ac:dyDescent="0.3">
      <c r="A1589"/>
      <c r="B1589" s="5"/>
    </row>
    <row r="1590" spans="1:2" x14ac:dyDescent="0.3">
      <c r="A1590"/>
      <c r="B1590" s="5"/>
    </row>
    <row r="1591" spans="1:2" x14ac:dyDescent="0.3">
      <c r="A1591"/>
      <c r="B1591" s="5"/>
    </row>
    <row r="1592" spans="1:2" x14ac:dyDescent="0.3">
      <c r="A1592"/>
      <c r="B1592" s="5"/>
    </row>
    <row r="1593" spans="1:2" x14ac:dyDescent="0.3">
      <c r="A1593"/>
      <c r="B1593" s="5"/>
    </row>
    <row r="1594" spans="1:2" x14ac:dyDescent="0.3">
      <c r="A1594"/>
      <c r="B1594" s="5"/>
    </row>
    <row r="1595" spans="1:2" x14ac:dyDescent="0.3">
      <c r="A1595"/>
      <c r="B1595" s="5"/>
    </row>
    <row r="1596" spans="1:2" x14ac:dyDescent="0.3">
      <c r="A1596"/>
      <c r="B1596" s="5"/>
    </row>
    <row r="1597" spans="1:2" x14ac:dyDescent="0.3">
      <c r="A1597"/>
      <c r="B1597" s="5"/>
    </row>
    <row r="1598" spans="1:2" x14ac:dyDescent="0.3">
      <c r="A1598"/>
      <c r="B1598" s="5"/>
    </row>
    <row r="1599" spans="1:2" x14ac:dyDescent="0.3">
      <c r="A1599"/>
      <c r="B1599" s="5"/>
    </row>
    <row r="1600" spans="1:2" x14ac:dyDescent="0.3">
      <c r="A1600"/>
      <c r="B1600" s="5"/>
    </row>
    <row r="1601" spans="1:2" x14ac:dyDescent="0.3">
      <c r="A1601"/>
      <c r="B1601" s="5"/>
    </row>
    <row r="1602" spans="1:2" x14ac:dyDescent="0.3">
      <c r="A1602"/>
      <c r="B1602" s="5"/>
    </row>
    <row r="1603" spans="1:2" x14ac:dyDescent="0.3">
      <c r="A1603"/>
      <c r="B1603" s="5"/>
    </row>
    <row r="1604" spans="1:2" x14ac:dyDescent="0.3">
      <c r="A1604"/>
      <c r="B1604" s="5"/>
    </row>
    <row r="1605" spans="1:2" x14ac:dyDescent="0.3">
      <c r="A1605"/>
      <c r="B1605" s="5"/>
    </row>
    <row r="1606" spans="1:2" x14ac:dyDescent="0.3">
      <c r="A1606"/>
      <c r="B1606" s="5"/>
    </row>
    <row r="1607" spans="1:2" x14ac:dyDescent="0.3">
      <c r="A1607"/>
      <c r="B1607" s="5"/>
    </row>
    <row r="1608" spans="1:2" x14ac:dyDescent="0.3">
      <c r="A1608"/>
      <c r="B1608" s="5"/>
    </row>
    <row r="1609" spans="1:2" x14ac:dyDescent="0.3">
      <c r="A1609"/>
      <c r="B1609" s="5"/>
    </row>
    <row r="1610" spans="1:2" x14ac:dyDescent="0.3">
      <c r="A1610"/>
      <c r="B1610" s="5"/>
    </row>
    <row r="1611" spans="1:2" x14ac:dyDescent="0.3">
      <c r="A1611"/>
      <c r="B1611" s="5"/>
    </row>
    <row r="1612" spans="1:2" x14ac:dyDescent="0.3">
      <c r="A1612"/>
      <c r="B1612" s="5"/>
    </row>
    <row r="1613" spans="1:2" x14ac:dyDescent="0.3">
      <c r="A1613"/>
      <c r="B1613" s="5"/>
    </row>
    <row r="1614" spans="1:2" x14ac:dyDescent="0.3">
      <c r="A1614"/>
      <c r="B1614" s="5"/>
    </row>
    <row r="1615" spans="1:2" x14ac:dyDescent="0.3">
      <c r="A1615"/>
      <c r="B1615" s="5"/>
    </row>
    <row r="1616" spans="1:2" x14ac:dyDescent="0.3">
      <c r="A1616"/>
      <c r="B1616" s="5"/>
    </row>
    <row r="1617" spans="1:2" x14ac:dyDescent="0.3">
      <c r="A1617"/>
      <c r="B1617" s="5"/>
    </row>
    <row r="1618" spans="1:2" x14ac:dyDescent="0.3">
      <c r="A1618"/>
      <c r="B1618" s="5"/>
    </row>
    <row r="1619" spans="1:2" x14ac:dyDescent="0.3">
      <c r="A1619"/>
      <c r="B1619" s="5"/>
    </row>
    <row r="1620" spans="1:2" x14ac:dyDescent="0.3">
      <c r="A1620"/>
      <c r="B1620" s="5"/>
    </row>
    <row r="1621" spans="1:2" x14ac:dyDescent="0.3">
      <c r="A1621"/>
      <c r="B1621" s="5"/>
    </row>
    <row r="1622" spans="1:2" x14ac:dyDescent="0.3">
      <c r="A1622"/>
      <c r="B1622" s="5"/>
    </row>
    <row r="1623" spans="1:2" x14ac:dyDescent="0.3">
      <c r="A1623"/>
      <c r="B1623" s="5"/>
    </row>
    <row r="1624" spans="1:2" x14ac:dyDescent="0.3">
      <c r="A1624"/>
      <c r="B1624" s="5"/>
    </row>
    <row r="1625" spans="1:2" x14ac:dyDescent="0.3">
      <c r="A1625"/>
      <c r="B1625" s="5"/>
    </row>
    <row r="1626" spans="1:2" x14ac:dyDescent="0.3">
      <c r="A1626"/>
      <c r="B1626" s="5"/>
    </row>
    <row r="1627" spans="1:2" x14ac:dyDescent="0.3">
      <c r="A1627"/>
      <c r="B1627" s="5"/>
    </row>
    <row r="1628" spans="1:2" x14ac:dyDescent="0.3">
      <c r="A1628"/>
      <c r="B1628" s="5"/>
    </row>
    <row r="1629" spans="1:2" x14ac:dyDescent="0.3">
      <c r="A1629"/>
      <c r="B1629" s="5"/>
    </row>
    <row r="1630" spans="1:2" x14ac:dyDescent="0.3">
      <c r="A1630"/>
      <c r="B1630" s="5"/>
    </row>
    <row r="1631" spans="1:2" x14ac:dyDescent="0.3">
      <c r="A1631"/>
      <c r="B1631" s="5"/>
    </row>
    <row r="1632" spans="1:2" x14ac:dyDescent="0.3">
      <c r="A1632"/>
      <c r="B1632" s="5"/>
    </row>
    <row r="1633" spans="1:2" x14ac:dyDescent="0.3">
      <c r="A1633"/>
      <c r="B1633" s="5"/>
    </row>
    <row r="1634" spans="1:2" x14ac:dyDescent="0.3">
      <c r="A1634"/>
      <c r="B1634" s="5"/>
    </row>
    <row r="1635" spans="1:2" x14ac:dyDescent="0.3">
      <c r="A1635"/>
      <c r="B1635" s="5"/>
    </row>
    <row r="1636" spans="1:2" x14ac:dyDescent="0.3">
      <c r="A1636"/>
      <c r="B1636" s="5"/>
    </row>
    <row r="1637" spans="1:2" x14ac:dyDescent="0.3">
      <c r="A1637"/>
      <c r="B1637" s="5"/>
    </row>
    <row r="1638" spans="1:2" x14ac:dyDescent="0.3">
      <c r="A1638"/>
      <c r="B1638" s="5"/>
    </row>
    <row r="1639" spans="1:2" x14ac:dyDescent="0.3">
      <c r="A1639"/>
      <c r="B1639" s="5"/>
    </row>
    <row r="1640" spans="1:2" x14ac:dyDescent="0.3">
      <c r="A1640"/>
      <c r="B1640" s="5"/>
    </row>
    <row r="1641" spans="1:2" x14ac:dyDescent="0.3">
      <c r="A1641"/>
      <c r="B1641" s="5"/>
    </row>
    <row r="1642" spans="1:2" x14ac:dyDescent="0.3">
      <c r="A1642"/>
      <c r="B1642" s="5"/>
    </row>
    <row r="1643" spans="1:2" x14ac:dyDescent="0.3">
      <c r="A1643"/>
      <c r="B1643" s="5"/>
    </row>
    <row r="1644" spans="1:2" x14ac:dyDescent="0.3">
      <c r="A1644"/>
      <c r="B1644" s="5"/>
    </row>
    <row r="1645" spans="1:2" x14ac:dyDescent="0.3">
      <c r="A1645"/>
      <c r="B1645" s="5"/>
    </row>
    <row r="1646" spans="1:2" x14ac:dyDescent="0.3">
      <c r="A1646"/>
      <c r="B1646" s="5"/>
    </row>
    <row r="1647" spans="1:2" x14ac:dyDescent="0.3">
      <c r="A1647"/>
      <c r="B1647" s="5"/>
    </row>
    <row r="1648" spans="1:2" x14ac:dyDescent="0.3">
      <c r="A1648"/>
      <c r="B1648" s="5"/>
    </row>
    <row r="1649" spans="1:2" x14ac:dyDescent="0.3">
      <c r="A1649"/>
      <c r="B1649" s="5"/>
    </row>
    <row r="1650" spans="1:2" x14ac:dyDescent="0.3">
      <c r="A1650"/>
      <c r="B1650" s="5"/>
    </row>
    <row r="1651" spans="1:2" x14ac:dyDescent="0.3">
      <c r="A1651"/>
      <c r="B1651" s="5"/>
    </row>
    <row r="1652" spans="1:2" x14ac:dyDescent="0.3">
      <c r="A1652"/>
      <c r="B1652" s="5"/>
    </row>
    <row r="1653" spans="1:2" x14ac:dyDescent="0.3">
      <c r="A1653"/>
      <c r="B1653" s="5"/>
    </row>
    <row r="1654" spans="1:2" x14ac:dyDescent="0.3">
      <c r="A1654"/>
      <c r="B1654" s="5"/>
    </row>
    <row r="1655" spans="1:2" x14ac:dyDescent="0.3">
      <c r="A1655"/>
      <c r="B1655" s="5"/>
    </row>
    <row r="1656" spans="1:2" x14ac:dyDescent="0.3">
      <c r="A1656"/>
      <c r="B1656" s="5"/>
    </row>
    <row r="1657" spans="1:2" x14ac:dyDescent="0.3">
      <c r="A1657"/>
      <c r="B1657" s="5"/>
    </row>
    <row r="1658" spans="1:2" x14ac:dyDescent="0.3">
      <c r="A1658"/>
      <c r="B1658" s="5"/>
    </row>
    <row r="1659" spans="1:2" x14ac:dyDescent="0.3">
      <c r="A1659"/>
      <c r="B1659" s="5"/>
    </row>
    <row r="1660" spans="1:2" x14ac:dyDescent="0.3">
      <c r="A1660"/>
      <c r="B1660" s="5"/>
    </row>
    <row r="1661" spans="1:2" x14ac:dyDescent="0.3">
      <c r="A1661"/>
      <c r="B1661" s="5"/>
    </row>
    <row r="1662" spans="1:2" x14ac:dyDescent="0.3">
      <c r="A1662"/>
      <c r="B1662" s="5"/>
    </row>
    <row r="1663" spans="1:2" x14ac:dyDescent="0.3">
      <c r="A1663"/>
      <c r="B1663" s="5"/>
    </row>
    <row r="1664" spans="1:2" x14ac:dyDescent="0.3">
      <c r="A1664"/>
      <c r="B1664" s="5"/>
    </row>
    <row r="1665" spans="1:2" x14ac:dyDescent="0.3">
      <c r="A1665"/>
      <c r="B1665" s="5"/>
    </row>
    <row r="1666" spans="1:2" x14ac:dyDescent="0.3">
      <c r="A1666"/>
      <c r="B1666" s="5"/>
    </row>
    <row r="1667" spans="1:2" x14ac:dyDescent="0.3">
      <c r="A1667"/>
      <c r="B1667" s="5"/>
    </row>
    <row r="1668" spans="1:2" x14ac:dyDescent="0.3">
      <c r="A1668"/>
      <c r="B1668" s="5"/>
    </row>
    <row r="1669" spans="1:2" x14ac:dyDescent="0.3">
      <c r="A1669"/>
      <c r="B1669" s="5"/>
    </row>
    <row r="1670" spans="1:2" x14ac:dyDescent="0.3">
      <c r="A1670"/>
      <c r="B1670" s="5"/>
    </row>
    <row r="1671" spans="1:2" x14ac:dyDescent="0.3">
      <c r="A1671"/>
      <c r="B1671" s="5"/>
    </row>
    <row r="1672" spans="1:2" x14ac:dyDescent="0.3">
      <c r="A1672"/>
      <c r="B1672" s="5"/>
    </row>
    <row r="1673" spans="1:2" x14ac:dyDescent="0.3">
      <c r="A1673"/>
      <c r="B1673" s="5"/>
    </row>
    <row r="1674" spans="1:2" x14ac:dyDescent="0.3">
      <c r="A1674"/>
      <c r="B1674" s="5"/>
    </row>
    <row r="1675" spans="1:2" x14ac:dyDescent="0.3">
      <c r="A1675"/>
      <c r="B1675" s="5"/>
    </row>
    <row r="1676" spans="1:2" x14ac:dyDescent="0.3">
      <c r="A1676"/>
      <c r="B1676" s="5"/>
    </row>
    <row r="1677" spans="1:2" x14ac:dyDescent="0.3">
      <c r="A1677"/>
      <c r="B1677" s="5"/>
    </row>
    <row r="1678" spans="1:2" x14ac:dyDescent="0.3">
      <c r="A1678"/>
      <c r="B1678" s="5"/>
    </row>
    <row r="1679" spans="1:2" x14ac:dyDescent="0.3">
      <c r="A1679"/>
      <c r="B1679" s="5"/>
    </row>
    <row r="1680" spans="1:2" x14ac:dyDescent="0.3">
      <c r="A1680"/>
      <c r="B1680" s="5"/>
    </row>
    <row r="1681" spans="1:2" x14ac:dyDescent="0.3">
      <c r="A1681"/>
      <c r="B1681" s="5"/>
    </row>
    <row r="1682" spans="1:2" x14ac:dyDescent="0.3">
      <c r="A1682"/>
      <c r="B1682" s="5"/>
    </row>
    <row r="1683" spans="1:2" x14ac:dyDescent="0.3">
      <c r="A1683"/>
      <c r="B1683" s="5"/>
    </row>
    <row r="1684" spans="1:2" x14ac:dyDescent="0.3">
      <c r="A1684"/>
      <c r="B1684" s="5"/>
    </row>
    <row r="1685" spans="1:2" x14ac:dyDescent="0.3">
      <c r="A1685"/>
      <c r="B1685" s="5"/>
    </row>
    <row r="1686" spans="1:2" x14ac:dyDescent="0.3">
      <c r="A1686"/>
      <c r="B1686" s="5"/>
    </row>
    <row r="1687" spans="1:2" x14ac:dyDescent="0.3">
      <c r="A1687"/>
      <c r="B1687" s="5"/>
    </row>
    <row r="1688" spans="1:2" x14ac:dyDescent="0.3">
      <c r="A1688"/>
      <c r="B1688" s="5"/>
    </row>
    <row r="1689" spans="1:2" x14ac:dyDescent="0.3">
      <c r="A1689"/>
      <c r="B1689" s="5"/>
    </row>
    <row r="1690" spans="1:2" x14ac:dyDescent="0.3">
      <c r="A1690"/>
      <c r="B1690" s="5"/>
    </row>
    <row r="1691" spans="1:2" x14ac:dyDescent="0.3">
      <c r="A1691"/>
      <c r="B1691" s="5"/>
    </row>
    <row r="1692" spans="1:2" x14ac:dyDescent="0.3">
      <c r="A1692"/>
      <c r="B1692" s="5"/>
    </row>
    <row r="1693" spans="1:2" x14ac:dyDescent="0.3">
      <c r="A1693"/>
      <c r="B1693" s="5"/>
    </row>
    <row r="1694" spans="1:2" x14ac:dyDescent="0.3">
      <c r="A1694"/>
      <c r="B1694" s="5"/>
    </row>
    <row r="1695" spans="1:2" x14ac:dyDescent="0.3">
      <c r="A1695"/>
      <c r="B1695" s="5"/>
    </row>
    <row r="1696" spans="1:2" x14ac:dyDescent="0.3">
      <c r="A1696"/>
      <c r="B1696" s="5"/>
    </row>
    <row r="1697" spans="1:2" x14ac:dyDescent="0.3">
      <c r="A1697"/>
      <c r="B1697" s="5"/>
    </row>
    <row r="1698" spans="1:2" x14ac:dyDescent="0.3">
      <c r="A1698"/>
      <c r="B1698" s="5"/>
    </row>
    <row r="1699" spans="1:2" x14ac:dyDescent="0.3">
      <c r="A1699"/>
      <c r="B1699" s="5"/>
    </row>
    <row r="1700" spans="1:2" x14ac:dyDescent="0.3">
      <c r="A1700"/>
      <c r="B1700" s="5"/>
    </row>
    <row r="1701" spans="1:2" x14ac:dyDescent="0.3">
      <c r="A1701"/>
      <c r="B1701" s="5"/>
    </row>
    <row r="1702" spans="1:2" x14ac:dyDescent="0.3">
      <c r="A1702"/>
      <c r="B1702" s="5"/>
    </row>
    <row r="1703" spans="1:2" x14ac:dyDescent="0.3">
      <c r="A1703"/>
      <c r="B1703" s="5"/>
    </row>
    <row r="1704" spans="1:2" x14ac:dyDescent="0.3">
      <c r="A1704"/>
      <c r="B1704" s="5"/>
    </row>
    <row r="1705" spans="1:2" x14ac:dyDescent="0.3">
      <c r="A1705"/>
      <c r="B1705" s="5"/>
    </row>
    <row r="1706" spans="1:2" x14ac:dyDescent="0.3">
      <c r="A1706"/>
      <c r="B1706" s="5"/>
    </row>
    <row r="1707" spans="1:2" x14ac:dyDescent="0.3">
      <c r="A1707"/>
      <c r="B1707" s="5"/>
    </row>
    <row r="1708" spans="1:2" x14ac:dyDescent="0.3">
      <c r="A1708"/>
      <c r="B1708" s="5"/>
    </row>
    <row r="1709" spans="1:2" x14ac:dyDescent="0.3">
      <c r="A1709"/>
      <c r="B1709" s="5"/>
    </row>
    <row r="1710" spans="1:2" x14ac:dyDescent="0.3">
      <c r="A1710"/>
      <c r="B1710" s="5"/>
    </row>
    <row r="1711" spans="1:2" x14ac:dyDescent="0.3">
      <c r="A1711"/>
      <c r="B1711" s="5"/>
    </row>
    <row r="1712" spans="1:2" x14ac:dyDescent="0.3">
      <c r="A1712"/>
      <c r="B1712" s="5"/>
    </row>
    <row r="1713" spans="1:2" x14ac:dyDescent="0.3">
      <c r="A1713"/>
      <c r="B1713" s="5"/>
    </row>
    <row r="1714" spans="1:2" x14ac:dyDescent="0.3">
      <c r="A1714"/>
      <c r="B1714" s="5"/>
    </row>
    <row r="1715" spans="1:2" x14ac:dyDescent="0.3">
      <c r="A1715"/>
      <c r="B1715" s="5"/>
    </row>
    <row r="1716" spans="1:2" x14ac:dyDescent="0.3">
      <c r="A1716"/>
      <c r="B1716" s="5"/>
    </row>
    <row r="1717" spans="1:2" x14ac:dyDescent="0.3">
      <c r="A1717"/>
      <c r="B1717" s="5"/>
    </row>
    <row r="1718" spans="1:2" x14ac:dyDescent="0.3">
      <c r="A1718"/>
      <c r="B1718" s="5"/>
    </row>
    <row r="1719" spans="1:2" x14ac:dyDescent="0.3">
      <c r="A1719"/>
      <c r="B1719" s="5"/>
    </row>
    <row r="1720" spans="1:2" x14ac:dyDescent="0.3">
      <c r="A1720"/>
      <c r="B1720" s="5"/>
    </row>
    <row r="1721" spans="1:2" x14ac:dyDescent="0.3">
      <c r="A1721"/>
      <c r="B1721" s="5"/>
    </row>
    <row r="1722" spans="1:2" x14ac:dyDescent="0.3">
      <c r="A1722"/>
      <c r="B1722" s="5"/>
    </row>
    <row r="1723" spans="1:2" x14ac:dyDescent="0.3">
      <c r="A1723"/>
      <c r="B1723" s="5"/>
    </row>
    <row r="1724" spans="1:2" x14ac:dyDescent="0.3">
      <c r="A1724"/>
      <c r="B1724" s="5"/>
    </row>
    <row r="1725" spans="1:2" x14ac:dyDescent="0.3">
      <c r="A1725"/>
      <c r="B1725" s="5"/>
    </row>
    <row r="1726" spans="1:2" x14ac:dyDescent="0.3">
      <c r="A1726"/>
      <c r="B1726" s="5"/>
    </row>
    <row r="1727" spans="1:2" x14ac:dyDescent="0.3">
      <c r="A1727"/>
      <c r="B1727" s="5"/>
    </row>
    <row r="1728" spans="1:2" x14ac:dyDescent="0.3">
      <c r="A1728"/>
      <c r="B1728" s="5"/>
    </row>
    <row r="1729" spans="1:2" x14ac:dyDescent="0.3">
      <c r="A1729"/>
      <c r="B1729" s="5"/>
    </row>
    <row r="1730" spans="1:2" x14ac:dyDescent="0.3">
      <c r="A1730"/>
      <c r="B1730" s="5"/>
    </row>
    <row r="1731" spans="1:2" x14ac:dyDescent="0.3">
      <c r="A1731"/>
      <c r="B1731" s="5"/>
    </row>
    <row r="1732" spans="1:2" x14ac:dyDescent="0.3">
      <c r="A1732"/>
      <c r="B1732" s="5"/>
    </row>
    <row r="1733" spans="1:2" x14ac:dyDescent="0.3">
      <c r="A1733"/>
      <c r="B1733" s="5"/>
    </row>
    <row r="1734" spans="1:2" x14ac:dyDescent="0.3">
      <c r="A1734"/>
      <c r="B1734" s="5"/>
    </row>
    <row r="1735" spans="1:2" x14ac:dyDescent="0.3">
      <c r="A1735"/>
      <c r="B1735" s="5"/>
    </row>
    <row r="1736" spans="1:2" x14ac:dyDescent="0.3">
      <c r="A1736"/>
      <c r="B1736" s="5"/>
    </row>
    <row r="1737" spans="1:2" x14ac:dyDescent="0.3">
      <c r="A1737"/>
      <c r="B1737" s="5"/>
    </row>
    <row r="1738" spans="1:2" x14ac:dyDescent="0.3">
      <c r="A1738"/>
      <c r="B1738" s="5"/>
    </row>
    <row r="1739" spans="1:2" x14ac:dyDescent="0.3">
      <c r="A1739"/>
      <c r="B1739" s="5"/>
    </row>
    <row r="1740" spans="1:2" x14ac:dyDescent="0.3">
      <c r="A1740"/>
      <c r="B1740" s="5"/>
    </row>
    <row r="1741" spans="1:2" x14ac:dyDescent="0.3">
      <c r="A1741"/>
      <c r="B1741" s="5"/>
    </row>
    <row r="1742" spans="1:2" x14ac:dyDescent="0.3">
      <c r="A1742"/>
      <c r="B1742" s="5"/>
    </row>
    <row r="1743" spans="1:2" x14ac:dyDescent="0.3">
      <c r="A1743"/>
      <c r="B1743" s="5"/>
    </row>
    <row r="1744" spans="1:2" x14ac:dyDescent="0.3">
      <c r="A1744"/>
      <c r="B1744" s="5"/>
    </row>
    <row r="1745" spans="1:2" x14ac:dyDescent="0.3">
      <c r="A1745"/>
      <c r="B1745" s="5"/>
    </row>
    <row r="1746" spans="1:2" x14ac:dyDescent="0.3">
      <c r="A1746"/>
      <c r="B1746" s="5"/>
    </row>
    <row r="1747" spans="1:2" x14ac:dyDescent="0.3">
      <c r="A1747"/>
      <c r="B1747" s="5"/>
    </row>
    <row r="1748" spans="1:2" x14ac:dyDescent="0.3">
      <c r="A1748"/>
      <c r="B1748" s="5"/>
    </row>
    <row r="1749" spans="1:2" x14ac:dyDescent="0.3">
      <c r="A1749"/>
      <c r="B1749" s="5"/>
    </row>
    <row r="1750" spans="1:2" x14ac:dyDescent="0.3">
      <c r="A1750"/>
      <c r="B1750" s="5"/>
    </row>
    <row r="1751" spans="1:2" x14ac:dyDescent="0.3">
      <c r="A1751"/>
      <c r="B1751" s="5"/>
    </row>
    <row r="1752" spans="1:2" x14ac:dyDescent="0.3">
      <c r="A1752"/>
      <c r="B1752" s="5"/>
    </row>
    <row r="1753" spans="1:2" x14ac:dyDescent="0.3">
      <c r="A1753"/>
      <c r="B1753" s="5"/>
    </row>
    <row r="1754" spans="1:2" x14ac:dyDescent="0.3">
      <c r="A1754"/>
      <c r="B1754" s="5"/>
    </row>
    <row r="1755" spans="1:2" x14ac:dyDescent="0.3">
      <c r="A1755"/>
      <c r="B1755" s="5"/>
    </row>
    <row r="1756" spans="1:2" x14ac:dyDescent="0.3">
      <c r="A1756"/>
      <c r="B1756" s="5"/>
    </row>
    <row r="1757" spans="1:2" x14ac:dyDescent="0.3">
      <c r="A1757"/>
      <c r="B1757" s="5"/>
    </row>
    <row r="1758" spans="1:2" x14ac:dyDescent="0.3">
      <c r="A1758"/>
      <c r="B1758" s="5"/>
    </row>
    <row r="1759" spans="1:2" x14ac:dyDescent="0.3">
      <c r="A1759"/>
      <c r="B1759" s="5"/>
    </row>
    <row r="1760" spans="1:2" x14ac:dyDescent="0.3">
      <c r="A1760"/>
      <c r="B1760" s="5"/>
    </row>
    <row r="1761" spans="1:2" x14ac:dyDescent="0.3">
      <c r="A1761"/>
      <c r="B1761" s="5"/>
    </row>
    <row r="1762" spans="1:2" x14ac:dyDescent="0.3">
      <c r="A1762"/>
      <c r="B1762" s="5"/>
    </row>
    <row r="1763" spans="1:2" x14ac:dyDescent="0.3">
      <c r="A1763"/>
      <c r="B1763" s="5"/>
    </row>
    <row r="1764" spans="1:2" x14ac:dyDescent="0.3">
      <c r="A1764"/>
      <c r="B1764" s="5"/>
    </row>
    <row r="1765" spans="1:2" x14ac:dyDescent="0.3">
      <c r="A1765"/>
      <c r="B1765" s="5"/>
    </row>
    <row r="1766" spans="1:2" x14ac:dyDescent="0.3">
      <c r="A1766"/>
      <c r="B1766" s="5"/>
    </row>
    <row r="1767" spans="1:2" x14ac:dyDescent="0.3">
      <c r="A1767"/>
      <c r="B1767" s="5"/>
    </row>
    <row r="1768" spans="1:2" x14ac:dyDescent="0.3">
      <c r="A1768"/>
      <c r="B1768" s="5"/>
    </row>
    <row r="1769" spans="1:2" x14ac:dyDescent="0.3">
      <c r="A1769"/>
      <c r="B1769" s="5"/>
    </row>
    <row r="1770" spans="1:2" x14ac:dyDescent="0.3">
      <c r="A1770"/>
      <c r="B1770" s="5"/>
    </row>
    <row r="1771" spans="1:2" x14ac:dyDescent="0.3">
      <c r="A1771"/>
      <c r="B1771" s="5"/>
    </row>
    <row r="1772" spans="1:2" x14ac:dyDescent="0.3">
      <c r="A1772"/>
      <c r="B1772" s="5"/>
    </row>
    <row r="1773" spans="1:2" x14ac:dyDescent="0.3">
      <c r="A1773"/>
      <c r="B1773" s="5"/>
    </row>
    <row r="1774" spans="1:2" x14ac:dyDescent="0.3">
      <c r="A1774"/>
      <c r="B1774" s="5"/>
    </row>
    <row r="1775" spans="1:2" x14ac:dyDescent="0.3">
      <c r="A1775"/>
      <c r="B1775" s="5"/>
    </row>
    <row r="1776" spans="1:2" x14ac:dyDescent="0.3">
      <c r="A1776"/>
      <c r="B1776" s="5"/>
    </row>
    <row r="1777" spans="1:2" x14ac:dyDescent="0.3">
      <c r="A1777"/>
      <c r="B1777" s="5"/>
    </row>
    <row r="1778" spans="1:2" x14ac:dyDescent="0.3">
      <c r="A1778"/>
      <c r="B1778" s="5"/>
    </row>
    <row r="1779" spans="1:2" x14ac:dyDescent="0.3">
      <c r="A1779"/>
      <c r="B1779" s="5"/>
    </row>
    <row r="1780" spans="1:2" x14ac:dyDescent="0.3">
      <c r="A1780"/>
      <c r="B1780" s="5"/>
    </row>
    <row r="1781" spans="1:2" x14ac:dyDescent="0.3">
      <c r="A1781"/>
      <c r="B1781" s="5"/>
    </row>
    <row r="1782" spans="1:2" x14ac:dyDescent="0.3">
      <c r="A1782"/>
      <c r="B1782" s="5"/>
    </row>
    <row r="1783" spans="1:2" x14ac:dyDescent="0.3">
      <c r="A1783"/>
      <c r="B1783" s="5"/>
    </row>
    <row r="1784" spans="1:2" x14ac:dyDescent="0.3">
      <c r="A1784"/>
      <c r="B1784" s="5"/>
    </row>
    <row r="1785" spans="1:2" x14ac:dyDescent="0.3">
      <c r="A1785"/>
      <c r="B1785" s="5"/>
    </row>
    <row r="1786" spans="1:2" x14ac:dyDescent="0.3">
      <c r="A1786"/>
      <c r="B1786" s="5"/>
    </row>
    <row r="1787" spans="1:2" x14ac:dyDescent="0.3">
      <c r="A1787"/>
      <c r="B1787" s="5"/>
    </row>
    <row r="1788" spans="1:2" x14ac:dyDescent="0.3">
      <c r="A1788"/>
      <c r="B1788" s="5"/>
    </row>
    <row r="1789" spans="1:2" x14ac:dyDescent="0.3">
      <c r="A1789"/>
      <c r="B1789" s="5"/>
    </row>
    <row r="1790" spans="1:2" x14ac:dyDescent="0.3">
      <c r="A1790"/>
      <c r="B1790" s="5"/>
    </row>
    <row r="1791" spans="1:2" x14ac:dyDescent="0.3">
      <c r="A1791"/>
      <c r="B1791" s="5"/>
    </row>
    <row r="1792" spans="1:2" x14ac:dyDescent="0.3">
      <c r="A1792"/>
      <c r="B1792" s="5"/>
    </row>
    <row r="1793" spans="1:2" x14ac:dyDescent="0.3">
      <c r="A1793"/>
      <c r="B1793" s="5"/>
    </row>
    <row r="1794" spans="1:2" x14ac:dyDescent="0.3">
      <c r="A1794"/>
      <c r="B1794" s="5"/>
    </row>
    <row r="1795" spans="1:2" x14ac:dyDescent="0.3">
      <c r="A1795"/>
      <c r="B1795" s="5"/>
    </row>
    <row r="1796" spans="1:2" x14ac:dyDescent="0.3">
      <c r="A1796"/>
      <c r="B1796" s="5"/>
    </row>
    <row r="1797" spans="1:2" x14ac:dyDescent="0.3">
      <c r="A1797"/>
      <c r="B1797" s="5"/>
    </row>
    <row r="1798" spans="1:2" x14ac:dyDescent="0.3">
      <c r="A1798"/>
      <c r="B1798" s="5"/>
    </row>
    <row r="1799" spans="1:2" x14ac:dyDescent="0.3">
      <c r="A1799"/>
      <c r="B1799" s="5"/>
    </row>
    <row r="1800" spans="1:2" x14ac:dyDescent="0.3">
      <c r="A1800"/>
      <c r="B1800" s="5"/>
    </row>
    <row r="1801" spans="1:2" x14ac:dyDescent="0.3">
      <c r="A1801"/>
      <c r="B1801" s="5"/>
    </row>
    <row r="1802" spans="1:2" x14ac:dyDescent="0.3">
      <c r="A1802"/>
      <c r="B1802" s="5"/>
    </row>
    <row r="1803" spans="1:2" x14ac:dyDescent="0.3">
      <c r="A1803"/>
      <c r="B1803" s="5"/>
    </row>
    <row r="1804" spans="1:2" x14ac:dyDescent="0.3">
      <c r="A1804"/>
      <c r="B1804" s="5"/>
    </row>
    <row r="1805" spans="1:2" x14ac:dyDescent="0.3">
      <c r="A1805"/>
      <c r="B1805" s="5"/>
    </row>
    <row r="1806" spans="1:2" x14ac:dyDescent="0.3">
      <c r="A1806"/>
      <c r="B1806" s="5"/>
    </row>
    <row r="1807" spans="1:2" x14ac:dyDescent="0.3">
      <c r="A1807"/>
      <c r="B1807" s="5"/>
    </row>
    <row r="1808" spans="1:2" x14ac:dyDescent="0.3">
      <c r="A1808"/>
      <c r="B1808" s="5"/>
    </row>
    <row r="1809" spans="1:2" x14ac:dyDescent="0.3">
      <c r="A1809"/>
      <c r="B1809" s="5"/>
    </row>
    <row r="1810" spans="1:2" x14ac:dyDescent="0.3">
      <c r="A1810"/>
      <c r="B1810" s="5"/>
    </row>
    <row r="1811" spans="1:2" x14ac:dyDescent="0.3">
      <c r="A1811"/>
      <c r="B1811" s="5"/>
    </row>
    <row r="1812" spans="1:2" x14ac:dyDescent="0.3">
      <c r="A1812"/>
      <c r="B1812" s="5"/>
    </row>
    <row r="1813" spans="1:2" x14ac:dyDescent="0.3">
      <c r="A1813"/>
      <c r="B1813" s="5"/>
    </row>
    <row r="1814" spans="1:2" x14ac:dyDescent="0.3">
      <c r="A1814"/>
      <c r="B1814" s="5"/>
    </row>
    <row r="1815" spans="1:2" x14ac:dyDescent="0.3">
      <c r="A1815"/>
      <c r="B1815" s="5"/>
    </row>
    <row r="1816" spans="1:2" x14ac:dyDescent="0.3">
      <c r="A1816"/>
      <c r="B1816" s="5"/>
    </row>
    <row r="1817" spans="1:2" x14ac:dyDescent="0.3">
      <c r="A1817"/>
      <c r="B1817" s="5"/>
    </row>
    <row r="1818" spans="1:2" x14ac:dyDescent="0.3">
      <c r="A1818"/>
      <c r="B1818" s="5"/>
    </row>
    <row r="1819" spans="1:2" x14ac:dyDescent="0.3">
      <c r="A1819"/>
      <c r="B1819" s="5"/>
    </row>
    <row r="1820" spans="1:2" x14ac:dyDescent="0.3">
      <c r="A1820"/>
      <c r="B1820" s="5"/>
    </row>
    <row r="1821" spans="1:2" x14ac:dyDescent="0.3">
      <c r="A1821"/>
      <c r="B1821" s="5"/>
    </row>
    <row r="1822" spans="1:2" x14ac:dyDescent="0.3">
      <c r="A1822"/>
      <c r="B1822" s="5"/>
    </row>
    <row r="1823" spans="1:2" x14ac:dyDescent="0.3">
      <c r="A1823"/>
      <c r="B1823" s="5"/>
    </row>
    <row r="1824" spans="1:2" x14ac:dyDescent="0.3">
      <c r="A1824"/>
      <c r="B1824" s="5"/>
    </row>
    <row r="1825" spans="1:2" x14ac:dyDescent="0.3">
      <c r="A1825"/>
      <c r="B1825" s="5"/>
    </row>
    <row r="1826" spans="1:2" x14ac:dyDescent="0.3">
      <c r="A1826"/>
      <c r="B1826" s="5"/>
    </row>
    <row r="1827" spans="1:2" x14ac:dyDescent="0.3">
      <c r="A1827"/>
      <c r="B1827" s="5"/>
    </row>
    <row r="1828" spans="1:2" x14ac:dyDescent="0.3">
      <c r="A1828"/>
      <c r="B1828" s="5"/>
    </row>
    <row r="1829" spans="1:2" x14ac:dyDescent="0.3">
      <c r="A1829"/>
      <c r="B1829" s="5"/>
    </row>
    <row r="1830" spans="1:2" x14ac:dyDescent="0.3">
      <c r="A1830"/>
      <c r="B1830" s="5"/>
    </row>
    <row r="1831" spans="1:2" x14ac:dyDescent="0.3">
      <c r="A1831"/>
      <c r="B1831" s="5"/>
    </row>
    <row r="1832" spans="1:2" x14ac:dyDescent="0.3">
      <c r="A1832"/>
      <c r="B1832" s="5"/>
    </row>
    <row r="1833" spans="1:2" x14ac:dyDescent="0.3">
      <c r="A1833"/>
      <c r="B1833" s="5"/>
    </row>
    <row r="1834" spans="1:2" x14ac:dyDescent="0.3">
      <c r="A1834"/>
      <c r="B1834" s="5"/>
    </row>
    <row r="1835" spans="1:2" x14ac:dyDescent="0.3">
      <c r="A1835"/>
      <c r="B1835" s="5"/>
    </row>
    <row r="1836" spans="1:2" x14ac:dyDescent="0.3">
      <c r="A1836"/>
      <c r="B1836" s="5"/>
    </row>
    <row r="1837" spans="1:2" x14ac:dyDescent="0.3">
      <c r="A1837"/>
      <c r="B1837" s="5"/>
    </row>
    <row r="1838" spans="1:2" x14ac:dyDescent="0.3">
      <c r="A1838"/>
      <c r="B1838" s="5"/>
    </row>
    <row r="1839" spans="1:2" x14ac:dyDescent="0.3">
      <c r="A1839"/>
      <c r="B1839" s="5"/>
    </row>
    <row r="1840" spans="1:2" x14ac:dyDescent="0.3">
      <c r="A1840"/>
      <c r="B1840" s="5"/>
    </row>
    <row r="1841" spans="1:2" x14ac:dyDescent="0.3">
      <c r="A1841"/>
      <c r="B1841" s="5"/>
    </row>
    <row r="1842" spans="1:2" x14ac:dyDescent="0.3">
      <c r="A1842"/>
      <c r="B1842" s="5"/>
    </row>
    <row r="1843" spans="1:2" x14ac:dyDescent="0.3">
      <c r="A1843"/>
      <c r="B1843" s="5"/>
    </row>
    <row r="1844" spans="1:2" x14ac:dyDescent="0.3">
      <c r="A1844"/>
      <c r="B1844" s="5"/>
    </row>
    <row r="1845" spans="1:2" x14ac:dyDescent="0.3">
      <c r="A1845"/>
      <c r="B1845" s="5"/>
    </row>
    <row r="1846" spans="1:2" x14ac:dyDescent="0.3">
      <c r="A1846"/>
      <c r="B1846" s="5"/>
    </row>
    <row r="1847" spans="1:2" x14ac:dyDescent="0.3">
      <c r="A1847"/>
      <c r="B1847" s="5"/>
    </row>
    <row r="1848" spans="1:2" x14ac:dyDescent="0.3">
      <c r="A1848"/>
      <c r="B1848" s="5"/>
    </row>
    <row r="1849" spans="1:2" x14ac:dyDescent="0.3">
      <c r="A1849"/>
      <c r="B1849" s="5"/>
    </row>
    <row r="1850" spans="1:2" x14ac:dyDescent="0.3">
      <c r="A1850"/>
      <c r="B1850" s="5"/>
    </row>
    <row r="1851" spans="1:2" x14ac:dyDescent="0.3">
      <c r="A1851"/>
      <c r="B1851" s="5"/>
    </row>
    <row r="1852" spans="1:2" x14ac:dyDescent="0.3">
      <c r="A1852"/>
      <c r="B1852" s="5"/>
    </row>
    <row r="1853" spans="1:2" x14ac:dyDescent="0.3">
      <c r="A1853"/>
      <c r="B1853" s="5"/>
    </row>
    <row r="1854" spans="1:2" x14ac:dyDescent="0.3">
      <c r="A1854"/>
      <c r="B1854" s="5"/>
    </row>
    <row r="1855" spans="1:2" x14ac:dyDescent="0.3">
      <c r="A1855"/>
      <c r="B1855" s="5"/>
    </row>
    <row r="1856" spans="1:2" x14ac:dyDescent="0.3">
      <c r="A1856"/>
      <c r="B1856" s="5"/>
    </row>
    <row r="1857" spans="1:2" x14ac:dyDescent="0.3">
      <c r="A1857"/>
      <c r="B1857" s="5"/>
    </row>
    <row r="1858" spans="1:2" x14ac:dyDescent="0.3">
      <c r="A1858"/>
      <c r="B1858" s="5"/>
    </row>
    <row r="1859" spans="1:2" x14ac:dyDescent="0.3">
      <c r="A1859"/>
      <c r="B1859" s="5"/>
    </row>
    <row r="1860" spans="1:2" x14ac:dyDescent="0.3">
      <c r="A1860"/>
      <c r="B1860" s="5"/>
    </row>
    <row r="1861" spans="1:2" x14ac:dyDescent="0.3">
      <c r="A1861"/>
      <c r="B1861" s="5"/>
    </row>
    <row r="1862" spans="1:2" x14ac:dyDescent="0.3">
      <c r="A1862"/>
      <c r="B1862" s="5"/>
    </row>
    <row r="1863" spans="1:2" x14ac:dyDescent="0.3">
      <c r="A1863"/>
      <c r="B1863" s="5"/>
    </row>
    <row r="1864" spans="1:2" x14ac:dyDescent="0.3">
      <c r="A1864"/>
      <c r="B1864" s="5"/>
    </row>
    <row r="1865" spans="1:2" x14ac:dyDescent="0.3">
      <c r="A1865"/>
      <c r="B1865" s="5"/>
    </row>
    <row r="1866" spans="1:2" x14ac:dyDescent="0.3">
      <c r="A1866"/>
      <c r="B1866" s="5"/>
    </row>
    <row r="1867" spans="1:2" x14ac:dyDescent="0.3">
      <c r="A1867"/>
      <c r="B1867" s="5"/>
    </row>
    <row r="1868" spans="1:2" x14ac:dyDescent="0.3">
      <c r="A1868"/>
      <c r="B1868" s="5"/>
    </row>
    <row r="1869" spans="1:2" x14ac:dyDescent="0.3">
      <c r="A1869"/>
      <c r="B1869" s="5"/>
    </row>
    <row r="1870" spans="1:2" x14ac:dyDescent="0.3">
      <c r="A1870"/>
      <c r="B1870" s="5"/>
    </row>
    <row r="1871" spans="1:2" x14ac:dyDescent="0.3">
      <c r="A1871"/>
      <c r="B1871" s="5"/>
    </row>
    <row r="1872" spans="1:2" x14ac:dyDescent="0.3">
      <c r="A1872"/>
      <c r="B1872" s="5"/>
    </row>
    <row r="1873" spans="1:2" x14ac:dyDescent="0.3">
      <c r="A1873"/>
      <c r="B1873" s="5"/>
    </row>
    <row r="1874" spans="1:2" x14ac:dyDescent="0.3">
      <c r="A1874"/>
      <c r="B1874" s="5"/>
    </row>
    <row r="1875" spans="1:2" x14ac:dyDescent="0.3">
      <c r="A1875"/>
      <c r="B1875" s="5"/>
    </row>
    <row r="1876" spans="1:2" x14ac:dyDescent="0.3">
      <c r="A1876"/>
      <c r="B1876" s="5"/>
    </row>
    <row r="1877" spans="1:2" x14ac:dyDescent="0.3">
      <c r="A1877"/>
      <c r="B1877" s="5"/>
    </row>
    <row r="1878" spans="1:2" x14ac:dyDescent="0.3">
      <c r="A1878"/>
      <c r="B1878" s="5"/>
    </row>
    <row r="1879" spans="1:2" x14ac:dyDescent="0.3">
      <c r="A1879"/>
      <c r="B1879" s="5"/>
    </row>
    <row r="1880" spans="1:2" x14ac:dyDescent="0.3">
      <c r="A1880"/>
      <c r="B1880" s="5"/>
    </row>
    <row r="1881" spans="1:2" x14ac:dyDescent="0.3">
      <c r="A1881"/>
      <c r="B1881" s="5"/>
    </row>
    <row r="1882" spans="1:2" x14ac:dyDescent="0.3">
      <c r="A1882"/>
      <c r="B1882" s="5"/>
    </row>
    <row r="1883" spans="1:2" x14ac:dyDescent="0.3">
      <c r="A1883"/>
      <c r="B1883" s="5"/>
    </row>
    <row r="1884" spans="1:2" x14ac:dyDescent="0.3">
      <c r="A1884"/>
      <c r="B1884" s="5"/>
    </row>
    <row r="1885" spans="1:2" x14ac:dyDescent="0.3">
      <c r="A1885"/>
      <c r="B1885" s="5"/>
    </row>
    <row r="1886" spans="1:2" x14ac:dyDescent="0.3">
      <c r="A1886"/>
      <c r="B1886" s="5"/>
    </row>
    <row r="1887" spans="1:2" x14ac:dyDescent="0.3">
      <c r="A1887"/>
      <c r="B1887" s="5"/>
    </row>
    <row r="1888" spans="1:2" x14ac:dyDescent="0.3">
      <c r="A1888"/>
      <c r="B1888" s="5"/>
    </row>
    <row r="1889" spans="1:2" x14ac:dyDescent="0.3">
      <c r="A1889"/>
      <c r="B1889" s="5"/>
    </row>
    <row r="1890" spans="1:2" x14ac:dyDescent="0.3">
      <c r="A1890"/>
      <c r="B1890" s="5"/>
    </row>
    <row r="1891" spans="1:2" x14ac:dyDescent="0.3">
      <c r="A1891"/>
      <c r="B1891" s="5"/>
    </row>
    <row r="1892" spans="1:2" x14ac:dyDescent="0.3">
      <c r="A1892"/>
      <c r="B1892" s="5"/>
    </row>
    <row r="1893" spans="1:2" x14ac:dyDescent="0.3">
      <c r="A1893"/>
      <c r="B1893" s="5"/>
    </row>
    <row r="1894" spans="1:2" x14ac:dyDescent="0.3">
      <c r="A1894"/>
      <c r="B1894" s="5"/>
    </row>
    <row r="1895" spans="1:2" x14ac:dyDescent="0.3">
      <c r="A1895"/>
      <c r="B1895" s="5"/>
    </row>
    <row r="1896" spans="1:2" x14ac:dyDescent="0.3">
      <c r="A1896"/>
      <c r="B1896" s="5"/>
    </row>
    <row r="1897" spans="1:2" x14ac:dyDescent="0.3">
      <c r="A1897"/>
      <c r="B1897" s="5"/>
    </row>
    <row r="1898" spans="1:2" x14ac:dyDescent="0.3">
      <c r="A1898"/>
      <c r="B1898" s="5"/>
    </row>
    <row r="1899" spans="1:2" x14ac:dyDescent="0.3">
      <c r="A1899"/>
      <c r="B1899" s="5"/>
    </row>
    <row r="1900" spans="1:2" x14ac:dyDescent="0.3">
      <c r="A1900"/>
      <c r="B1900" s="5"/>
    </row>
    <row r="1901" spans="1:2" x14ac:dyDescent="0.3">
      <c r="A1901"/>
      <c r="B1901" s="5"/>
    </row>
    <row r="1902" spans="1:2" x14ac:dyDescent="0.3">
      <c r="A1902"/>
      <c r="B1902" s="5"/>
    </row>
    <row r="1903" spans="1:2" x14ac:dyDescent="0.3">
      <c r="A1903"/>
      <c r="B1903" s="5"/>
    </row>
    <row r="1904" spans="1:2" x14ac:dyDescent="0.3">
      <c r="A1904"/>
      <c r="B1904" s="5"/>
    </row>
    <row r="1905" spans="1:2" x14ac:dyDescent="0.3">
      <c r="A1905"/>
      <c r="B1905" s="5"/>
    </row>
    <row r="1906" spans="1:2" x14ac:dyDescent="0.3">
      <c r="A1906"/>
      <c r="B1906" s="5"/>
    </row>
    <row r="1907" spans="1:2" x14ac:dyDescent="0.3">
      <c r="A1907"/>
      <c r="B1907" s="5"/>
    </row>
    <row r="1908" spans="1:2" x14ac:dyDescent="0.3">
      <c r="A1908"/>
      <c r="B1908" s="5"/>
    </row>
    <row r="1909" spans="1:2" x14ac:dyDescent="0.3">
      <c r="A1909"/>
      <c r="B1909" s="5"/>
    </row>
    <row r="1910" spans="1:2" x14ac:dyDescent="0.3">
      <c r="A1910"/>
      <c r="B1910" s="5"/>
    </row>
    <row r="1911" spans="1:2" x14ac:dyDescent="0.3">
      <c r="A1911"/>
      <c r="B1911" s="5"/>
    </row>
    <row r="1912" spans="1:2" x14ac:dyDescent="0.3">
      <c r="A1912"/>
      <c r="B1912" s="5"/>
    </row>
    <row r="1913" spans="1:2" x14ac:dyDescent="0.3">
      <c r="A1913"/>
      <c r="B1913" s="5"/>
    </row>
    <row r="1914" spans="1:2" x14ac:dyDescent="0.3">
      <c r="A1914"/>
      <c r="B1914" s="5"/>
    </row>
    <row r="1915" spans="1:2" x14ac:dyDescent="0.3">
      <c r="A1915"/>
      <c r="B1915" s="5"/>
    </row>
    <row r="1916" spans="1:2" x14ac:dyDescent="0.3">
      <c r="A1916"/>
      <c r="B1916" s="5"/>
    </row>
    <row r="1917" spans="1:2" x14ac:dyDescent="0.3">
      <c r="A1917"/>
      <c r="B1917" s="5"/>
    </row>
    <row r="1918" spans="1:2" x14ac:dyDescent="0.3">
      <c r="A1918"/>
      <c r="B1918" s="5"/>
    </row>
    <row r="1919" spans="1:2" x14ac:dyDescent="0.3">
      <c r="A1919"/>
      <c r="B1919" s="5"/>
    </row>
    <row r="1920" spans="1:2" x14ac:dyDescent="0.3">
      <c r="A1920"/>
      <c r="B1920" s="5"/>
    </row>
    <row r="1921" spans="1:2" x14ac:dyDescent="0.3">
      <c r="A1921"/>
      <c r="B1921" s="5"/>
    </row>
    <row r="1922" spans="1:2" x14ac:dyDescent="0.3">
      <c r="A1922"/>
      <c r="B1922" s="5"/>
    </row>
    <row r="1923" spans="1:2" x14ac:dyDescent="0.3">
      <c r="A1923"/>
      <c r="B1923" s="5"/>
    </row>
    <row r="1924" spans="1:2" x14ac:dyDescent="0.3">
      <c r="A1924"/>
      <c r="B1924" s="5"/>
    </row>
    <row r="1925" spans="1:2" x14ac:dyDescent="0.3">
      <c r="A1925"/>
      <c r="B1925" s="5"/>
    </row>
    <row r="1926" spans="1:2" x14ac:dyDescent="0.3">
      <c r="A1926"/>
      <c r="B1926" s="5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3" x14ac:dyDescent="0.3">
      <c r="A1969" s="19"/>
      <c r="B1969" s="19"/>
      <c r="C1969" s="19"/>
    </row>
    <row r="1970" spans="1:3" x14ac:dyDescent="0.3">
      <c r="A1970"/>
      <c r="B1970"/>
    </row>
    <row r="1971" spans="1:3" x14ac:dyDescent="0.3">
      <c r="A1971"/>
      <c r="B1971"/>
    </row>
    <row r="1972" spans="1:3" x14ac:dyDescent="0.3">
      <c r="A1972"/>
      <c r="B1972"/>
    </row>
    <row r="1973" spans="1:3" x14ac:dyDescent="0.3">
      <c r="A1973"/>
      <c r="B1973"/>
    </row>
    <row r="1974" spans="1:3" x14ac:dyDescent="0.3">
      <c r="A1974"/>
      <c r="B1974"/>
    </row>
    <row r="1975" spans="1:3" x14ac:dyDescent="0.3">
      <c r="A1975"/>
      <c r="B1975"/>
    </row>
    <row r="1976" spans="1:3" x14ac:dyDescent="0.3">
      <c r="A1976"/>
      <c r="B1976"/>
    </row>
    <row r="1977" spans="1:3" x14ac:dyDescent="0.3">
      <c r="A1977"/>
      <c r="B1977"/>
    </row>
    <row r="1978" spans="1:3" x14ac:dyDescent="0.3">
      <c r="A1978"/>
      <c r="B1978"/>
    </row>
    <row r="1979" spans="1:3" x14ac:dyDescent="0.3">
      <c r="A1979"/>
      <c r="B1979"/>
    </row>
    <row r="1980" spans="1:3" x14ac:dyDescent="0.3">
      <c r="A1980"/>
      <c r="B1980"/>
    </row>
    <row r="1981" spans="1:3" x14ac:dyDescent="0.3">
      <c r="A1981"/>
      <c r="B1981"/>
    </row>
    <row r="1982" spans="1:3" x14ac:dyDescent="0.3">
      <c r="A1982"/>
      <c r="B1982"/>
    </row>
    <row r="1983" spans="1:3" x14ac:dyDescent="0.3">
      <c r="A1983"/>
      <c r="B1983"/>
    </row>
    <row r="1984" spans="1:3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16"/>
  <sheetViews>
    <sheetView workbookViewId="0">
      <selection activeCell="B19" sqref="B19"/>
    </sheetView>
  </sheetViews>
  <sheetFormatPr defaultRowHeight="14.4" x14ac:dyDescent="0.3"/>
  <cols>
    <col min="1" max="1" width="26.88671875" bestFit="1" customWidth="1"/>
    <col min="2" max="2" width="35.33203125" bestFit="1" customWidth="1"/>
    <col min="3" max="3" width="38.5546875" bestFit="1" customWidth="1"/>
  </cols>
  <sheetData>
    <row r="1" spans="1:3" ht="25.8" x14ac:dyDescent="0.5">
      <c r="A1" s="77"/>
      <c r="B1" s="77"/>
      <c r="C1" s="77"/>
    </row>
    <row r="2" spans="1:3" x14ac:dyDescent="0.3">
      <c r="A2" s="1" t="s">
        <v>2</v>
      </c>
      <c r="B2" s="2"/>
      <c r="C2" s="1"/>
    </row>
    <row r="3" spans="1:3" x14ac:dyDescent="0.3">
      <c r="A3" s="1" t="s">
        <v>3</v>
      </c>
      <c r="B3" s="8"/>
      <c r="C3" s="1"/>
    </row>
    <row r="4" spans="1:3" x14ac:dyDescent="0.3">
      <c r="A4" s="1" t="s">
        <v>4</v>
      </c>
      <c r="B4" s="7"/>
      <c r="C4" s="1"/>
    </row>
    <row r="5" spans="1:3" x14ac:dyDescent="0.3">
      <c r="A5" s="1" t="s">
        <v>5</v>
      </c>
      <c r="B5" s="2"/>
      <c r="C5" s="1"/>
    </row>
    <row r="6" spans="1:3" x14ac:dyDescent="0.3">
      <c r="A6" s="1" t="s">
        <v>6</v>
      </c>
      <c r="B6" s="6"/>
      <c r="C6" s="1"/>
    </row>
    <row r="7" spans="1:3" s="65" customFormat="1" ht="15.6" x14ac:dyDescent="0.3">
      <c r="A7" s="63" t="s">
        <v>808</v>
      </c>
      <c r="B7" s="64"/>
      <c r="C7" s="64"/>
    </row>
    <row r="8" spans="1:3" x14ac:dyDescent="0.3">
      <c r="A8" s="4" t="s">
        <v>809</v>
      </c>
      <c r="B8" s="3"/>
      <c r="C8" s="3"/>
    </row>
    <row r="9" spans="1:3" x14ac:dyDescent="0.3">
      <c r="A9" s="4" t="s">
        <v>810</v>
      </c>
      <c r="B9" s="3"/>
      <c r="C9" s="3"/>
    </row>
    <row r="10" spans="1:3" x14ac:dyDescent="0.3">
      <c r="B10" s="3"/>
      <c r="C10" s="3"/>
    </row>
    <row r="11" spans="1:3" ht="25.8" x14ac:dyDescent="0.5">
      <c r="A11" s="77"/>
      <c r="B11" s="77"/>
      <c r="C11" s="77"/>
    </row>
    <row r="12" spans="1:3" x14ac:dyDescent="0.3">
      <c r="A12" s="1" t="s">
        <v>2</v>
      </c>
      <c r="B12" s="2"/>
      <c r="C12" s="1"/>
    </row>
    <row r="13" spans="1:3" x14ac:dyDescent="0.3">
      <c r="A13" s="1" t="s">
        <v>3</v>
      </c>
      <c r="B13" s="8"/>
      <c r="C13" s="1"/>
    </row>
    <row r="14" spans="1:3" x14ac:dyDescent="0.3">
      <c r="A14" s="1" t="s">
        <v>4</v>
      </c>
      <c r="B14" s="7"/>
      <c r="C14" s="1"/>
    </row>
    <row r="15" spans="1:3" x14ac:dyDescent="0.3">
      <c r="A15" s="1" t="s">
        <v>5</v>
      </c>
      <c r="B15" s="2"/>
      <c r="C15" s="1"/>
    </row>
    <row r="16" spans="1:3" x14ac:dyDescent="0.3">
      <c r="A16" s="1" t="s">
        <v>6</v>
      </c>
      <c r="B16" s="6"/>
      <c r="C16" s="1"/>
    </row>
  </sheetData>
  <mergeCells count="2">
    <mergeCell ref="A1:C1"/>
    <mergeCell ref="A11:C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I39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W22" sqref="W22"/>
    </sheetView>
  </sheetViews>
  <sheetFormatPr defaultColWidth="9.109375" defaultRowHeight="14.4" x14ac:dyDescent="0.3"/>
  <cols>
    <col min="1" max="1" width="3" style="32" customWidth="1"/>
    <col min="2" max="2" width="4" style="13" customWidth="1"/>
    <col min="3" max="3" width="14.109375" style="13" hidden="1" customWidth="1"/>
    <col min="4" max="4" width="4.109375" style="13" hidden="1" customWidth="1"/>
    <col min="5" max="5" width="8.5546875" style="13" hidden="1" customWidth="1"/>
    <col min="6" max="6" width="7.44140625" style="13" hidden="1" customWidth="1"/>
    <col min="7" max="7" width="4.109375" style="13" hidden="1" customWidth="1"/>
    <col min="8" max="8" width="18.5546875" style="13" customWidth="1"/>
    <col min="9" max="9" width="4.88671875" style="13" customWidth="1"/>
    <col min="10" max="10" width="11" style="13" hidden="1" customWidth="1"/>
    <col min="11" max="11" width="5.109375" style="33" customWidth="1"/>
    <col min="12" max="12" width="6.109375" style="13" customWidth="1"/>
    <col min="13" max="13" width="5.109375" style="13" customWidth="1"/>
    <col min="14" max="15" width="1.88671875" style="13" hidden="1" customWidth="1"/>
    <col min="16" max="16" width="1.5546875" style="13" hidden="1" customWidth="1"/>
    <col min="17" max="17" width="2.33203125" style="13" hidden="1" customWidth="1"/>
    <col min="18" max="18" width="0.88671875" style="13" hidden="1" customWidth="1"/>
    <col min="19" max="19" width="3.33203125" style="13" hidden="1" customWidth="1"/>
    <col min="20" max="20" width="2.33203125" style="13" hidden="1" customWidth="1"/>
    <col min="21" max="21" width="2.44140625" style="13" hidden="1" customWidth="1"/>
    <col min="22" max="22" width="2.88671875" style="13" hidden="1" customWidth="1"/>
    <col min="23" max="23" width="11.5546875" style="13" customWidth="1"/>
    <col min="24" max="24" width="11.109375" style="13" customWidth="1"/>
    <col min="25" max="25" width="2.109375" style="13" hidden="1" customWidth="1"/>
    <col min="26" max="26" width="2.33203125" style="13" hidden="1" customWidth="1"/>
    <col min="27" max="27" width="2.88671875" style="13" hidden="1" customWidth="1"/>
    <col min="28" max="28" width="2.6640625" style="13" hidden="1" customWidth="1"/>
    <col min="29" max="29" width="1" style="13" hidden="1" customWidth="1"/>
    <col min="30" max="30" width="12" style="13" customWidth="1"/>
    <col min="31" max="31" width="14.109375" style="13" customWidth="1"/>
    <col min="32" max="32" width="1.88671875" style="13" hidden="1" customWidth="1"/>
    <col min="33" max="33" width="27.33203125" style="13" customWidth="1"/>
    <col min="34" max="40" width="0" style="13" hidden="1" customWidth="1"/>
    <col min="41" max="16384" width="9.109375" style="13"/>
  </cols>
  <sheetData>
    <row r="1" spans="1:35" x14ac:dyDescent="0.3">
      <c r="A1" s="32" t="s">
        <v>823</v>
      </c>
      <c r="B1" s="32" t="s">
        <v>7</v>
      </c>
      <c r="C1" s="32" t="s">
        <v>12</v>
      </c>
      <c r="D1" s="32" t="s">
        <v>824</v>
      </c>
      <c r="E1" s="32" t="s">
        <v>825</v>
      </c>
      <c r="F1" s="32" t="s">
        <v>826</v>
      </c>
      <c r="G1" s="32" t="s">
        <v>827</v>
      </c>
      <c r="H1" s="32" t="s">
        <v>828</v>
      </c>
      <c r="I1" s="32" t="s">
        <v>829</v>
      </c>
      <c r="J1" s="32" t="s">
        <v>830</v>
      </c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</row>
    <row r="2" spans="1:35" x14ac:dyDescent="0.3">
      <c r="A2" s="32">
        <v>26060100138334</v>
      </c>
      <c r="B2" s="13" t="s">
        <v>831</v>
      </c>
      <c r="C2" s="13">
        <v>1</v>
      </c>
      <c r="D2" s="13" t="s">
        <v>832</v>
      </c>
      <c r="E2" s="13">
        <v>656.35</v>
      </c>
      <c r="F2" s="13" t="s">
        <v>833</v>
      </c>
      <c r="H2" s="13" t="s">
        <v>834</v>
      </c>
      <c r="I2" s="13" t="s">
        <v>835</v>
      </c>
      <c r="Z2" s="34"/>
      <c r="AA2" s="34"/>
      <c r="AB2" s="34"/>
      <c r="AC2" s="34"/>
      <c r="AD2" s="34"/>
      <c r="AE2" s="34"/>
      <c r="AF2" s="34"/>
      <c r="AI2" s="34"/>
    </row>
    <row r="3" spans="1:35" x14ac:dyDescent="0.3">
      <c r="A3" s="32">
        <v>26060100117933</v>
      </c>
      <c r="B3" s="13" t="s">
        <v>831</v>
      </c>
      <c r="C3" s="13">
        <v>1</v>
      </c>
      <c r="D3" s="13" t="s">
        <v>832</v>
      </c>
      <c r="E3" s="13">
        <v>653.1</v>
      </c>
      <c r="F3" s="13" t="s">
        <v>833</v>
      </c>
      <c r="H3" s="13" t="s">
        <v>834</v>
      </c>
      <c r="I3" s="13" t="s">
        <v>835</v>
      </c>
      <c r="Z3" s="34"/>
      <c r="AA3" s="34"/>
      <c r="AB3" s="34"/>
      <c r="AC3" s="34"/>
      <c r="AD3" s="34"/>
      <c r="AE3" s="34"/>
      <c r="AF3" s="34"/>
    </row>
    <row r="4" spans="1:35" x14ac:dyDescent="0.3">
      <c r="Z4" s="34"/>
      <c r="AA4" s="34"/>
      <c r="AB4" s="34"/>
      <c r="AC4" s="34"/>
      <c r="AD4" s="34"/>
      <c r="AE4" s="34"/>
      <c r="AF4" s="34"/>
      <c r="AI4" s="34"/>
    </row>
    <row r="5" spans="1:35" x14ac:dyDescent="0.3">
      <c r="Z5" s="34"/>
      <c r="AA5" s="34"/>
      <c r="AB5" s="34"/>
      <c r="AC5" s="34"/>
      <c r="AD5" s="34"/>
      <c r="AE5" s="34"/>
      <c r="AF5" s="34"/>
      <c r="AG5" s="34"/>
      <c r="AI5" s="34"/>
    </row>
    <row r="6" spans="1:35" x14ac:dyDescent="0.3">
      <c r="Z6" s="34"/>
      <c r="AA6" s="34"/>
      <c r="AB6" s="34"/>
      <c r="AC6" s="34"/>
      <c r="AD6" s="34"/>
      <c r="AE6" s="34"/>
      <c r="AF6" s="34"/>
      <c r="AG6" s="34"/>
      <c r="AI6" s="34"/>
    </row>
    <row r="7" spans="1:35" x14ac:dyDescent="0.3">
      <c r="J7" s="35"/>
      <c r="Z7" s="34"/>
      <c r="AA7" s="34"/>
      <c r="AB7" s="34"/>
      <c r="AC7" s="34"/>
      <c r="AD7" s="34"/>
      <c r="AE7" s="34"/>
      <c r="AF7" s="34"/>
      <c r="AG7" s="34"/>
      <c r="AI7" s="34"/>
    </row>
    <row r="8" spans="1:35" x14ac:dyDescent="0.3">
      <c r="J8" s="35"/>
      <c r="Z8" s="34"/>
      <c r="AA8" s="34"/>
      <c r="AB8" s="34"/>
      <c r="AC8" s="34"/>
      <c r="AD8" s="34"/>
      <c r="AE8" s="34"/>
      <c r="AF8" s="34"/>
      <c r="AG8" s="34"/>
      <c r="AI8" s="34"/>
    </row>
    <row r="9" spans="1:35" x14ac:dyDescent="0.3">
      <c r="Z9" s="34"/>
      <c r="AA9" s="34"/>
      <c r="AB9" s="34"/>
      <c r="AC9" s="34"/>
      <c r="AD9" s="34"/>
      <c r="AE9" s="34"/>
      <c r="AF9" s="34"/>
      <c r="AG9" s="34"/>
      <c r="AI9" s="34"/>
    </row>
    <row r="10" spans="1:35" x14ac:dyDescent="0.3">
      <c r="Z10" s="34"/>
      <c r="AA10" s="34"/>
      <c r="AB10" s="34"/>
      <c r="AC10" s="34"/>
      <c r="AD10" s="34"/>
      <c r="AE10" s="34"/>
      <c r="AF10" s="34"/>
      <c r="AG10" s="34"/>
      <c r="AI10" s="34"/>
    </row>
    <row r="11" spans="1:35" x14ac:dyDescent="0.3">
      <c r="Z11" s="34"/>
      <c r="AA11" s="34"/>
      <c r="AB11" s="34"/>
      <c r="AC11" s="34"/>
      <c r="AD11" s="34"/>
      <c r="AE11" s="34"/>
      <c r="AF11" s="34"/>
      <c r="AG11" s="34"/>
      <c r="AI11" s="34"/>
    </row>
    <row r="12" spans="1:35" x14ac:dyDescent="0.3">
      <c r="Z12" s="34"/>
      <c r="AA12" s="34"/>
      <c r="AB12" s="34"/>
      <c r="AC12" s="34"/>
      <c r="AD12" s="34"/>
      <c r="AE12" s="34"/>
      <c r="AF12" s="34"/>
      <c r="AG12" s="34"/>
    </row>
    <row r="13" spans="1:35" x14ac:dyDescent="0.3">
      <c r="Z13" s="34"/>
      <c r="AA13" s="34"/>
      <c r="AB13" s="34"/>
      <c r="AC13" s="34"/>
      <c r="AD13" s="34"/>
      <c r="AE13" s="34"/>
      <c r="AF13" s="34"/>
      <c r="AG13" s="34"/>
    </row>
    <row r="14" spans="1:35" x14ac:dyDescent="0.3">
      <c r="Z14" s="34"/>
      <c r="AA14" s="34"/>
      <c r="AB14" s="34"/>
      <c r="AC14" s="34"/>
      <c r="AD14" s="34"/>
      <c r="AE14" s="34"/>
      <c r="AF14" s="34"/>
      <c r="AG14" s="34"/>
      <c r="AI14" s="34"/>
    </row>
    <row r="15" spans="1:35" x14ac:dyDescent="0.3">
      <c r="Z15" s="34"/>
      <c r="AA15" s="34"/>
      <c r="AB15" s="34"/>
      <c r="AC15" s="34"/>
      <c r="AD15" s="34"/>
      <c r="AE15" s="34"/>
      <c r="AF15" s="34"/>
      <c r="AG15" s="34"/>
      <c r="AI15" s="34"/>
    </row>
    <row r="16" spans="1:35" x14ac:dyDescent="0.3">
      <c r="AA16" s="34"/>
      <c r="AB16" s="34"/>
      <c r="AC16" s="34"/>
      <c r="AD16" s="34"/>
      <c r="AE16" s="34"/>
      <c r="AF16" s="34"/>
      <c r="AG16" s="34"/>
      <c r="AI16" s="34"/>
    </row>
    <row r="17" spans="27:35" x14ac:dyDescent="0.3">
      <c r="AA17" s="34"/>
      <c r="AB17" s="34"/>
      <c r="AC17" s="34"/>
      <c r="AD17" s="34"/>
      <c r="AE17" s="34"/>
      <c r="AF17" s="34"/>
      <c r="AG17" s="34"/>
      <c r="AI17" s="34"/>
    </row>
    <row r="18" spans="27:35" x14ac:dyDescent="0.3">
      <c r="AA18" s="34"/>
      <c r="AB18" s="34"/>
      <c r="AC18" s="34"/>
      <c r="AD18" s="34"/>
      <c r="AE18" s="34"/>
      <c r="AF18" s="34"/>
      <c r="AG18" s="34"/>
      <c r="AI18" s="34"/>
    </row>
    <row r="19" spans="27:35" x14ac:dyDescent="0.3">
      <c r="AA19" s="34"/>
      <c r="AB19" s="34"/>
      <c r="AC19" s="34"/>
      <c r="AD19" s="34"/>
      <c r="AE19" s="34"/>
      <c r="AF19" s="34"/>
      <c r="AG19" s="34"/>
      <c r="AI19" s="34"/>
    </row>
    <row r="20" spans="27:35" x14ac:dyDescent="0.3">
      <c r="AA20" s="34"/>
      <c r="AB20" s="34"/>
      <c r="AC20" s="34"/>
      <c r="AD20" s="34"/>
      <c r="AE20" s="34"/>
      <c r="AF20" s="34"/>
      <c r="AG20" s="34"/>
    </row>
    <row r="21" spans="27:35" x14ac:dyDescent="0.3">
      <c r="AA21" s="34"/>
      <c r="AB21" s="34"/>
      <c r="AC21" s="34"/>
      <c r="AD21" s="34"/>
      <c r="AE21" s="34"/>
      <c r="AF21" s="34"/>
      <c r="AG21" s="34"/>
      <c r="AI21" s="34"/>
    </row>
    <row r="22" spans="27:35" x14ac:dyDescent="0.3">
      <c r="AA22" s="34"/>
      <c r="AB22" s="34"/>
      <c r="AC22" s="34"/>
      <c r="AD22" s="34"/>
      <c r="AE22" s="34"/>
      <c r="AF22" s="34"/>
      <c r="AG22" s="34"/>
      <c r="AI22" s="34"/>
    </row>
    <row r="23" spans="27:35" x14ac:dyDescent="0.3">
      <c r="AA23" s="34"/>
      <c r="AB23" s="34"/>
      <c r="AC23" s="34"/>
      <c r="AD23" s="34"/>
      <c r="AE23" s="34"/>
      <c r="AG23" s="34"/>
      <c r="AI23" s="34"/>
    </row>
    <row r="24" spans="27:35" x14ac:dyDescent="0.3">
      <c r="AA24" s="34"/>
      <c r="AB24" s="34"/>
      <c r="AC24" s="34"/>
      <c r="AD24" s="34"/>
      <c r="AE24" s="34"/>
      <c r="AG24" s="34"/>
      <c r="AI24" s="34"/>
    </row>
    <row r="25" spans="27:35" x14ac:dyDescent="0.3">
      <c r="AA25" s="34"/>
      <c r="AB25" s="34"/>
      <c r="AC25" s="34"/>
      <c r="AD25" s="34"/>
      <c r="AE25" s="34"/>
      <c r="AG25" s="34"/>
      <c r="AI25" s="34"/>
    </row>
    <row r="26" spans="27:35" x14ac:dyDescent="0.3">
      <c r="AA26" s="34"/>
      <c r="AB26" s="34"/>
      <c r="AC26" s="34"/>
      <c r="AD26" s="34"/>
      <c r="AE26" s="34"/>
      <c r="AG26" s="34"/>
      <c r="AI26" s="34"/>
    </row>
    <row r="27" spans="27:35" x14ac:dyDescent="0.3">
      <c r="AA27" s="34"/>
      <c r="AB27" s="34"/>
      <c r="AC27" s="34"/>
      <c r="AD27" s="34"/>
      <c r="AE27" s="34"/>
      <c r="AG27" s="34"/>
    </row>
    <row r="28" spans="27:35" x14ac:dyDescent="0.3">
      <c r="AA28" s="34"/>
      <c r="AB28" s="34"/>
      <c r="AC28" s="34"/>
      <c r="AD28" s="34"/>
      <c r="AE28" s="34"/>
      <c r="AG28" s="34"/>
      <c r="AI28" s="34"/>
    </row>
    <row r="29" spans="27:35" x14ac:dyDescent="0.3">
      <c r="AA29" s="34"/>
      <c r="AB29" s="34"/>
      <c r="AC29" s="34"/>
      <c r="AD29" s="34"/>
      <c r="AE29" s="34"/>
      <c r="AG29" s="34"/>
      <c r="AI29" s="34"/>
    </row>
    <row r="30" spans="27:35" x14ac:dyDescent="0.3">
      <c r="AA30" s="34"/>
      <c r="AB30" s="34"/>
      <c r="AC30" s="34"/>
      <c r="AD30" s="34"/>
      <c r="AE30" s="34"/>
      <c r="AG30" s="34"/>
      <c r="AI30" s="34"/>
    </row>
    <row r="31" spans="27:35" x14ac:dyDescent="0.3">
      <c r="AA31" s="34"/>
      <c r="AB31" s="34"/>
      <c r="AC31" s="34"/>
      <c r="AD31" s="34"/>
      <c r="AE31" s="34"/>
      <c r="AG31" s="34"/>
      <c r="AI31" s="34"/>
    </row>
    <row r="32" spans="27:35" x14ac:dyDescent="0.3">
      <c r="AA32" s="34"/>
      <c r="AB32" s="34"/>
      <c r="AC32" s="34"/>
      <c r="AD32" s="34"/>
      <c r="AE32" s="34"/>
      <c r="AG32" s="34"/>
      <c r="AI32" s="34"/>
    </row>
    <row r="33" spans="27:35" x14ac:dyDescent="0.3">
      <c r="AA33" s="34"/>
      <c r="AB33" s="34"/>
      <c r="AC33" s="34"/>
      <c r="AD33" s="34"/>
      <c r="AE33" s="34"/>
      <c r="AG33" s="34"/>
      <c r="AI33" s="34"/>
    </row>
    <row r="34" spans="27:35" x14ac:dyDescent="0.3">
      <c r="AA34" s="34"/>
      <c r="AB34" s="34"/>
      <c r="AC34" s="34"/>
      <c r="AD34" s="34"/>
      <c r="AE34" s="34"/>
      <c r="AG34" s="34"/>
      <c r="AI34" s="34"/>
    </row>
    <row r="35" spans="27:35" x14ac:dyDescent="0.3">
      <c r="AA35" s="34"/>
      <c r="AB35" s="34"/>
      <c r="AC35" s="34"/>
      <c r="AD35" s="34"/>
      <c r="AE35" s="34"/>
      <c r="AG35" s="34"/>
    </row>
    <row r="36" spans="27:35" x14ac:dyDescent="0.3">
      <c r="AA36" s="34"/>
      <c r="AB36" s="34"/>
      <c r="AC36" s="34"/>
      <c r="AD36" s="34"/>
      <c r="AE36" s="34"/>
      <c r="AG36" s="34"/>
      <c r="AI36" s="34"/>
    </row>
    <row r="37" spans="27:35" x14ac:dyDescent="0.3">
      <c r="AA37" s="34"/>
      <c r="AB37" s="34"/>
      <c r="AC37" s="34"/>
      <c r="AD37" s="34"/>
      <c r="AE37" s="34"/>
      <c r="AG37" s="34"/>
      <c r="AI37" s="34"/>
    </row>
    <row r="38" spans="27:35" x14ac:dyDescent="0.3">
      <c r="AA38" s="34"/>
      <c r="AB38" s="34"/>
      <c r="AC38" s="34"/>
      <c r="AD38" s="34"/>
      <c r="AE38" s="34"/>
      <c r="AG38" s="34"/>
      <c r="AI38" s="34"/>
    </row>
    <row r="39" spans="27:35" x14ac:dyDescent="0.3">
      <c r="AA39" s="34"/>
      <c r="AB39" s="34"/>
      <c r="AC39" s="34"/>
      <c r="AD39" s="34"/>
      <c r="AE39" s="34"/>
      <c r="AG39" s="34"/>
      <c r="AI39" s="34"/>
    </row>
    <row r="40" spans="27:35" x14ac:dyDescent="0.3">
      <c r="AA40" s="34"/>
      <c r="AB40" s="34"/>
      <c r="AC40" s="34"/>
      <c r="AD40" s="34"/>
      <c r="AE40" s="34"/>
      <c r="AG40" s="34"/>
      <c r="AI40" s="34"/>
    </row>
    <row r="41" spans="27:35" x14ac:dyDescent="0.3">
      <c r="AA41" s="34"/>
      <c r="AB41" s="34"/>
      <c r="AC41" s="34"/>
      <c r="AD41" s="34"/>
      <c r="AE41" s="34"/>
      <c r="AG41" s="34"/>
      <c r="AI41" s="34"/>
    </row>
    <row r="42" spans="27:35" x14ac:dyDescent="0.3">
      <c r="AA42" s="34"/>
      <c r="AB42" s="34"/>
      <c r="AC42" s="34"/>
      <c r="AD42" s="34"/>
      <c r="AE42" s="34"/>
      <c r="AG42" s="34"/>
      <c r="AI42" s="34"/>
    </row>
    <row r="43" spans="27:35" x14ac:dyDescent="0.3">
      <c r="AA43" s="34"/>
      <c r="AB43" s="34"/>
      <c r="AC43" s="34"/>
      <c r="AD43" s="34"/>
      <c r="AE43" s="34"/>
      <c r="AG43" s="34"/>
    </row>
    <row r="44" spans="27:35" x14ac:dyDescent="0.3">
      <c r="AA44" s="34"/>
      <c r="AB44" s="34"/>
      <c r="AC44" s="34"/>
      <c r="AD44" s="34"/>
      <c r="AE44" s="34"/>
      <c r="AG44" s="34"/>
    </row>
    <row r="45" spans="27:35" x14ac:dyDescent="0.3">
      <c r="AA45" s="34"/>
      <c r="AB45" s="34"/>
      <c r="AC45" s="34"/>
      <c r="AD45" s="34"/>
      <c r="AE45" s="34"/>
      <c r="AG45" s="34"/>
    </row>
    <row r="46" spans="27:35" x14ac:dyDescent="0.3">
      <c r="AA46" s="34"/>
      <c r="AB46" s="34"/>
      <c r="AC46" s="34"/>
      <c r="AD46" s="34"/>
      <c r="AE46" s="34"/>
      <c r="AG46" s="34"/>
      <c r="AI46" s="34"/>
    </row>
    <row r="47" spans="27:35" x14ac:dyDescent="0.3">
      <c r="AA47" s="34"/>
      <c r="AB47" s="34"/>
      <c r="AC47" s="34"/>
      <c r="AD47" s="34"/>
      <c r="AE47" s="34"/>
      <c r="AG47" s="34"/>
    </row>
    <row r="48" spans="27:35" x14ac:dyDescent="0.3">
      <c r="AA48" s="34"/>
      <c r="AB48" s="34"/>
      <c r="AC48" s="34"/>
      <c r="AD48" s="34"/>
      <c r="AE48" s="34"/>
      <c r="AG48" s="34"/>
      <c r="AI48" s="34"/>
    </row>
    <row r="49" spans="27:35" x14ac:dyDescent="0.3">
      <c r="AA49" s="34"/>
      <c r="AB49" s="34"/>
      <c r="AC49" s="34"/>
      <c r="AD49" s="34"/>
      <c r="AE49" s="34"/>
      <c r="AG49" s="34"/>
      <c r="AI49" s="34"/>
    </row>
    <row r="50" spans="27:35" x14ac:dyDescent="0.3">
      <c r="AA50" s="34"/>
      <c r="AB50" s="34"/>
      <c r="AC50" s="34"/>
      <c r="AD50" s="34"/>
      <c r="AE50" s="34"/>
      <c r="AG50" s="34"/>
      <c r="AI50" s="34"/>
    </row>
    <row r="51" spans="27:35" x14ac:dyDescent="0.3">
      <c r="AA51" s="34"/>
      <c r="AC51" s="34"/>
      <c r="AD51" s="34"/>
      <c r="AE51" s="34"/>
      <c r="AG51" s="34"/>
      <c r="AI51" s="34"/>
    </row>
    <row r="52" spans="27:35" x14ac:dyDescent="0.3">
      <c r="AA52" s="34"/>
      <c r="AC52" s="34"/>
      <c r="AD52" s="34"/>
      <c r="AE52" s="34"/>
      <c r="AG52" s="34"/>
    </row>
    <row r="53" spans="27:35" x14ac:dyDescent="0.3">
      <c r="AA53" s="34"/>
      <c r="AC53" s="34"/>
      <c r="AD53" s="34"/>
      <c r="AE53" s="34"/>
      <c r="AG53" s="34"/>
    </row>
    <row r="54" spans="27:35" x14ac:dyDescent="0.3">
      <c r="AA54" s="34"/>
      <c r="AC54" s="34"/>
      <c r="AD54" s="34"/>
      <c r="AE54" s="34"/>
      <c r="AG54" s="34"/>
      <c r="AI54" s="34"/>
    </row>
    <row r="55" spans="27:35" x14ac:dyDescent="0.3">
      <c r="AA55" s="34"/>
      <c r="AC55" s="34"/>
      <c r="AD55" s="34"/>
      <c r="AE55" s="34"/>
      <c r="AG55" s="34"/>
      <c r="AI55" s="34"/>
    </row>
    <row r="56" spans="27:35" x14ac:dyDescent="0.3">
      <c r="AA56" s="34"/>
      <c r="AC56" s="34"/>
      <c r="AD56" s="34"/>
      <c r="AE56" s="34"/>
      <c r="AG56" s="34"/>
      <c r="AI56" s="34"/>
    </row>
    <row r="57" spans="27:35" x14ac:dyDescent="0.3">
      <c r="AA57" s="34"/>
      <c r="AC57" s="34"/>
      <c r="AD57" s="34"/>
      <c r="AE57" s="34"/>
      <c r="AG57" s="34"/>
      <c r="AI57" s="34"/>
    </row>
    <row r="58" spans="27:35" x14ac:dyDescent="0.3">
      <c r="AA58" s="34"/>
      <c r="AC58" s="34"/>
      <c r="AD58" s="34"/>
      <c r="AE58" s="34"/>
      <c r="AG58" s="34"/>
      <c r="AI58" s="34"/>
    </row>
    <row r="59" spans="27:35" x14ac:dyDescent="0.3">
      <c r="AA59" s="34"/>
      <c r="AC59" s="34"/>
      <c r="AD59" s="34"/>
      <c r="AE59" s="34"/>
      <c r="AG59" s="34"/>
      <c r="AI59" s="34"/>
    </row>
    <row r="60" spans="27:35" x14ac:dyDescent="0.3">
      <c r="AA60" s="34"/>
      <c r="AC60" s="34"/>
      <c r="AD60" s="34"/>
      <c r="AE60" s="34"/>
      <c r="AG60" s="34"/>
      <c r="AI60" s="34"/>
    </row>
    <row r="61" spans="27:35" x14ac:dyDescent="0.3">
      <c r="AA61" s="34"/>
      <c r="AC61" s="34"/>
      <c r="AD61" s="34"/>
      <c r="AE61" s="34"/>
      <c r="AG61" s="34"/>
      <c r="AI61" s="34"/>
    </row>
    <row r="62" spans="27:35" x14ac:dyDescent="0.3">
      <c r="AA62" s="34"/>
      <c r="AC62" s="34"/>
      <c r="AD62" s="34"/>
      <c r="AE62" s="34"/>
      <c r="AG62" s="34"/>
      <c r="AI62" s="34"/>
    </row>
    <row r="63" spans="27:35" x14ac:dyDescent="0.3">
      <c r="AA63" s="34"/>
      <c r="AC63" s="34"/>
      <c r="AD63" s="34"/>
      <c r="AE63" s="34"/>
      <c r="AG63" s="34"/>
      <c r="AI63" s="34"/>
    </row>
    <row r="64" spans="27:35" x14ac:dyDescent="0.3">
      <c r="AA64" s="34"/>
      <c r="AC64" s="34"/>
      <c r="AD64" s="34"/>
      <c r="AE64" s="34"/>
      <c r="AG64" s="34"/>
      <c r="AI64" s="34"/>
    </row>
    <row r="65" spans="27:35" x14ac:dyDescent="0.3">
      <c r="AA65" s="34"/>
      <c r="AC65" s="34"/>
      <c r="AD65" s="34"/>
      <c r="AE65" s="34"/>
      <c r="AG65" s="34"/>
      <c r="AI65" s="34"/>
    </row>
    <row r="66" spans="27:35" x14ac:dyDescent="0.3">
      <c r="AA66" s="34"/>
      <c r="AC66" s="34"/>
      <c r="AD66" s="34"/>
      <c r="AE66" s="34"/>
      <c r="AG66" s="34"/>
    </row>
    <row r="67" spans="27:35" x14ac:dyDescent="0.3">
      <c r="AA67" s="34"/>
      <c r="AC67" s="34"/>
      <c r="AD67" s="34"/>
      <c r="AE67" s="34"/>
      <c r="AG67" s="34"/>
      <c r="AI67" s="34"/>
    </row>
    <row r="68" spans="27:35" x14ac:dyDescent="0.3">
      <c r="AA68" s="34"/>
      <c r="AC68" s="34"/>
      <c r="AD68" s="34"/>
      <c r="AE68" s="34"/>
      <c r="AG68" s="34"/>
      <c r="AI68" s="34"/>
    </row>
    <row r="69" spans="27:35" x14ac:dyDescent="0.3">
      <c r="AA69" s="34"/>
      <c r="AC69" s="34"/>
      <c r="AI69" s="34"/>
    </row>
    <row r="70" spans="27:35" x14ac:dyDescent="0.3">
      <c r="AA70" s="34"/>
      <c r="AC70" s="34"/>
      <c r="AD70" s="34"/>
      <c r="AG70" s="34"/>
      <c r="AI70" s="34"/>
    </row>
    <row r="71" spans="27:35" x14ac:dyDescent="0.3">
      <c r="AA71" s="34"/>
      <c r="AC71" s="34"/>
      <c r="AD71" s="34"/>
      <c r="AG71" s="34"/>
      <c r="AI71" s="34"/>
    </row>
    <row r="72" spans="27:35" x14ac:dyDescent="0.3">
      <c r="AA72" s="34"/>
      <c r="AC72" s="34"/>
      <c r="AD72" s="34"/>
      <c r="AG72" s="34"/>
      <c r="AI72" s="34"/>
    </row>
    <row r="73" spans="27:35" x14ac:dyDescent="0.3">
      <c r="AA73" s="34"/>
      <c r="AC73" s="34"/>
      <c r="AD73" s="34"/>
      <c r="AG73" s="34"/>
    </row>
    <row r="74" spans="27:35" x14ac:dyDescent="0.3">
      <c r="AA74" s="34"/>
      <c r="AC74" s="34"/>
      <c r="AD74" s="34"/>
      <c r="AG74" s="34"/>
      <c r="AI74" s="34"/>
    </row>
    <row r="75" spans="27:35" x14ac:dyDescent="0.3">
      <c r="AA75" s="34"/>
      <c r="AC75" s="34"/>
    </row>
    <row r="76" spans="27:35" x14ac:dyDescent="0.3">
      <c r="AA76" s="34"/>
      <c r="AC76" s="34"/>
      <c r="AI76" s="34"/>
    </row>
    <row r="77" spans="27:35" x14ac:dyDescent="0.3">
      <c r="AA77" s="34"/>
      <c r="AC77" s="34"/>
      <c r="AD77" s="34"/>
      <c r="AI77" s="34"/>
    </row>
    <row r="78" spans="27:35" x14ac:dyDescent="0.3">
      <c r="AA78" s="34"/>
      <c r="AI78" s="34"/>
    </row>
    <row r="79" spans="27:35" x14ac:dyDescent="0.3">
      <c r="AA79" s="34"/>
      <c r="AI79" s="34"/>
    </row>
    <row r="80" spans="27:35" x14ac:dyDescent="0.3">
      <c r="AA80" s="34"/>
      <c r="AI80" s="34"/>
    </row>
    <row r="81" spans="27:35" x14ac:dyDescent="0.3">
      <c r="AA81" s="34"/>
      <c r="AI81" s="34"/>
    </row>
    <row r="82" spans="27:35" x14ac:dyDescent="0.3">
      <c r="AA82" s="34"/>
      <c r="AI82" s="34"/>
    </row>
    <row r="83" spans="27:35" x14ac:dyDescent="0.3">
      <c r="AA83" s="34"/>
      <c r="AI83" s="34"/>
    </row>
    <row r="84" spans="27:35" x14ac:dyDescent="0.3">
      <c r="AA84" s="34"/>
      <c r="AI84" s="34"/>
    </row>
    <row r="85" spans="27:35" x14ac:dyDescent="0.3">
      <c r="AA85" s="34"/>
      <c r="AI85" s="34"/>
    </row>
    <row r="86" spans="27:35" x14ac:dyDescent="0.3">
      <c r="AA86" s="34"/>
      <c r="AI86" s="34"/>
    </row>
    <row r="87" spans="27:35" x14ac:dyDescent="0.3">
      <c r="AA87" s="34"/>
      <c r="AI87" s="34"/>
    </row>
    <row r="88" spans="27:35" x14ac:dyDescent="0.3">
      <c r="AA88" s="34"/>
      <c r="AI88" s="34"/>
    </row>
    <row r="89" spans="27:35" x14ac:dyDescent="0.3">
      <c r="AA89" s="34"/>
      <c r="AI89" s="34"/>
    </row>
    <row r="90" spans="27:35" x14ac:dyDescent="0.3">
      <c r="AA90" s="34"/>
      <c r="AI90" s="34"/>
    </row>
    <row r="91" spans="27:35" x14ac:dyDescent="0.3">
      <c r="AA91" s="34"/>
      <c r="AI91" s="34"/>
    </row>
    <row r="92" spans="27:35" x14ac:dyDescent="0.3">
      <c r="AA92" s="34"/>
      <c r="AI92" s="34"/>
    </row>
    <row r="93" spans="27:35" x14ac:dyDescent="0.3">
      <c r="AA93" s="34"/>
      <c r="AI93" s="34"/>
    </row>
    <row r="94" spans="27:35" x14ac:dyDescent="0.3">
      <c r="AA94" s="34"/>
      <c r="AI94" s="34"/>
    </row>
    <row r="95" spans="27:35" x14ac:dyDescent="0.3">
      <c r="AA95" s="34"/>
      <c r="AI95" s="34"/>
    </row>
    <row r="96" spans="27:35" x14ac:dyDescent="0.3">
      <c r="AA96" s="34"/>
      <c r="AI96" s="34"/>
    </row>
    <row r="97" spans="27:35" x14ac:dyDescent="0.3">
      <c r="AA97" s="34"/>
      <c r="AI97" s="34"/>
    </row>
    <row r="98" spans="27:35" x14ac:dyDescent="0.3">
      <c r="AA98" s="34"/>
      <c r="AI98" s="34"/>
    </row>
    <row r="99" spans="27:35" x14ac:dyDescent="0.3">
      <c r="AA99" s="34"/>
      <c r="AI99" s="34"/>
    </row>
    <row r="100" spans="27:35" x14ac:dyDescent="0.3">
      <c r="AA100" s="34"/>
      <c r="AI100" s="34"/>
    </row>
    <row r="101" spans="27:35" x14ac:dyDescent="0.3">
      <c r="AA101" s="34"/>
      <c r="AI101" s="34"/>
    </row>
    <row r="102" spans="27:35" x14ac:dyDescent="0.3">
      <c r="AA102" s="34"/>
      <c r="AI102" s="34"/>
    </row>
    <row r="103" spans="27:35" x14ac:dyDescent="0.3">
      <c r="AA103" s="34"/>
      <c r="AI103" s="34"/>
    </row>
    <row r="104" spans="27:35" x14ac:dyDescent="0.3">
      <c r="AA104" s="34"/>
      <c r="AI104" s="34"/>
    </row>
    <row r="105" spans="27:35" x14ac:dyDescent="0.3">
      <c r="AA105" s="34"/>
      <c r="AI105" s="34"/>
    </row>
    <row r="106" spans="27:35" x14ac:dyDescent="0.3">
      <c r="AA106" s="34"/>
      <c r="AI106" s="34"/>
    </row>
    <row r="107" spans="27:35" x14ac:dyDescent="0.3">
      <c r="AA107" s="34"/>
      <c r="AI107" s="34"/>
    </row>
    <row r="108" spans="27:35" x14ac:dyDescent="0.3">
      <c r="AA108" s="34"/>
      <c r="AI108" s="34"/>
    </row>
    <row r="109" spans="27:35" x14ac:dyDescent="0.3">
      <c r="AA109" s="34"/>
      <c r="AI109" s="34"/>
    </row>
    <row r="110" spans="27:35" x14ac:dyDescent="0.3">
      <c r="AA110" s="34"/>
      <c r="AI110" s="34"/>
    </row>
    <row r="111" spans="27:35" x14ac:dyDescent="0.3">
      <c r="AA111" s="34"/>
      <c r="AI111" s="34"/>
    </row>
    <row r="112" spans="27:35" x14ac:dyDescent="0.3">
      <c r="AA112" s="34"/>
      <c r="AI112" s="34"/>
    </row>
    <row r="113" spans="27:35" x14ac:dyDescent="0.3">
      <c r="AA113" s="34"/>
      <c r="AI113" s="34"/>
    </row>
    <row r="114" spans="27:35" x14ac:dyDescent="0.3">
      <c r="AA114" s="34"/>
      <c r="AI114" s="34"/>
    </row>
    <row r="115" spans="27:35" x14ac:dyDescent="0.3">
      <c r="AA115" s="34"/>
      <c r="AI115" s="34"/>
    </row>
    <row r="116" spans="27:35" x14ac:dyDescent="0.3">
      <c r="AA116" s="34"/>
      <c r="AI116" s="34"/>
    </row>
    <row r="117" spans="27:35" x14ac:dyDescent="0.3">
      <c r="AA117" s="34"/>
      <c r="AI117" s="34"/>
    </row>
    <row r="118" spans="27:35" x14ac:dyDescent="0.3">
      <c r="AA118" s="34"/>
      <c r="AI118" s="34"/>
    </row>
    <row r="119" spans="27:35" x14ac:dyDescent="0.3">
      <c r="AA119" s="34"/>
      <c r="AI119" s="34"/>
    </row>
    <row r="120" spans="27:35" x14ac:dyDescent="0.3">
      <c r="AA120" s="34"/>
      <c r="AI120" s="34"/>
    </row>
    <row r="121" spans="27:35" x14ac:dyDescent="0.3">
      <c r="AA121" s="34"/>
      <c r="AI121" s="34"/>
    </row>
    <row r="122" spans="27:35" x14ac:dyDescent="0.3">
      <c r="AA122" s="34"/>
      <c r="AI122" s="34"/>
    </row>
    <row r="123" spans="27:35" x14ac:dyDescent="0.3">
      <c r="AA123" s="34"/>
      <c r="AI123" s="34"/>
    </row>
    <row r="124" spans="27:35" x14ac:dyDescent="0.3">
      <c r="AA124" s="34"/>
      <c r="AI124" s="34"/>
    </row>
    <row r="125" spans="27:35" x14ac:dyDescent="0.3">
      <c r="AA125" s="34"/>
      <c r="AI125" s="34"/>
    </row>
    <row r="126" spans="27:35" x14ac:dyDescent="0.3">
      <c r="AA126" s="34"/>
      <c r="AI126" s="34"/>
    </row>
    <row r="127" spans="27:35" x14ac:dyDescent="0.3">
      <c r="AA127" s="34"/>
      <c r="AI127" s="34"/>
    </row>
    <row r="128" spans="27:35" x14ac:dyDescent="0.3">
      <c r="AA128" s="34"/>
      <c r="AI128" s="34"/>
    </row>
    <row r="129" spans="27:35" x14ac:dyDescent="0.3">
      <c r="AA129" s="34"/>
      <c r="AI129" s="34"/>
    </row>
    <row r="130" spans="27:35" x14ac:dyDescent="0.3">
      <c r="AA130" s="34"/>
      <c r="AI130" s="34"/>
    </row>
    <row r="131" spans="27:35" x14ac:dyDescent="0.3">
      <c r="AA131" s="34"/>
      <c r="AI131" s="34"/>
    </row>
    <row r="132" spans="27:35" x14ac:dyDescent="0.3">
      <c r="AA132" s="34"/>
      <c r="AI132" s="34"/>
    </row>
    <row r="133" spans="27:35" x14ac:dyDescent="0.3">
      <c r="AA133" s="34"/>
      <c r="AI133" s="34"/>
    </row>
    <row r="134" spans="27:35" x14ac:dyDescent="0.3">
      <c r="AA134" s="34"/>
      <c r="AI134" s="34"/>
    </row>
    <row r="135" spans="27:35" x14ac:dyDescent="0.3">
      <c r="AA135" s="34"/>
      <c r="AI135" s="34"/>
    </row>
    <row r="136" spans="27:35" x14ac:dyDescent="0.3">
      <c r="AA136" s="34"/>
      <c r="AI136" s="34"/>
    </row>
    <row r="137" spans="27:35" x14ac:dyDescent="0.3">
      <c r="AA137" s="34"/>
      <c r="AI137" s="34"/>
    </row>
    <row r="138" spans="27:35" x14ac:dyDescent="0.3">
      <c r="AA138" s="34"/>
      <c r="AI138" s="34"/>
    </row>
    <row r="139" spans="27:35" x14ac:dyDescent="0.3">
      <c r="AA139" s="34"/>
      <c r="AI139" s="34"/>
    </row>
    <row r="140" spans="27:35" x14ac:dyDescent="0.3">
      <c r="AA140" s="34"/>
      <c r="AI140" s="34"/>
    </row>
    <row r="141" spans="27:35" x14ac:dyDescent="0.3">
      <c r="AA141" s="34"/>
      <c r="AI141" s="34"/>
    </row>
    <row r="142" spans="27:35" x14ac:dyDescent="0.3">
      <c r="AA142" s="34"/>
      <c r="AI142" s="34"/>
    </row>
    <row r="143" spans="27:35" x14ac:dyDescent="0.3">
      <c r="AA143" s="34"/>
      <c r="AI143" s="34"/>
    </row>
    <row r="144" spans="27:35" x14ac:dyDescent="0.3">
      <c r="AA144" s="34"/>
      <c r="AI144" s="34"/>
    </row>
    <row r="145" spans="27:35" x14ac:dyDescent="0.3">
      <c r="AA145" s="34"/>
      <c r="AI145" s="34"/>
    </row>
    <row r="146" spans="27:35" x14ac:dyDescent="0.3">
      <c r="AA146" s="34"/>
      <c r="AI146" s="34"/>
    </row>
    <row r="147" spans="27:35" x14ac:dyDescent="0.3">
      <c r="AA147" s="34"/>
      <c r="AI147" s="34"/>
    </row>
    <row r="148" spans="27:35" x14ac:dyDescent="0.3">
      <c r="AA148" s="34"/>
      <c r="AI148" s="34"/>
    </row>
    <row r="149" spans="27:35" x14ac:dyDescent="0.3">
      <c r="AA149" s="34"/>
      <c r="AI149" s="34"/>
    </row>
    <row r="150" spans="27:35" x14ac:dyDescent="0.3">
      <c r="AA150" s="34"/>
      <c r="AI150" s="34"/>
    </row>
    <row r="151" spans="27:35" x14ac:dyDescent="0.3">
      <c r="AA151" s="34"/>
      <c r="AI151" s="34"/>
    </row>
    <row r="152" spans="27:35" x14ac:dyDescent="0.3">
      <c r="AA152" s="34"/>
      <c r="AI152" s="34"/>
    </row>
    <row r="153" spans="27:35" x14ac:dyDescent="0.3">
      <c r="AA153" s="34"/>
      <c r="AI153" s="34"/>
    </row>
    <row r="154" spans="27:35" x14ac:dyDescent="0.3">
      <c r="AA154" s="34"/>
      <c r="AI154" s="34"/>
    </row>
    <row r="155" spans="27:35" x14ac:dyDescent="0.3">
      <c r="AA155" s="34"/>
      <c r="AI155" s="34"/>
    </row>
    <row r="156" spans="27:35" x14ac:dyDescent="0.3">
      <c r="AA156" s="34"/>
      <c r="AI156" s="34"/>
    </row>
    <row r="157" spans="27:35" x14ac:dyDescent="0.3">
      <c r="AA157" s="34"/>
      <c r="AI157" s="34"/>
    </row>
    <row r="158" spans="27:35" x14ac:dyDescent="0.3">
      <c r="AA158" s="34"/>
      <c r="AI158" s="34"/>
    </row>
    <row r="159" spans="27:35" x14ac:dyDescent="0.3">
      <c r="AA159" s="34"/>
      <c r="AI159" s="34"/>
    </row>
    <row r="160" spans="27:35" x14ac:dyDescent="0.3">
      <c r="AA160" s="34"/>
      <c r="AI160" s="34"/>
    </row>
    <row r="161" spans="27:35" x14ac:dyDescent="0.3">
      <c r="AA161" s="34"/>
      <c r="AI161" s="34"/>
    </row>
    <row r="162" spans="27:35" x14ac:dyDescent="0.3">
      <c r="AA162" s="34"/>
      <c r="AI162" s="34"/>
    </row>
    <row r="163" spans="27:35" x14ac:dyDescent="0.3">
      <c r="AA163" s="34"/>
      <c r="AI163" s="34"/>
    </row>
    <row r="164" spans="27:35" x14ac:dyDescent="0.3">
      <c r="AA164" s="34"/>
      <c r="AI164" s="34"/>
    </row>
    <row r="165" spans="27:35" x14ac:dyDescent="0.3">
      <c r="AA165" s="34"/>
      <c r="AI165" s="34"/>
    </row>
    <row r="166" spans="27:35" x14ac:dyDescent="0.3">
      <c r="AA166" s="34"/>
      <c r="AI166" s="34"/>
    </row>
    <row r="167" spans="27:35" x14ac:dyDescent="0.3">
      <c r="AA167" s="34"/>
      <c r="AI167" s="34"/>
    </row>
    <row r="168" spans="27:35" x14ac:dyDescent="0.3">
      <c r="AA168" s="34"/>
      <c r="AI168" s="34"/>
    </row>
    <row r="169" spans="27:35" x14ac:dyDescent="0.3">
      <c r="AA169" s="34"/>
      <c r="AI169" s="34"/>
    </row>
    <row r="170" spans="27:35" x14ac:dyDescent="0.3">
      <c r="AA170" s="34"/>
      <c r="AI170" s="34"/>
    </row>
    <row r="171" spans="27:35" x14ac:dyDescent="0.3">
      <c r="AA171" s="34"/>
      <c r="AI171" s="34"/>
    </row>
    <row r="172" spans="27:35" x14ac:dyDescent="0.3">
      <c r="AA172" s="34"/>
      <c r="AI172" s="34"/>
    </row>
    <row r="173" spans="27:35" x14ac:dyDescent="0.3">
      <c r="AA173" s="34"/>
      <c r="AI173" s="34"/>
    </row>
    <row r="174" spans="27:35" x14ac:dyDescent="0.3">
      <c r="AA174" s="34"/>
      <c r="AI174" s="34"/>
    </row>
    <row r="175" spans="27:35" x14ac:dyDescent="0.3">
      <c r="AA175" s="34"/>
      <c r="AI175" s="34"/>
    </row>
    <row r="176" spans="27:35" x14ac:dyDescent="0.3">
      <c r="AA176" s="34"/>
      <c r="AI176" s="34"/>
    </row>
    <row r="177" spans="27:35" x14ac:dyDescent="0.3">
      <c r="AA177" s="34"/>
      <c r="AI177" s="34"/>
    </row>
    <row r="178" spans="27:35" x14ac:dyDescent="0.3">
      <c r="AA178" s="34"/>
      <c r="AI178" s="34"/>
    </row>
    <row r="179" spans="27:35" x14ac:dyDescent="0.3">
      <c r="AA179" s="34"/>
      <c r="AI179" s="34"/>
    </row>
    <row r="180" spans="27:35" x14ac:dyDescent="0.3">
      <c r="AA180" s="34"/>
      <c r="AI180" s="34"/>
    </row>
    <row r="181" spans="27:35" x14ac:dyDescent="0.3">
      <c r="AA181" s="34"/>
      <c r="AI181" s="34"/>
    </row>
    <row r="182" spans="27:35" x14ac:dyDescent="0.3">
      <c r="AA182" s="34"/>
      <c r="AI182" s="34"/>
    </row>
    <row r="183" spans="27:35" x14ac:dyDescent="0.3">
      <c r="AA183" s="34"/>
      <c r="AI183" s="34"/>
    </row>
    <row r="184" spans="27:35" x14ac:dyDescent="0.3">
      <c r="AA184" s="34"/>
      <c r="AI184" s="34"/>
    </row>
    <row r="185" spans="27:35" x14ac:dyDescent="0.3">
      <c r="AA185" s="34"/>
      <c r="AI185" s="34"/>
    </row>
    <row r="186" spans="27:35" x14ac:dyDescent="0.3">
      <c r="AA186" s="34"/>
      <c r="AI186" s="34"/>
    </row>
    <row r="187" spans="27:35" x14ac:dyDescent="0.3">
      <c r="AA187" s="34"/>
      <c r="AI187" s="34"/>
    </row>
    <row r="188" spans="27:35" x14ac:dyDescent="0.3">
      <c r="AA188" s="34"/>
      <c r="AI188" s="34"/>
    </row>
    <row r="189" spans="27:35" x14ac:dyDescent="0.3">
      <c r="AA189" s="34"/>
      <c r="AI189" s="34"/>
    </row>
    <row r="190" spans="27:35" x14ac:dyDescent="0.3">
      <c r="AA190" s="34"/>
      <c r="AI190" s="34"/>
    </row>
    <row r="191" spans="27:35" x14ac:dyDescent="0.3">
      <c r="AA191" s="34"/>
      <c r="AI191" s="34"/>
    </row>
    <row r="192" spans="27:35" x14ac:dyDescent="0.3">
      <c r="AA192" s="34"/>
      <c r="AI192" s="34"/>
    </row>
    <row r="193" spans="27:35" x14ac:dyDescent="0.3">
      <c r="AA193" s="34"/>
      <c r="AI193" s="34"/>
    </row>
    <row r="194" spans="27:35" x14ac:dyDescent="0.3">
      <c r="AA194" s="34"/>
      <c r="AI194" s="34"/>
    </row>
    <row r="195" spans="27:35" x14ac:dyDescent="0.3">
      <c r="AA195" s="34"/>
      <c r="AI195" s="34"/>
    </row>
    <row r="196" spans="27:35" x14ac:dyDescent="0.3">
      <c r="AA196" s="34"/>
      <c r="AI196" s="34"/>
    </row>
    <row r="197" spans="27:35" x14ac:dyDescent="0.3">
      <c r="AA197" s="34"/>
      <c r="AI197" s="34"/>
    </row>
    <row r="198" spans="27:35" x14ac:dyDescent="0.3">
      <c r="AA198" s="34"/>
      <c r="AI198" s="34"/>
    </row>
    <row r="199" spans="27:35" x14ac:dyDescent="0.3">
      <c r="AA199" s="34"/>
      <c r="AI199" s="34"/>
    </row>
    <row r="200" spans="27:35" x14ac:dyDescent="0.3">
      <c r="AA200" s="34"/>
      <c r="AI200" s="34"/>
    </row>
    <row r="201" spans="27:35" x14ac:dyDescent="0.3">
      <c r="AA201" s="34"/>
      <c r="AI201" s="34"/>
    </row>
    <row r="202" spans="27:35" x14ac:dyDescent="0.3">
      <c r="AA202" s="34"/>
      <c r="AI202" s="34"/>
    </row>
    <row r="203" spans="27:35" x14ac:dyDescent="0.3">
      <c r="AA203" s="34"/>
      <c r="AI203" s="34"/>
    </row>
    <row r="204" spans="27:35" x14ac:dyDescent="0.3">
      <c r="AA204" s="34"/>
      <c r="AI204" s="34"/>
    </row>
    <row r="205" spans="27:35" x14ac:dyDescent="0.3">
      <c r="AA205" s="34"/>
      <c r="AI205" s="34"/>
    </row>
    <row r="206" spans="27:35" x14ac:dyDescent="0.3">
      <c r="AA206" s="34"/>
      <c r="AI206" s="34"/>
    </row>
    <row r="207" spans="27:35" x14ac:dyDescent="0.3">
      <c r="AA207" s="34"/>
      <c r="AI207" s="34"/>
    </row>
    <row r="208" spans="27:35" x14ac:dyDescent="0.3">
      <c r="AA208" s="34"/>
    </row>
    <row r="209" spans="27:35" x14ac:dyDescent="0.3">
      <c r="AA209" s="34"/>
      <c r="AI209" s="34"/>
    </row>
    <row r="210" spans="27:35" x14ac:dyDescent="0.3">
      <c r="AA210" s="34"/>
      <c r="AI210" s="34"/>
    </row>
    <row r="211" spans="27:35" x14ac:dyDescent="0.3">
      <c r="AA211" s="34"/>
      <c r="AI211" s="34"/>
    </row>
    <row r="212" spans="27:35" x14ac:dyDescent="0.3">
      <c r="AA212" s="34"/>
      <c r="AI212" s="34"/>
    </row>
    <row r="213" spans="27:35" x14ac:dyDescent="0.3">
      <c r="AA213" s="34"/>
      <c r="AI213" s="34"/>
    </row>
    <row r="214" spans="27:35" x14ac:dyDescent="0.3">
      <c r="AA214" s="34"/>
      <c r="AI214" s="34"/>
    </row>
    <row r="215" spans="27:35" x14ac:dyDescent="0.3">
      <c r="AA215" s="34"/>
      <c r="AI215" s="34"/>
    </row>
    <row r="216" spans="27:35" x14ac:dyDescent="0.3">
      <c r="AA216" s="34"/>
      <c r="AI216" s="34"/>
    </row>
    <row r="217" spans="27:35" x14ac:dyDescent="0.3">
      <c r="AA217" s="34"/>
      <c r="AI217" s="34"/>
    </row>
    <row r="218" spans="27:35" x14ac:dyDescent="0.3">
      <c r="AA218" s="34"/>
      <c r="AI218" s="34"/>
    </row>
    <row r="219" spans="27:35" x14ac:dyDescent="0.3">
      <c r="AA219" s="34"/>
      <c r="AI219" s="34"/>
    </row>
    <row r="220" spans="27:35" x14ac:dyDescent="0.3">
      <c r="AA220" s="34"/>
      <c r="AI220" s="34"/>
    </row>
    <row r="221" spans="27:35" x14ac:dyDescent="0.3">
      <c r="AA221" s="34"/>
      <c r="AI221" s="34"/>
    </row>
    <row r="222" spans="27:35" x14ac:dyDescent="0.3">
      <c r="AA222" s="34"/>
      <c r="AI222" s="34"/>
    </row>
    <row r="223" spans="27:35" x14ac:dyDescent="0.3">
      <c r="AA223" s="34"/>
      <c r="AI223" s="34"/>
    </row>
    <row r="224" spans="27:35" x14ac:dyDescent="0.3">
      <c r="AA224" s="34"/>
      <c r="AI224" s="34"/>
    </row>
    <row r="225" spans="27:35" x14ac:dyDescent="0.3">
      <c r="AA225" s="34"/>
      <c r="AI225" s="34"/>
    </row>
    <row r="226" spans="27:35" x14ac:dyDescent="0.3">
      <c r="AA226" s="34"/>
      <c r="AI226" s="34"/>
    </row>
    <row r="227" spans="27:35" x14ac:dyDescent="0.3">
      <c r="AA227" s="34"/>
      <c r="AI227" s="34"/>
    </row>
    <row r="228" spans="27:35" x14ac:dyDescent="0.3">
      <c r="AA228" s="34"/>
      <c r="AI228" s="34"/>
    </row>
    <row r="229" spans="27:35" x14ac:dyDescent="0.3">
      <c r="AA229" s="34"/>
      <c r="AI229" s="34"/>
    </row>
    <row r="230" spans="27:35" x14ac:dyDescent="0.3">
      <c r="AA230" s="34"/>
      <c r="AI230" s="34"/>
    </row>
    <row r="231" spans="27:35" x14ac:dyDescent="0.3">
      <c r="AA231" s="34"/>
      <c r="AI231" s="34"/>
    </row>
    <row r="232" spans="27:35" x14ac:dyDescent="0.3">
      <c r="AA232" s="34"/>
      <c r="AI232" s="34"/>
    </row>
    <row r="233" spans="27:35" x14ac:dyDescent="0.3">
      <c r="AA233" s="34"/>
      <c r="AI233" s="34"/>
    </row>
    <row r="234" spans="27:35" x14ac:dyDescent="0.3">
      <c r="AA234" s="34"/>
      <c r="AI234" s="34"/>
    </row>
    <row r="235" spans="27:35" x14ac:dyDescent="0.3">
      <c r="AA235" s="34"/>
      <c r="AI235" s="34"/>
    </row>
    <row r="236" spans="27:35" x14ac:dyDescent="0.3">
      <c r="AA236" s="34"/>
      <c r="AI236" s="34"/>
    </row>
    <row r="237" spans="27:35" x14ac:dyDescent="0.3">
      <c r="AA237" s="34"/>
      <c r="AI237" s="34"/>
    </row>
    <row r="238" spans="27:35" x14ac:dyDescent="0.3">
      <c r="AA238" s="34"/>
      <c r="AI238" s="34"/>
    </row>
    <row r="239" spans="27:35" x14ac:dyDescent="0.3">
      <c r="AA239" s="34"/>
      <c r="AI239" s="34"/>
    </row>
    <row r="240" spans="27:35" x14ac:dyDescent="0.3">
      <c r="AA240" s="34"/>
      <c r="AI240" s="34"/>
    </row>
    <row r="241" spans="27:35" x14ac:dyDescent="0.3">
      <c r="AA241" s="34"/>
      <c r="AI241" s="34"/>
    </row>
    <row r="242" spans="27:35" x14ac:dyDescent="0.3">
      <c r="AA242" s="34"/>
      <c r="AI242" s="34"/>
    </row>
    <row r="243" spans="27:35" x14ac:dyDescent="0.3">
      <c r="AA243" s="34"/>
      <c r="AI243" s="34"/>
    </row>
    <row r="244" spans="27:35" x14ac:dyDescent="0.3">
      <c r="AA244" s="34"/>
      <c r="AI244" s="34"/>
    </row>
    <row r="245" spans="27:35" x14ac:dyDescent="0.3">
      <c r="AA245" s="34"/>
    </row>
    <row r="246" spans="27:35" x14ac:dyDescent="0.3">
      <c r="AA246" s="34"/>
      <c r="AI246" s="34"/>
    </row>
    <row r="247" spans="27:35" x14ac:dyDescent="0.3">
      <c r="AA247" s="34"/>
      <c r="AI247" s="34"/>
    </row>
    <row r="248" spans="27:35" x14ac:dyDescent="0.3">
      <c r="AA248" s="34"/>
      <c r="AI248" s="34"/>
    </row>
    <row r="249" spans="27:35" x14ac:dyDescent="0.3">
      <c r="AA249" s="34"/>
      <c r="AI249" s="34"/>
    </row>
    <row r="250" spans="27:35" x14ac:dyDescent="0.3">
      <c r="AA250" s="34"/>
      <c r="AI250" s="34"/>
    </row>
    <row r="251" spans="27:35" x14ac:dyDescent="0.3">
      <c r="AA251" s="34"/>
      <c r="AI251" s="34"/>
    </row>
    <row r="252" spans="27:35" x14ac:dyDescent="0.3">
      <c r="AA252" s="34"/>
      <c r="AI252" s="34"/>
    </row>
    <row r="253" spans="27:35" x14ac:dyDescent="0.3">
      <c r="AA253" s="34"/>
      <c r="AI253" s="34"/>
    </row>
    <row r="254" spans="27:35" x14ac:dyDescent="0.3">
      <c r="AA254" s="34"/>
      <c r="AI254" s="34"/>
    </row>
    <row r="255" spans="27:35" x14ac:dyDescent="0.3">
      <c r="AA255" s="34"/>
      <c r="AI255" s="34"/>
    </row>
    <row r="256" spans="27:35" x14ac:dyDescent="0.3">
      <c r="AA256" s="34"/>
      <c r="AI256" s="34"/>
    </row>
    <row r="257" spans="27:35" x14ac:dyDescent="0.3">
      <c r="AA257" s="34"/>
      <c r="AI257" s="34"/>
    </row>
    <row r="258" spans="27:35" x14ac:dyDescent="0.3">
      <c r="AA258" s="34"/>
      <c r="AI258" s="34"/>
    </row>
    <row r="259" spans="27:35" x14ac:dyDescent="0.3">
      <c r="AA259" s="34"/>
      <c r="AI259" s="34"/>
    </row>
    <row r="260" spans="27:35" x14ac:dyDescent="0.3">
      <c r="AA260" s="34"/>
      <c r="AI260" s="34"/>
    </row>
    <row r="261" spans="27:35" x14ac:dyDescent="0.3">
      <c r="AA261" s="34"/>
      <c r="AI261" s="34"/>
    </row>
    <row r="262" spans="27:35" x14ac:dyDescent="0.3">
      <c r="AA262" s="34"/>
      <c r="AI262" s="34"/>
    </row>
    <row r="263" spans="27:35" x14ac:dyDescent="0.3">
      <c r="AA263" s="34"/>
      <c r="AI263" s="34"/>
    </row>
    <row r="264" spans="27:35" x14ac:dyDescent="0.3">
      <c r="AA264" s="34"/>
      <c r="AI264" s="34"/>
    </row>
    <row r="265" spans="27:35" x14ac:dyDescent="0.3">
      <c r="AA265" s="34"/>
      <c r="AI265" s="34"/>
    </row>
    <row r="266" spans="27:35" x14ac:dyDescent="0.3">
      <c r="AA266" s="34"/>
      <c r="AI266" s="34"/>
    </row>
    <row r="267" spans="27:35" x14ac:dyDescent="0.3">
      <c r="AA267" s="34"/>
      <c r="AI267" s="34"/>
    </row>
    <row r="268" spans="27:35" x14ac:dyDescent="0.3">
      <c r="AA268" s="34"/>
      <c r="AI268" s="34"/>
    </row>
    <row r="269" spans="27:35" x14ac:dyDescent="0.3">
      <c r="AA269" s="34"/>
      <c r="AI269" s="34"/>
    </row>
    <row r="270" spans="27:35" x14ac:dyDescent="0.3">
      <c r="AA270" s="34"/>
      <c r="AI270" s="34"/>
    </row>
    <row r="271" spans="27:35" x14ac:dyDescent="0.3">
      <c r="AA271" s="34"/>
    </row>
    <row r="272" spans="27:35" x14ac:dyDescent="0.3">
      <c r="AA272" s="34"/>
      <c r="AI272" s="34"/>
    </row>
    <row r="273" spans="27:35" x14ac:dyDescent="0.3">
      <c r="AA273" s="34"/>
      <c r="AI273" s="34"/>
    </row>
    <row r="274" spans="27:35" x14ac:dyDescent="0.3">
      <c r="AA274" s="34"/>
      <c r="AI274" s="34"/>
    </row>
    <row r="275" spans="27:35" x14ac:dyDescent="0.3">
      <c r="AA275" s="34"/>
      <c r="AI275" s="34"/>
    </row>
    <row r="276" spans="27:35" x14ac:dyDescent="0.3">
      <c r="AA276" s="34"/>
      <c r="AI276" s="34"/>
    </row>
    <row r="277" spans="27:35" x14ac:dyDescent="0.3">
      <c r="AA277" s="34"/>
      <c r="AI277" s="34"/>
    </row>
    <row r="278" spans="27:35" x14ac:dyDescent="0.3">
      <c r="AA278" s="34"/>
      <c r="AI278" s="34"/>
    </row>
    <row r="279" spans="27:35" x14ac:dyDescent="0.3">
      <c r="AA279" s="34"/>
      <c r="AI279" s="34"/>
    </row>
    <row r="280" spans="27:35" x14ac:dyDescent="0.3">
      <c r="AA280" s="34"/>
      <c r="AI280" s="34"/>
    </row>
    <row r="281" spans="27:35" x14ac:dyDescent="0.3">
      <c r="AA281" s="34"/>
      <c r="AI281" s="34"/>
    </row>
    <row r="282" spans="27:35" x14ac:dyDescent="0.3">
      <c r="AA282" s="34"/>
      <c r="AI282" s="34"/>
    </row>
    <row r="283" spans="27:35" x14ac:dyDescent="0.3">
      <c r="AA283" s="34"/>
      <c r="AI283" s="34"/>
    </row>
    <row r="284" spans="27:35" x14ac:dyDescent="0.3">
      <c r="AA284" s="34"/>
    </row>
    <row r="285" spans="27:35" x14ac:dyDescent="0.3">
      <c r="AA285" s="34"/>
      <c r="AI285" s="34"/>
    </row>
    <row r="286" spans="27:35" x14ac:dyDescent="0.3">
      <c r="AA286" s="34"/>
      <c r="AI286" s="34"/>
    </row>
    <row r="287" spans="27:35" x14ac:dyDescent="0.3">
      <c r="AA287" s="34"/>
      <c r="AI287" s="34"/>
    </row>
    <row r="288" spans="27:35" x14ac:dyDescent="0.3">
      <c r="AA288" s="34"/>
      <c r="AI288" s="34"/>
    </row>
    <row r="289" spans="27:35" x14ac:dyDescent="0.3">
      <c r="AA289" s="34"/>
      <c r="AI289" s="34"/>
    </row>
    <row r="290" spans="27:35" x14ac:dyDescent="0.3">
      <c r="AA290" s="34"/>
      <c r="AI290" s="34"/>
    </row>
    <row r="291" spans="27:35" x14ac:dyDescent="0.3">
      <c r="AA291" s="34"/>
      <c r="AI291" s="34"/>
    </row>
    <row r="292" spans="27:35" x14ac:dyDescent="0.3">
      <c r="AA292" s="34"/>
      <c r="AI292" s="34"/>
    </row>
    <row r="293" spans="27:35" x14ac:dyDescent="0.3">
      <c r="AA293" s="34"/>
      <c r="AI293" s="34"/>
    </row>
    <row r="294" spans="27:35" x14ac:dyDescent="0.3">
      <c r="AA294" s="34"/>
    </row>
    <row r="295" spans="27:35" x14ac:dyDescent="0.3">
      <c r="AA295" s="34"/>
      <c r="AI295" s="34"/>
    </row>
    <row r="296" spans="27:35" x14ac:dyDescent="0.3">
      <c r="AA296" s="34"/>
      <c r="AI296" s="34"/>
    </row>
    <row r="297" spans="27:35" x14ac:dyDescent="0.3">
      <c r="AA297" s="34"/>
      <c r="AI297" s="34"/>
    </row>
    <row r="298" spans="27:35" x14ac:dyDescent="0.3">
      <c r="AA298" s="34"/>
      <c r="AI298" s="34"/>
    </row>
    <row r="299" spans="27:35" x14ac:dyDescent="0.3">
      <c r="AA299" s="34"/>
      <c r="AI299" s="34"/>
    </row>
    <row r="300" spans="27:35" x14ac:dyDescent="0.3">
      <c r="AA300" s="34"/>
      <c r="AI300" s="34"/>
    </row>
    <row r="301" spans="27:35" x14ac:dyDescent="0.3">
      <c r="AA301" s="34"/>
      <c r="AI301" s="34"/>
    </row>
    <row r="302" spans="27:35" x14ac:dyDescent="0.3">
      <c r="AA302" s="34"/>
      <c r="AI302" s="34"/>
    </row>
    <row r="303" spans="27:35" x14ac:dyDescent="0.3">
      <c r="AA303" s="34"/>
      <c r="AI303" s="34"/>
    </row>
    <row r="304" spans="27:35" x14ac:dyDescent="0.3">
      <c r="AA304" s="34"/>
      <c r="AI304" s="34"/>
    </row>
    <row r="305" spans="27:35" x14ac:dyDescent="0.3">
      <c r="AA305" s="34"/>
      <c r="AI305" s="34"/>
    </row>
    <row r="306" spans="27:35" x14ac:dyDescent="0.3">
      <c r="AA306" s="34"/>
      <c r="AI306" s="34"/>
    </row>
    <row r="307" spans="27:35" x14ac:dyDescent="0.3">
      <c r="AA307" s="34"/>
      <c r="AI307" s="34"/>
    </row>
    <row r="308" spans="27:35" x14ac:dyDescent="0.3">
      <c r="AA308" s="34"/>
      <c r="AI308" s="34"/>
    </row>
    <row r="309" spans="27:35" x14ac:dyDescent="0.3">
      <c r="AA309" s="34"/>
      <c r="AI309" s="34"/>
    </row>
    <row r="310" spans="27:35" x14ac:dyDescent="0.3">
      <c r="AA310" s="34"/>
      <c r="AI310" s="34"/>
    </row>
    <row r="311" spans="27:35" x14ac:dyDescent="0.3">
      <c r="AA311" s="34"/>
      <c r="AI311" s="34"/>
    </row>
    <row r="312" spans="27:35" x14ac:dyDescent="0.3">
      <c r="AA312" s="34"/>
      <c r="AI312" s="34"/>
    </row>
    <row r="313" spans="27:35" x14ac:dyDescent="0.3">
      <c r="AA313" s="34"/>
      <c r="AI313" s="34"/>
    </row>
    <row r="314" spans="27:35" x14ac:dyDescent="0.3">
      <c r="AA314" s="34"/>
      <c r="AI314" s="34"/>
    </row>
    <row r="315" spans="27:35" x14ac:dyDescent="0.3">
      <c r="AA315" s="34"/>
      <c r="AI315" s="34"/>
    </row>
    <row r="316" spans="27:35" x14ac:dyDescent="0.3">
      <c r="AA316" s="34"/>
      <c r="AI316" s="34"/>
    </row>
    <row r="317" spans="27:35" x14ac:dyDescent="0.3">
      <c r="AA317" s="34"/>
      <c r="AI317" s="34"/>
    </row>
    <row r="318" spans="27:35" x14ac:dyDescent="0.3">
      <c r="AA318" s="34"/>
      <c r="AI318" s="34"/>
    </row>
    <row r="319" spans="27:35" x14ac:dyDescent="0.3">
      <c r="AA319" s="34"/>
      <c r="AI319" s="34"/>
    </row>
    <row r="320" spans="27:35" x14ac:dyDescent="0.3">
      <c r="AA320" s="34"/>
      <c r="AI320" s="34"/>
    </row>
    <row r="321" spans="27:35" x14ac:dyDescent="0.3">
      <c r="AA321" s="34"/>
    </row>
    <row r="322" spans="27:35" x14ac:dyDescent="0.3">
      <c r="AA322" s="34"/>
      <c r="AI322" s="34"/>
    </row>
    <row r="323" spans="27:35" x14ac:dyDescent="0.3">
      <c r="AA323" s="34"/>
      <c r="AI323" s="34"/>
    </row>
    <row r="324" spans="27:35" x14ac:dyDescent="0.3">
      <c r="AA324" s="34"/>
      <c r="AI324" s="34"/>
    </row>
    <row r="325" spans="27:35" x14ac:dyDescent="0.3">
      <c r="AA325" s="34"/>
      <c r="AI325" s="34"/>
    </row>
    <row r="326" spans="27:35" x14ac:dyDescent="0.3">
      <c r="AA326" s="34"/>
      <c r="AI326" s="34"/>
    </row>
    <row r="327" spans="27:35" x14ac:dyDescent="0.3">
      <c r="AA327" s="34"/>
      <c r="AI327" s="34"/>
    </row>
    <row r="328" spans="27:35" x14ac:dyDescent="0.3">
      <c r="AA328" s="34"/>
      <c r="AI328" s="34"/>
    </row>
    <row r="329" spans="27:35" x14ac:dyDescent="0.3">
      <c r="AA329" s="34"/>
      <c r="AI329" s="34"/>
    </row>
    <row r="330" spans="27:35" x14ac:dyDescent="0.3">
      <c r="AA330" s="34"/>
      <c r="AI330" s="34"/>
    </row>
    <row r="331" spans="27:35" x14ac:dyDescent="0.3">
      <c r="AA331" s="34"/>
      <c r="AI331" s="34"/>
    </row>
    <row r="332" spans="27:35" x14ac:dyDescent="0.3">
      <c r="AA332" s="34"/>
      <c r="AI332" s="34"/>
    </row>
    <row r="333" spans="27:35" x14ac:dyDescent="0.3">
      <c r="AA333" s="34"/>
      <c r="AI333" s="34"/>
    </row>
    <row r="334" spans="27:35" x14ac:dyDescent="0.3">
      <c r="AA334" s="34"/>
      <c r="AI334" s="34"/>
    </row>
    <row r="335" spans="27:35" x14ac:dyDescent="0.3">
      <c r="AA335" s="34"/>
      <c r="AI335" s="34"/>
    </row>
    <row r="336" spans="27:35" x14ac:dyDescent="0.3">
      <c r="AA336" s="34"/>
    </row>
    <row r="337" spans="27:35" x14ac:dyDescent="0.3">
      <c r="AA337" s="34"/>
      <c r="AI337" s="34"/>
    </row>
    <row r="338" spans="27:35" x14ac:dyDescent="0.3">
      <c r="AA338" s="34"/>
      <c r="AI338" s="34"/>
    </row>
    <row r="339" spans="27:35" x14ac:dyDescent="0.3">
      <c r="AA339" s="34"/>
      <c r="AI339" s="34"/>
    </row>
    <row r="340" spans="27:35" x14ac:dyDescent="0.3">
      <c r="AA340" s="34"/>
      <c r="AI340" s="34"/>
    </row>
    <row r="341" spans="27:35" x14ac:dyDescent="0.3">
      <c r="AA341" s="34"/>
      <c r="AI341" s="34"/>
    </row>
    <row r="342" spans="27:35" x14ac:dyDescent="0.3">
      <c r="AA342" s="34"/>
      <c r="AI342" s="34"/>
    </row>
    <row r="343" spans="27:35" x14ac:dyDescent="0.3">
      <c r="AA343" s="34"/>
      <c r="AI343" s="34"/>
    </row>
    <row r="344" spans="27:35" x14ac:dyDescent="0.3">
      <c r="AA344" s="34"/>
      <c r="AI344" s="34"/>
    </row>
    <row r="345" spans="27:35" x14ac:dyDescent="0.3">
      <c r="AA345" s="34"/>
      <c r="AI345" s="34"/>
    </row>
    <row r="346" spans="27:35" x14ac:dyDescent="0.3">
      <c r="AA346" s="34"/>
      <c r="AI346" s="34"/>
    </row>
    <row r="347" spans="27:35" x14ac:dyDescent="0.3">
      <c r="AA347" s="34"/>
      <c r="AI347" s="34"/>
    </row>
    <row r="348" spans="27:35" x14ac:dyDescent="0.3">
      <c r="AA348" s="34"/>
      <c r="AI348" s="34"/>
    </row>
    <row r="349" spans="27:35" x14ac:dyDescent="0.3">
      <c r="AA349" s="34"/>
    </row>
    <row r="350" spans="27:35" x14ac:dyDescent="0.3">
      <c r="AA350" s="34"/>
      <c r="AI350" s="34"/>
    </row>
    <row r="351" spans="27:35" x14ac:dyDescent="0.3">
      <c r="AA351" s="34"/>
      <c r="AI351" s="34"/>
    </row>
    <row r="352" spans="27:35" x14ac:dyDescent="0.3">
      <c r="AA352" s="34"/>
      <c r="AI352" s="34"/>
    </row>
    <row r="353" spans="27:35" x14ac:dyDescent="0.3">
      <c r="AA353" s="34"/>
      <c r="AI353" s="34"/>
    </row>
    <row r="354" spans="27:35" x14ac:dyDescent="0.3">
      <c r="AA354" s="34"/>
      <c r="AI354" s="34"/>
    </row>
    <row r="355" spans="27:35" x14ac:dyDescent="0.3">
      <c r="AA355" s="34"/>
      <c r="AI355" s="34"/>
    </row>
    <row r="356" spans="27:35" x14ac:dyDescent="0.3">
      <c r="AA356" s="34"/>
      <c r="AI356" s="34"/>
    </row>
    <row r="357" spans="27:35" x14ac:dyDescent="0.3">
      <c r="AA357" s="34"/>
      <c r="AI357" s="34"/>
    </row>
    <row r="358" spans="27:35" x14ac:dyDescent="0.3">
      <c r="AA358" s="34"/>
      <c r="AI358" s="34"/>
    </row>
    <row r="359" spans="27:35" x14ac:dyDescent="0.3">
      <c r="AA359" s="34"/>
      <c r="AI359" s="34"/>
    </row>
    <row r="360" spans="27:35" x14ac:dyDescent="0.3">
      <c r="AA360" s="34"/>
      <c r="AI360" s="34"/>
    </row>
    <row r="361" spans="27:35" x14ac:dyDescent="0.3">
      <c r="AA361" s="34"/>
      <c r="AI361" s="34"/>
    </row>
    <row r="362" spans="27:35" x14ac:dyDescent="0.3">
      <c r="AA362" s="34"/>
      <c r="AI362" s="34"/>
    </row>
    <row r="363" spans="27:35" x14ac:dyDescent="0.3">
      <c r="AA363" s="34"/>
      <c r="AI363" s="34"/>
    </row>
    <row r="364" spans="27:35" x14ac:dyDescent="0.3">
      <c r="AA364" s="34"/>
      <c r="AI364" s="34"/>
    </row>
    <row r="365" spans="27:35" x14ac:dyDescent="0.3">
      <c r="AA365" s="34"/>
      <c r="AI365" s="34"/>
    </row>
    <row r="366" spans="27:35" x14ac:dyDescent="0.3">
      <c r="AA366" s="34"/>
      <c r="AI366" s="34"/>
    </row>
    <row r="367" spans="27:35" x14ac:dyDescent="0.3">
      <c r="AA367" s="34"/>
      <c r="AI367" s="34"/>
    </row>
    <row r="368" spans="27:35" x14ac:dyDescent="0.3">
      <c r="AA368" s="34"/>
      <c r="AI368" s="34"/>
    </row>
    <row r="369" spans="27:35" x14ac:dyDescent="0.3">
      <c r="AA369" s="34"/>
      <c r="AI369" s="34"/>
    </row>
    <row r="370" spans="27:35" x14ac:dyDescent="0.3">
      <c r="AA370" s="34"/>
      <c r="AI370" s="34"/>
    </row>
    <row r="371" spans="27:35" x14ac:dyDescent="0.3">
      <c r="AA371" s="34"/>
      <c r="AI371" s="34"/>
    </row>
    <row r="372" spans="27:35" x14ac:dyDescent="0.3">
      <c r="AA372" s="34"/>
      <c r="AI372" s="34"/>
    </row>
    <row r="373" spans="27:35" x14ac:dyDescent="0.3">
      <c r="AA373" s="34"/>
      <c r="AI373" s="34"/>
    </row>
    <row r="374" spans="27:35" x14ac:dyDescent="0.3">
      <c r="AA374" s="34"/>
      <c r="AI374" s="34"/>
    </row>
    <row r="375" spans="27:35" x14ac:dyDescent="0.3">
      <c r="AA375" s="34"/>
      <c r="AI375" s="34"/>
    </row>
    <row r="376" spans="27:35" x14ac:dyDescent="0.3">
      <c r="AA376" s="34"/>
      <c r="AI376" s="34"/>
    </row>
    <row r="377" spans="27:35" x14ac:dyDescent="0.3">
      <c r="AA377" s="34"/>
      <c r="AI377" s="34"/>
    </row>
    <row r="378" spans="27:35" x14ac:dyDescent="0.3">
      <c r="AA378" s="34"/>
      <c r="AI378" s="34"/>
    </row>
    <row r="379" spans="27:35" x14ac:dyDescent="0.3">
      <c r="AA379" s="34"/>
      <c r="AI379" s="34"/>
    </row>
    <row r="380" spans="27:35" x14ac:dyDescent="0.3">
      <c r="AA380" s="34"/>
      <c r="AI380" s="34"/>
    </row>
    <row r="381" spans="27:35" x14ac:dyDescent="0.3">
      <c r="AA381" s="34"/>
      <c r="AI381" s="34"/>
    </row>
    <row r="382" spans="27:35" x14ac:dyDescent="0.3">
      <c r="AA382" s="34"/>
      <c r="AI382" s="34"/>
    </row>
    <row r="383" spans="27:35" x14ac:dyDescent="0.3">
      <c r="AA383" s="34"/>
      <c r="AI383" s="34"/>
    </row>
    <row r="384" spans="27:35" x14ac:dyDescent="0.3">
      <c r="AA384" s="34"/>
      <c r="AI384" s="34"/>
    </row>
    <row r="385" spans="27:35" x14ac:dyDescent="0.3">
      <c r="AA385" s="34"/>
      <c r="AI385" s="34"/>
    </row>
    <row r="386" spans="27:35" x14ac:dyDescent="0.3">
      <c r="AA386" s="34"/>
      <c r="AI386" s="34"/>
    </row>
    <row r="387" spans="27:35" x14ac:dyDescent="0.3">
      <c r="AA387" s="34"/>
      <c r="AI387" s="34"/>
    </row>
    <row r="388" spans="27:35" x14ac:dyDescent="0.3">
      <c r="AA388" s="34"/>
      <c r="AI388" s="34"/>
    </row>
    <row r="389" spans="27:35" x14ac:dyDescent="0.3">
      <c r="AA389" s="34"/>
      <c r="AI389" s="34"/>
    </row>
    <row r="390" spans="27:35" x14ac:dyDescent="0.3">
      <c r="AA390" s="34"/>
      <c r="AI390" s="34"/>
    </row>
    <row r="391" spans="27:35" x14ac:dyDescent="0.3">
      <c r="AA391" s="34"/>
      <c r="AI391" s="34"/>
    </row>
    <row r="392" spans="27:35" x14ac:dyDescent="0.3">
      <c r="AA392" s="34"/>
      <c r="AI392" s="34"/>
    </row>
    <row r="393" spans="27:35" x14ac:dyDescent="0.3">
      <c r="AA393" s="34"/>
    </row>
    <row r="394" spans="27:35" x14ac:dyDescent="0.3">
      <c r="AA394" s="34"/>
      <c r="AI394" s="34"/>
    </row>
    <row r="395" spans="27:35" x14ac:dyDescent="0.3">
      <c r="AA395" s="34"/>
    </row>
    <row r="396" spans="27:35" x14ac:dyDescent="0.3">
      <c r="AA396" s="34"/>
    </row>
    <row r="397" spans="27:35" x14ac:dyDescent="0.3">
      <c r="AA397" s="34"/>
    </row>
    <row r="398" spans="27:35" x14ac:dyDescent="0.3">
      <c r="AA398" s="34"/>
    </row>
    <row r="399" spans="27:35" x14ac:dyDescent="0.3">
      <c r="AA399" s="3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/>
  </sheetPr>
  <dimension ref="A1:CB19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RowHeight="14.4" x14ac:dyDescent="0.3"/>
  <cols>
    <col min="1" max="1" width="13.109375" customWidth="1"/>
    <col min="2" max="2" width="8.88671875" style="28" bestFit="1" customWidth="1"/>
    <col min="3" max="3" width="8.109375" style="28" customWidth="1"/>
    <col min="4" max="4" width="7.88671875" style="28" customWidth="1"/>
    <col min="5" max="5" width="8.33203125" style="30" customWidth="1"/>
    <col min="6" max="6" width="7.5546875" style="29" customWidth="1"/>
    <col min="7" max="7" width="5.33203125" style="30" customWidth="1"/>
    <col min="8" max="8" width="3.44140625" style="37" customWidth="1"/>
    <col min="9" max="9" width="6.6640625" customWidth="1"/>
    <col min="10" max="10" width="8.33203125" style="14" customWidth="1"/>
    <col min="11" max="11" width="7.109375" customWidth="1"/>
    <col min="12" max="12" width="5.109375" style="10" customWidth="1"/>
    <col min="13" max="13" width="4.88671875" style="13" customWidth="1"/>
    <col min="14" max="14" width="8.109375" style="10" customWidth="1"/>
    <col min="15" max="15" width="7.109375" style="10" customWidth="1"/>
    <col min="16" max="16" width="7.6640625" style="10" customWidth="1"/>
    <col min="17" max="17" width="6.109375" style="14" customWidth="1"/>
    <col min="18" max="18" width="5.109375" customWidth="1"/>
    <col min="19" max="19" width="9.109375" customWidth="1"/>
    <col min="20" max="20" width="7.5546875" style="10" customWidth="1"/>
    <col min="21" max="21" width="6.33203125" style="40" customWidth="1"/>
    <col min="22" max="22" width="6.109375" style="10" customWidth="1"/>
    <col min="23" max="23" width="2.44140625" style="12" customWidth="1"/>
    <col min="24" max="24" width="6.44140625" style="12" customWidth="1"/>
    <col min="25" max="25" width="4.109375" style="12" customWidth="1"/>
    <col min="26" max="26" width="12.5546875" style="12" customWidth="1"/>
    <col min="27" max="27" width="10.88671875" style="12" customWidth="1"/>
    <col min="28" max="28" width="7.44140625" style="12" customWidth="1"/>
    <col min="29" max="29" width="8.109375" customWidth="1"/>
    <col min="30" max="30" width="7.33203125" style="12" customWidth="1"/>
    <col min="31" max="31" width="10" style="12" customWidth="1"/>
    <col min="32" max="32" width="8.88671875" style="12" customWidth="1"/>
    <col min="33" max="33" width="6.6640625" style="12" customWidth="1"/>
    <col min="34" max="34" width="8.5546875" style="12" customWidth="1"/>
    <col min="35" max="35" width="11" customWidth="1"/>
    <col min="36" max="36" width="9.33203125" customWidth="1"/>
    <col min="37" max="37" width="4.6640625" customWidth="1"/>
    <col min="38" max="38" width="6.44140625" customWidth="1"/>
    <col min="39" max="39" width="3.88671875" customWidth="1"/>
    <col min="40" max="40" width="3.88671875" style="5" customWidth="1"/>
    <col min="41" max="49" width="3.88671875" style="12" customWidth="1"/>
    <col min="50" max="50" width="3.44140625" customWidth="1"/>
    <col min="51" max="51" width="3.6640625" customWidth="1"/>
    <col min="52" max="52" width="3.33203125" style="12" customWidth="1"/>
    <col min="53" max="53" width="10.6640625" customWidth="1"/>
    <col min="54" max="57" width="11.88671875" customWidth="1"/>
    <col min="58" max="60" width="9.5546875" bestFit="1" customWidth="1"/>
    <col min="61" max="61" width="9.5546875" customWidth="1"/>
    <col min="62" max="62" width="9.5546875" bestFit="1" customWidth="1"/>
  </cols>
  <sheetData>
    <row r="1" spans="1:80" ht="39" customHeight="1" x14ac:dyDescent="0.3">
      <c r="A1" s="46" t="s">
        <v>7</v>
      </c>
      <c r="B1" s="47" t="s">
        <v>8</v>
      </c>
      <c r="C1" s="47" t="s">
        <v>9</v>
      </c>
      <c r="D1" s="47" t="s">
        <v>10</v>
      </c>
      <c r="E1" s="47" t="s">
        <v>11</v>
      </c>
      <c r="F1" s="48">
        <v>3.0000000000000001E-3</v>
      </c>
      <c r="G1" s="51"/>
      <c r="H1" s="49"/>
      <c r="I1" s="38" t="s">
        <v>811</v>
      </c>
      <c r="J1" s="31" t="s">
        <v>812</v>
      </c>
      <c r="K1" s="31"/>
      <c r="L1" s="52" t="s">
        <v>12</v>
      </c>
      <c r="M1" s="21" t="s">
        <v>813</v>
      </c>
      <c r="N1" s="21" t="s">
        <v>814</v>
      </c>
      <c r="O1" s="21" t="s">
        <v>815</v>
      </c>
      <c r="P1" s="21" t="s">
        <v>816</v>
      </c>
      <c r="Q1" s="21" t="s">
        <v>817</v>
      </c>
      <c r="R1" s="45" t="s">
        <v>818</v>
      </c>
      <c r="S1" s="44" t="s">
        <v>819</v>
      </c>
      <c r="T1" s="44" t="s">
        <v>820</v>
      </c>
      <c r="U1" s="50" t="s">
        <v>13</v>
      </c>
      <c r="V1" s="50" t="s">
        <v>14</v>
      </c>
      <c r="W1" s="39" t="e">
        <f>SUM(W2:W188)</f>
        <v>#VALUE!</v>
      </c>
      <c r="X1" s="55">
        <f>SUM(X2:X188)</f>
        <v>0</v>
      </c>
      <c r="Y1" s="20">
        <f>SUM(P2:P188)</f>
        <v>0</v>
      </c>
      <c r="Z1" s="62">
        <v>0.67268518518518516</v>
      </c>
      <c r="AA1" s="24" t="s">
        <v>7</v>
      </c>
      <c r="AB1" s="53">
        <v>45442.631944444445</v>
      </c>
      <c r="AC1" s="53">
        <v>45442.635416666664</v>
      </c>
      <c r="AD1" s="43">
        <v>45442.638888888891</v>
      </c>
      <c r="AE1" s="43">
        <v>45442.642361111109</v>
      </c>
      <c r="AF1" s="23" t="s">
        <v>15</v>
      </c>
      <c r="AG1" s="23" t="s">
        <v>16</v>
      </c>
      <c r="AH1" s="23" t="s">
        <v>17</v>
      </c>
      <c r="AI1" s="22" t="s">
        <v>18</v>
      </c>
      <c r="AJ1" s="22" t="s">
        <v>19</v>
      </c>
      <c r="AK1" s="25">
        <f>COUNTIF(AK2:AK190,"sell")</f>
        <v>154</v>
      </c>
      <c r="AL1" s="16">
        <f>BL1</f>
        <v>8</v>
      </c>
      <c r="AM1" s="57"/>
      <c r="AN1" s="58"/>
      <c r="AO1" s="58"/>
      <c r="AP1" s="58"/>
      <c r="AQ1" s="59"/>
      <c r="AR1" s="60"/>
      <c r="AS1" s="61"/>
      <c r="AT1" s="61"/>
      <c r="AU1" s="61"/>
      <c r="AV1" s="61"/>
      <c r="AW1" s="42"/>
      <c r="BA1" s="13" t="s">
        <v>7</v>
      </c>
      <c r="BB1" s="56">
        <v>45434.385416666664</v>
      </c>
      <c r="BC1" s="56">
        <v>45435.385416666664</v>
      </c>
      <c r="BD1" s="56">
        <v>45436.385416666664</v>
      </c>
      <c r="BE1" s="56">
        <v>45439.385416666664</v>
      </c>
      <c r="BF1" s="56">
        <v>45440.385416666664</v>
      </c>
      <c r="BG1" s="56">
        <v>45441.385416666664</v>
      </c>
      <c r="BH1" s="56">
        <v>45442.385416666664</v>
      </c>
      <c r="BI1" s="56">
        <v>45443.385416666664</v>
      </c>
      <c r="BJ1" s="56" t="s">
        <v>15</v>
      </c>
      <c r="BK1" s="13" t="s">
        <v>20</v>
      </c>
      <c r="BL1" s="13">
        <f>COUNTIF(BK2:BK190,"Pivot sell")</f>
        <v>8</v>
      </c>
      <c r="BM1" s="13" t="s">
        <v>20</v>
      </c>
      <c r="BN1" s="13" t="s">
        <v>7</v>
      </c>
      <c r="BO1" s="56">
        <v>45390.385416666664</v>
      </c>
      <c r="BP1" s="56">
        <v>45397.385416666664</v>
      </c>
      <c r="BQ1" s="56">
        <v>45404.385416666664</v>
      </c>
      <c r="BR1" s="56">
        <v>45411.385416666664</v>
      </c>
      <c r="BS1" s="56">
        <v>45418.385416666664</v>
      </c>
      <c r="BT1" s="56">
        <v>45425.385416666664</v>
      </c>
      <c r="BU1" s="56">
        <v>45433.385416666664</v>
      </c>
      <c r="BV1" s="56">
        <v>45439.385416666664</v>
      </c>
      <c r="BW1" s="56" t="s">
        <v>15</v>
      </c>
      <c r="BX1" s="13" t="s">
        <v>20</v>
      </c>
      <c r="BY1" s="13">
        <f>COUNTIF(BX2:BX190,"Pivot sell")</f>
        <v>56</v>
      </c>
      <c r="BZ1" s="13" t="s">
        <v>21</v>
      </c>
    </row>
    <row r="2" spans="1:80" x14ac:dyDescent="0.3">
      <c r="A2" t="s">
        <v>22</v>
      </c>
      <c r="B2" s="11">
        <v>479</v>
      </c>
      <c r="C2" s="11">
        <v>493.95</v>
      </c>
      <c r="D2" s="11">
        <v>457.2</v>
      </c>
      <c r="E2" s="15">
        <v>470</v>
      </c>
      <c r="F2" s="11"/>
      <c r="G2" s="11"/>
      <c r="H2" s="36"/>
      <c r="I2" s="11">
        <v>664</v>
      </c>
      <c r="J2" s="11">
        <v>552</v>
      </c>
      <c r="K2" s="15">
        <v>611.65</v>
      </c>
      <c r="L2" s="10">
        <v>1</v>
      </c>
      <c r="M2" s="10" t="s">
        <v>836</v>
      </c>
      <c r="N2" s="10" t="s">
        <v>837</v>
      </c>
      <c r="O2" s="10" t="s">
        <v>836</v>
      </c>
      <c r="P2" s="10" t="s">
        <v>837</v>
      </c>
      <c r="Q2" s="10" t="s">
        <v>822</v>
      </c>
      <c r="R2" s="10"/>
      <c r="S2" s="10" t="s">
        <v>822</v>
      </c>
      <c r="T2" s="10" t="s">
        <v>837</v>
      </c>
      <c r="U2" s="10" t="s">
        <v>836</v>
      </c>
      <c r="V2" s="10" t="s">
        <v>836</v>
      </c>
      <c r="W2" s="40" t="e">
        <f>IF(AND(N2&lt;&gt;"", OR(P2&lt;&gt;"", N2-E2)), IF(P2&gt;1, N2-P2, N2-E2), "")</f>
        <v>#VALUE!</v>
      </c>
      <c r="X2" s="12" t="str">
        <f>IF(S2="sell",#REF!-E2,"")</f>
        <v/>
      </c>
      <c r="AA2" s="12" t="s">
        <v>23</v>
      </c>
      <c r="AB2" s="12">
        <v>611.04999999999995</v>
      </c>
      <c r="AC2">
        <v>609.82500000000005</v>
      </c>
      <c r="AD2" s="12">
        <v>611.07500000000005</v>
      </c>
      <c r="AE2" s="12">
        <v>613.34999999999991</v>
      </c>
      <c r="AF2" s="12">
        <f>IF(I2="",(C2+D2)/2,(I2+J2)/2)</f>
        <v>608</v>
      </c>
      <c r="AG2" s="12">
        <f>STDEVP(AB2:AF2)</f>
        <v>1.7511853128666559</v>
      </c>
      <c r="AH2" s="12">
        <f>AVERAGE(AB2:AF2)</f>
        <v>610.66000000000008</v>
      </c>
      <c r="AI2" s="12">
        <f>AH2+(AG2*2)</f>
        <v>614.16237062573339</v>
      </c>
      <c r="AJ2" s="12">
        <f>AH2-(AG2*2)</f>
        <v>607.15762937426678</v>
      </c>
      <c r="AK2" t="str">
        <f>IF(AND(AC2&gt;1,B2&gt;=AI2),"sell","")</f>
        <v/>
      </c>
      <c r="BA2" t="s">
        <v>23</v>
      </c>
      <c r="BB2" s="5">
        <v>633.75</v>
      </c>
      <c r="BC2" s="5">
        <v>632.95001000000002</v>
      </c>
      <c r="BD2" s="5">
        <v>656</v>
      </c>
      <c r="BE2" s="5">
        <v>625.79998999999998</v>
      </c>
      <c r="BF2" s="5">
        <v>632.5</v>
      </c>
      <c r="BG2" s="5">
        <v>633.65002000000004</v>
      </c>
      <c r="BH2" s="5">
        <v>627.95001000000002</v>
      </c>
      <c r="BI2" s="5">
        <v>619.79998999999998</v>
      </c>
      <c r="BJ2" s="5">
        <f>C2</f>
        <v>493.95</v>
      </c>
      <c r="BK2" t="str">
        <f>IF(AND(BH2&gt;MAX(BB2:BG2), BH2&gt;MAX(BJ2)), "Pivot sell", "")</f>
        <v/>
      </c>
      <c r="BM2" t="s">
        <v>24</v>
      </c>
      <c r="BN2" t="s">
        <v>23</v>
      </c>
      <c r="BO2">
        <v>753.90002000000004</v>
      </c>
      <c r="BP2">
        <v>762.79998999999998</v>
      </c>
      <c r="BQ2">
        <v>760</v>
      </c>
      <c r="BR2">
        <v>769.25</v>
      </c>
      <c r="BS2">
        <v>753.75</v>
      </c>
      <c r="BT2">
        <v>678.20001000000002</v>
      </c>
      <c r="BU2">
        <v>656</v>
      </c>
      <c r="BV2">
        <v>633.65002000000004</v>
      </c>
      <c r="BW2" s="5">
        <f>IF(C2&gt;BV2,C2,BV2)</f>
        <v>633.65002000000004</v>
      </c>
      <c r="BX2" t="str">
        <f t="shared" ref="BX2:BX33" si="0">IF(AND(BU2&gt;MAX(BO2:BT2), BU2&gt;MAX(BW2)), "Pivot sell", "")</f>
        <v/>
      </c>
      <c r="BZ2" t="str">
        <f t="shared" ref="BZ2:BZ65" si="1">IF(AND(BK2="Pivot sell",BX2="Pivot sell"), "ok", "")</f>
        <v/>
      </c>
      <c r="CB2" s="54"/>
    </row>
    <row r="3" spans="1:80" x14ac:dyDescent="0.3">
      <c r="B3" s="11" t="s">
        <v>821</v>
      </c>
      <c r="C3" s="11" t="s">
        <v>821</v>
      </c>
      <c r="D3" s="11" t="s">
        <v>821</v>
      </c>
      <c r="E3" s="15" t="s">
        <v>821</v>
      </c>
      <c r="F3" s="11"/>
      <c r="G3" s="11"/>
      <c r="H3" s="36"/>
      <c r="I3" s="11">
        <v>9140</v>
      </c>
      <c r="J3" s="11">
        <v>7486.15</v>
      </c>
      <c r="K3" s="15">
        <v>8317.9500000000007</v>
      </c>
      <c r="L3" s="10">
        <v>1</v>
      </c>
      <c r="M3" s="10" t="s">
        <v>836</v>
      </c>
      <c r="N3" s="10" t="s">
        <v>837</v>
      </c>
      <c r="O3" s="10" t="s">
        <v>836</v>
      </c>
      <c r="Q3" s="10" t="s">
        <v>822</v>
      </c>
      <c r="R3" s="10"/>
      <c r="S3" s="10" t="s">
        <v>822</v>
      </c>
      <c r="U3" s="10" t="s">
        <v>836</v>
      </c>
      <c r="V3" s="10" t="s">
        <v>836</v>
      </c>
      <c r="W3" s="40" t="e">
        <f t="shared" ref="W3:W66" si="2">IF(AND(N3&lt;&gt;"", OR(P3&lt;&gt;"", N3-E3)), IF(P3&gt;1, N3-P3, N3-E3), "")</f>
        <v>#VALUE!</v>
      </c>
      <c r="X3" s="12" t="str">
        <f>IF(S3="sell",#REF!-E3,"")</f>
        <v/>
      </c>
      <c r="AA3" s="12" t="s">
        <v>26</v>
      </c>
      <c r="AB3" s="12">
        <v>8262.7250000000004</v>
      </c>
      <c r="AC3">
        <v>8253.9750000000004</v>
      </c>
      <c r="AD3" s="12">
        <v>8275.25</v>
      </c>
      <c r="AE3" s="12">
        <v>8265.875</v>
      </c>
      <c r="AF3" s="12">
        <f t="shared" ref="AF3:AF66" si="3">IF(I3="",(C3+D3)/2,(I3+J3)/2)</f>
        <v>8313.0750000000007</v>
      </c>
      <c r="AG3" s="12">
        <f t="shared" ref="AG3:AG66" si="4">STDEVP(AB3:AF3)</f>
        <v>20.602902708113891</v>
      </c>
      <c r="AH3" s="12">
        <f t="shared" ref="AH3:AH66" si="5">AVERAGE(AB3:AF3)</f>
        <v>8274.1799999999985</v>
      </c>
      <c r="AI3" s="12">
        <f t="shared" ref="AI3:AI66" si="6">AH3+(AG3*2)</f>
        <v>8315.3858054162265</v>
      </c>
      <c r="AJ3" s="12">
        <f t="shared" ref="AJ3:AJ66" si="7">AH3-(AG3*2)</f>
        <v>8232.9741945837704</v>
      </c>
      <c r="AK3" t="str">
        <f t="shared" ref="AK3:AK66" si="8">IF(AND(AC3&gt;1,B3&gt;=AI3),"sell","")</f>
        <v>sell</v>
      </c>
      <c r="BA3" t="s">
        <v>26</v>
      </c>
      <c r="BB3" s="5">
        <v>8590</v>
      </c>
      <c r="BC3" s="5">
        <v>8490</v>
      </c>
      <c r="BD3" s="5">
        <v>8508.75</v>
      </c>
      <c r="BE3" s="5">
        <v>8470</v>
      </c>
      <c r="BF3" s="5">
        <v>8374.7001999999993</v>
      </c>
      <c r="BG3" s="5">
        <v>8248.4501999999993</v>
      </c>
      <c r="BH3" s="5">
        <v>8291.6504000000004</v>
      </c>
      <c r="BI3" s="5">
        <v>8351</v>
      </c>
      <c r="BJ3" s="5" t="str">
        <f t="shared" ref="BJ3:BJ66" si="9">C3</f>
        <v>-</v>
      </c>
      <c r="BK3" t="str">
        <f t="shared" ref="BK3:BK66" si="10">IF(AND(BH3&gt;MAX(BB3:BG3), BH3&gt;MAX(BJ3)), "Pivot sell", "")</f>
        <v/>
      </c>
      <c r="BM3" t="s">
        <v>24</v>
      </c>
      <c r="BN3" t="s">
        <v>26</v>
      </c>
      <c r="BO3">
        <v>6773.1000999999997</v>
      </c>
      <c r="BP3">
        <v>6729.0497999999998</v>
      </c>
      <c r="BQ3">
        <v>6569.7997999999998</v>
      </c>
      <c r="BR3">
        <v>6790</v>
      </c>
      <c r="BS3">
        <v>7218</v>
      </c>
      <c r="BT3">
        <v>8442.4004000000004</v>
      </c>
      <c r="BU3">
        <v>8599.7998000000007</v>
      </c>
      <c r="BV3">
        <v>8470</v>
      </c>
      <c r="BW3" s="5" t="str">
        <f t="shared" ref="BW3:BW66" si="11">IF(C3&gt;BV3,C3,BV3)</f>
        <v>-</v>
      </c>
      <c r="BX3" t="str">
        <f t="shared" si="0"/>
        <v>Pivot sell</v>
      </c>
      <c r="BZ3" t="str">
        <f t="shared" si="1"/>
        <v/>
      </c>
    </row>
    <row r="4" spans="1:80" x14ac:dyDescent="0.3">
      <c r="A4" t="s">
        <v>378</v>
      </c>
      <c r="B4" s="11">
        <v>210</v>
      </c>
      <c r="C4" s="11">
        <v>216</v>
      </c>
      <c r="D4" s="11">
        <v>188.5</v>
      </c>
      <c r="E4" s="15">
        <v>199.37</v>
      </c>
      <c r="F4" s="11"/>
      <c r="G4" s="11"/>
      <c r="H4" s="36"/>
      <c r="I4" s="11">
        <v>28460</v>
      </c>
      <c r="J4" s="11">
        <v>23300</v>
      </c>
      <c r="K4" s="15">
        <v>25887.75</v>
      </c>
      <c r="L4" s="10">
        <v>1</v>
      </c>
      <c r="M4" s="10" t="s">
        <v>836</v>
      </c>
      <c r="N4" s="10" t="s">
        <v>837</v>
      </c>
      <c r="O4" s="10" t="s">
        <v>836</v>
      </c>
      <c r="P4" s="10" t="s">
        <v>837</v>
      </c>
      <c r="Q4" s="10" t="s">
        <v>822</v>
      </c>
      <c r="R4" s="10"/>
      <c r="S4" s="10" t="s">
        <v>822</v>
      </c>
      <c r="T4" s="10" t="s">
        <v>837</v>
      </c>
      <c r="U4" s="10" t="s">
        <v>836</v>
      </c>
      <c r="V4" s="10" t="s">
        <v>836</v>
      </c>
      <c r="W4" s="40" t="e">
        <f t="shared" si="2"/>
        <v>#VALUE!</v>
      </c>
      <c r="X4" s="12" t="str">
        <f>IF(S4="sell",#REF!-E4,"")</f>
        <v/>
      </c>
      <c r="AA4" s="12" t="s">
        <v>28</v>
      </c>
      <c r="AB4" s="12">
        <v>26017.724999999999</v>
      </c>
      <c r="AC4">
        <v>25965.95</v>
      </c>
      <c r="AD4" s="12">
        <v>25968.724999999999</v>
      </c>
      <c r="AE4" s="12">
        <v>25909.599999999999</v>
      </c>
      <c r="AF4" s="12">
        <f t="shared" si="3"/>
        <v>25880</v>
      </c>
      <c r="AG4" s="12">
        <f t="shared" si="4"/>
        <v>48.396412573660619</v>
      </c>
      <c r="AH4" s="12">
        <f t="shared" si="5"/>
        <v>25948.400000000001</v>
      </c>
      <c r="AI4" s="12">
        <f t="shared" si="6"/>
        <v>26045.192825147322</v>
      </c>
      <c r="AJ4" s="12">
        <f t="shared" si="7"/>
        <v>25851.607174852681</v>
      </c>
      <c r="AK4" t="str">
        <f>IF(AND(AC4&gt;1,B4&gt;=AI4),"sell","")</f>
        <v/>
      </c>
      <c r="BA4" t="s">
        <v>28</v>
      </c>
      <c r="BB4" s="5">
        <v>26465.15</v>
      </c>
      <c r="BC4" s="5">
        <v>26278.550999999999</v>
      </c>
      <c r="BD4" s="5">
        <v>26347.199000000001</v>
      </c>
      <c r="BE4" s="5">
        <v>26555</v>
      </c>
      <c r="BF4" s="5">
        <v>26323.65</v>
      </c>
      <c r="BG4" s="5">
        <v>26373</v>
      </c>
      <c r="BH4" s="5">
        <v>26251</v>
      </c>
      <c r="BI4" s="5">
        <v>26038.199000000001</v>
      </c>
      <c r="BJ4" s="5">
        <f t="shared" si="9"/>
        <v>216</v>
      </c>
      <c r="BK4" t="str">
        <f t="shared" si="10"/>
        <v/>
      </c>
      <c r="BM4" t="s">
        <v>24</v>
      </c>
      <c r="BN4" t="s">
        <v>28</v>
      </c>
      <c r="BO4">
        <v>27275</v>
      </c>
      <c r="BP4">
        <v>26499.949000000001</v>
      </c>
      <c r="BQ4">
        <v>26578.800999999999</v>
      </c>
      <c r="BR4">
        <v>26849.949000000001</v>
      </c>
      <c r="BS4">
        <v>26800</v>
      </c>
      <c r="BT4">
        <v>27216.5</v>
      </c>
      <c r="BU4">
        <v>26755</v>
      </c>
      <c r="BV4">
        <v>26555</v>
      </c>
      <c r="BW4" s="5">
        <f t="shared" si="11"/>
        <v>26555</v>
      </c>
      <c r="BX4" t="str">
        <f t="shared" si="0"/>
        <v/>
      </c>
      <c r="BZ4" t="str">
        <f t="shared" si="1"/>
        <v/>
      </c>
    </row>
    <row r="5" spans="1:80" x14ac:dyDescent="0.3">
      <c r="A5" t="s">
        <v>838</v>
      </c>
      <c r="B5" s="11">
        <v>1329.8</v>
      </c>
      <c r="C5" s="11">
        <v>1595.7</v>
      </c>
      <c r="D5" s="11">
        <v>1063.9000000000001</v>
      </c>
      <c r="E5" s="15">
        <v>1595</v>
      </c>
      <c r="F5" s="11"/>
      <c r="G5" s="11"/>
      <c r="H5" s="36"/>
      <c r="I5" s="11">
        <v>243</v>
      </c>
      <c r="J5" s="11">
        <v>210</v>
      </c>
      <c r="K5" s="15">
        <v>223.85</v>
      </c>
      <c r="L5" s="10">
        <v>1</v>
      </c>
      <c r="M5" s="10" t="s">
        <v>836</v>
      </c>
      <c r="N5" s="10" t="s">
        <v>837</v>
      </c>
      <c r="O5" s="10" t="s">
        <v>836</v>
      </c>
      <c r="P5" s="10" t="s">
        <v>837</v>
      </c>
      <c r="Q5" s="10" t="s">
        <v>836</v>
      </c>
      <c r="R5" s="10" t="s">
        <v>837</v>
      </c>
      <c r="S5" s="10" t="s">
        <v>822</v>
      </c>
      <c r="T5" s="10" t="s">
        <v>837</v>
      </c>
      <c r="W5" s="40" t="e">
        <f t="shared" si="2"/>
        <v>#VALUE!</v>
      </c>
      <c r="X5" s="12" t="str">
        <f>IF(S5="sell",#REF!-E5,"")</f>
        <v/>
      </c>
      <c r="AA5" s="12" t="s">
        <v>30</v>
      </c>
      <c r="AB5" s="12">
        <v>221.6</v>
      </c>
      <c r="AC5">
        <v>220.875</v>
      </c>
      <c r="AD5" s="12">
        <v>221.02500000000001</v>
      </c>
      <c r="AE5" s="12">
        <v>221.57499999999999</v>
      </c>
      <c r="AF5" s="12">
        <f t="shared" si="3"/>
        <v>226.5</v>
      </c>
      <c r="AG5" s="12">
        <f t="shared" si="4"/>
        <v>2.1123801741163928</v>
      </c>
      <c r="AH5" s="12">
        <f t="shared" si="5"/>
        <v>222.315</v>
      </c>
      <c r="AI5" s="12">
        <f t="shared" si="6"/>
        <v>226.53976034823279</v>
      </c>
      <c r="AJ5" s="12">
        <f t="shared" si="7"/>
        <v>218.09023965176721</v>
      </c>
      <c r="AK5" t="str">
        <f t="shared" si="8"/>
        <v>sell</v>
      </c>
      <c r="BA5" t="s">
        <v>30</v>
      </c>
      <c r="BB5" s="5">
        <v>227.35001</v>
      </c>
      <c r="BC5" s="5">
        <v>227.8</v>
      </c>
      <c r="BD5" s="5">
        <v>231.10001</v>
      </c>
      <c r="BE5" s="5">
        <v>234</v>
      </c>
      <c r="BF5" s="5">
        <v>234.2</v>
      </c>
      <c r="BG5" s="5">
        <v>228.8</v>
      </c>
      <c r="BH5" s="5">
        <v>226.7</v>
      </c>
      <c r="BI5" s="5">
        <v>225.89999</v>
      </c>
      <c r="BJ5" s="5">
        <f t="shared" si="9"/>
        <v>1595.7</v>
      </c>
      <c r="BK5" t="str">
        <f t="shared" si="10"/>
        <v/>
      </c>
      <c r="BM5" t="s">
        <v>24</v>
      </c>
      <c r="BN5" t="s">
        <v>30</v>
      </c>
      <c r="BO5">
        <v>208.2</v>
      </c>
      <c r="BP5">
        <v>211</v>
      </c>
      <c r="BQ5">
        <v>236.95</v>
      </c>
      <c r="BR5">
        <v>243.7</v>
      </c>
      <c r="BS5">
        <v>232.89999</v>
      </c>
      <c r="BT5">
        <v>229.45</v>
      </c>
      <c r="BU5">
        <v>231.10001</v>
      </c>
      <c r="BV5">
        <v>234.2</v>
      </c>
      <c r="BW5" s="5">
        <f t="shared" si="11"/>
        <v>1595.7</v>
      </c>
      <c r="BX5" t="str">
        <f t="shared" si="0"/>
        <v/>
      </c>
      <c r="BZ5" t="str">
        <f t="shared" si="1"/>
        <v/>
      </c>
    </row>
    <row r="6" spans="1:80" x14ac:dyDescent="0.3">
      <c r="B6" s="11" t="s">
        <v>821</v>
      </c>
      <c r="C6" s="11" t="s">
        <v>821</v>
      </c>
      <c r="D6" s="11" t="s">
        <v>821</v>
      </c>
      <c r="E6" s="15" t="s">
        <v>821</v>
      </c>
      <c r="F6" s="11"/>
      <c r="G6" s="11"/>
      <c r="H6" s="36"/>
      <c r="I6" s="11">
        <v>315</v>
      </c>
      <c r="J6" s="11">
        <v>270</v>
      </c>
      <c r="K6" s="15">
        <v>287.64</v>
      </c>
      <c r="L6" s="10">
        <v>1</v>
      </c>
      <c r="M6" s="12" t="str">
        <f>IFERROR(IF(AND(#REF!="sell",B6&gt;=AI6),"sell",""),"")</f>
        <v/>
      </c>
      <c r="O6" s="10" t="str">
        <f>IFERROR(IF(AND(#REF!="equal",C6&gt;AI6,#REF!="overbought"),"sell",""),"")</f>
        <v/>
      </c>
      <c r="S6" s="66"/>
      <c r="W6" s="40" t="e">
        <f t="shared" si="2"/>
        <v>#VALUE!</v>
      </c>
      <c r="X6" s="12" t="str">
        <f>IF(S6="sell",#REF!-E6,"")</f>
        <v/>
      </c>
      <c r="AA6" s="12" t="s">
        <v>32</v>
      </c>
      <c r="AB6" s="12">
        <v>296.82500000000005</v>
      </c>
      <c r="AC6">
        <v>294.17500000000001</v>
      </c>
      <c r="AD6" s="12">
        <v>291.45</v>
      </c>
      <c r="AE6" s="12">
        <v>289.97500000000002</v>
      </c>
      <c r="AF6" s="12">
        <f t="shared" si="3"/>
        <v>292.5</v>
      </c>
      <c r="AG6" s="12">
        <f t="shared" si="4"/>
        <v>2.3585270827361842</v>
      </c>
      <c r="AH6" s="12">
        <f t="shared" si="5"/>
        <v>292.98500000000001</v>
      </c>
      <c r="AI6" s="12">
        <f t="shared" si="6"/>
        <v>297.70205416547236</v>
      </c>
      <c r="AJ6" s="12">
        <f t="shared" si="7"/>
        <v>288.26794583452767</v>
      </c>
      <c r="AK6" t="str">
        <f t="shared" si="8"/>
        <v>sell</v>
      </c>
      <c r="BA6" t="s">
        <v>32</v>
      </c>
      <c r="BB6" s="5">
        <v>288.25</v>
      </c>
      <c r="BC6" s="5">
        <v>283</v>
      </c>
      <c r="BD6" s="5">
        <v>291.95001000000002</v>
      </c>
      <c r="BE6" s="5">
        <v>293.39999</v>
      </c>
      <c r="BF6" s="5">
        <v>297.79998999999998</v>
      </c>
      <c r="BG6" s="5">
        <v>301</v>
      </c>
      <c r="BH6" s="5">
        <v>304.25</v>
      </c>
      <c r="BI6" s="5">
        <v>299.89999</v>
      </c>
      <c r="BJ6" s="5" t="str">
        <f t="shared" si="9"/>
        <v>-</v>
      </c>
      <c r="BK6" t="str">
        <f>IF(AND(BH6&gt;MAX(BB6:BG6), BH6&gt;MAX(BJ6)), "Pivot sell", "")</f>
        <v>Pivot sell</v>
      </c>
      <c r="BM6" t="s">
        <v>33</v>
      </c>
      <c r="BN6" t="s">
        <v>32</v>
      </c>
      <c r="BO6">
        <v>244.5</v>
      </c>
      <c r="BP6">
        <v>237.5</v>
      </c>
      <c r="BQ6">
        <v>276.95001000000002</v>
      </c>
      <c r="BR6">
        <v>274.39999</v>
      </c>
      <c r="BS6">
        <v>259.29998999999998</v>
      </c>
      <c r="BT6">
        <v>268.14999</v>
      </c>
      <c r="BU6">
        <v>291.95001000000002</v>
      </c>
      <c r="BV6">
        <v>304.25</v>
      </c>
      <c r="BW6" s="5" t="str">
        <f t="shared" si="11"/>
        <v>-</v>
      </c>
      <c r="BX6" t="str">
        <f t="shared" si="0"/>
        <v>Pivot sell</v>
      </c>
      <c r="BZ6" t="str">
        <f t="shared" si="1"/>
        <v>ok</v>
      </c>
    </row>
    <row r="7" spans="1:80" x14ac:dyDescent="0.3">
      <c r="B7" s="11" t="s">
        <v>821</v>
      </c>
      <c r="C7" s="11" t="s">
        <v>821</v>
      </c>
      <c r="D7" s="11" t="s">
        <v>821</v>
      </c>
      <c r="E7" s="15" t="s">
        <v>821</v>
      </c>
      <c r="F7" s="11"/>
      <c r="G7" s="11"/>
      <c r="H7" s="36"/>
      <c r="I7" s="11">
        <v>2928.35</v>
      </c>
      <c r="J7" s="11">
        <v>2291.8000000000002</v>
      </c>
      <c r="K7" s="15">
        <v>2546.4</v>
      </c>
      <c r="L7" s="10">
        <v>1</v>
      </c>
      <c r="M7" s="12" t="str">
        <f>IFERROR(IF(AND(#REF!="sell",B7&gt;=AI7),"sell",""),"")</f>
        <v/>
      </c>
      <c r="O7" s="10" t="str">
        <f>IFERROR(IF(AND(#REF!="equal",C7&gt;AI7,#REF!="overbought"),"sell",""),"")</f>
        <v/>
      </c>
      <c r="S7" s="66"/>
      <c r="T7" s="10" t="s">
        <v>836</v>
      </c>
      <c r="W7" s="40" t="e">
        <f t="shared" si="2"/>
        <v>#VALUE!</v>
      </c>
      <c r="X7" s="12" t="str">
        <f>IF(S7="sell",#REF!-E7,"")</f>
        <v/>
      </c>
      <c r="AA7" s="12" t="s">
        <v>35</v>
      </c>
      <c r="AB7" s="12">
        <v>2498.5250000000001</v>
      </c>
      <c r="AC7">
        <v>2497</v>
      </c>
      <c r="AD7" s="12">
        <v>2494.9499999999998</v>
      </c>
      <c r="AE7" s="12">
        <v>2497.3000000000002</v>
      </c>
      <c r="AF7" s="12">
        <f t="shared" si="3"/>
        <v>2610.0749999999998</v>
      </c>
      <c r="AG7" s="12">
        <f t="shared" si="4"/>
        <v>45.267094561060496</v>
      </c>
      <c r="AH7" s="12">
        <f t="shared" si="5"/>
        <v>2519.5699999999997</v>
      </c>
      <c r="AI7" s="12">
        <f t="shared" si="6"/>
        <v>2610.1041891221207</v>
      </c>
      <c r="AJ7" s="12">
        <f t="shared" si="7"/>
        <v>2429.0358108778787</v>
      </c>
      <c r="AK7" t="str">
        <f t="shared" si="8"/>
        <v>sell</v>
      </c>
      <c r="BA7" t="s">
        <v>35</v>
      </c>
      <c r="BB7" s="5">
        <v>2548.1498999999999</v>
      </c>
      <c r="BC7" s="5">
        <v>2627.95</v>
      </c>
      <c r="BD7" s="5">
        <v>2662.8</v>
      </c>
      <c r="BE7" s="5">
        <v>2624.8</v>
      </c>
      <c r="BF7" s="5">
        <v>2593.6001000000001</v>
      </c>
      <c r="BG7" s="5">
        <v>2570</v>
      </c>
      <c r="BH7" s="5">
        <v>2545</v>
      </c>
      <c r="BI7" s="5">
        <v>2570.1001000000001</v>
      </c>
      <c r="BJ7" s="5" t="str">
        <f t="shared" si="9"/>
        <v>-</v>
      </c>
      <c r="BK7" t="str">
        <f t="shared" si="10"/>
        <v/>
      </c>
      <c r="BM7" t="s">
        <v>24</v>
      </c>
      <c r="BN7" t="s">
        <v>35</v>
      </c>
      <c r="BO7">
        <v>2607</v>
      </c>
      <c r="BP7">
        <v>2484.0500000000002</v>
      </c>
      <c r="BQ7">
        <v>2610</v>
      </c>
      <c r="BR7">
        <v>2564</v>
      </c>
      <c r="BS7">
        <v>2551.3998999999999</v>
      </c>
      <c r="BT7">
        <v>2565</v>
      </c>
      <c r="BU7">
        <v>2662.8</v>
      </c>
      <c r="BV7">
        <v>2624.8</v>
      </c>
      <c r="BW7" s="5" t="str">
        <f t="shared" si="11"/>
        <v>-</v>
      </c>
      <c r="BX7" t="str">
        <f t="shared" si="0"/>
        <v>Pivot sell</v>
      </c>
      <c r="BZ7" t="str">
        <f t="shared" si="1"/>
        <v/>
      </c>
    </row>
    <row r="8" spans="1:80" x14ac:dyDescent="0.3">
      <c r="B8" s="11" t="s">
        <v>821</v>
      </c>
      <c r="C8" s="11" t="s">
        <v>821</v>
      </c>
      <c r="D8" s="11" t="s">
        <v>821</v>
      </c>
      <c r="E8" s="15" t="s">
        <v>821</v>
      </c>
      <c r="F8" s="11"/>
      <c r="G8" s="11"/>
      <c r="H8" s="36"/>
      <c r="I8" s="11">
        <v>3752.45</v>
      </c>
      <c r="J8" s="11">
        <v>3070.25</v>
      </c>
      <c r="K8" s="15">
        <v>3411.35</v>
      </c>
      <c r="L8" s="10">
        <v>1</v>
      </c>
      <c r="M8" s="12" t="str">
        <f>IFERROR(IF(AND(#REF!="sell",B8&gt;=AI8),"sell",""),"")</f>
        <v/>
      </c>
      <c r="O8" s="10" t="str">
        <f>IFERROR(IF(AND(#REF!="equal",C8&gt;AI8,#REF!="overbought"),"sell",""),"")</f>
        <v/>
      </c>
      <c r="S8" s="66" t="str">
        <f t="shared" ref="S8:S17" si="12">E8</f>
        <v>-</v>
      </c>
      <c r="T8" s="10" t="s">
        <v>836</v>
      </c>
      <c r="W8" s="40" t="e">
        <f t="shared" si="2"/>
        <v>#VALUE!</v>
      </c>
      <c r="X8" s="12" t="str">
        <f>IF(S8="sell",#REF!-E8,"")</f>
        <v/>
      </c>
      <c r="AA8" s="12" t="s">
        <v>37</v>
      </c>
      <c r="AB8" s="12">
        <v>3194.6499999999996</v>
      </c>
      <c r="AC8">
        <v>3189.2</v>
      </c>
      <c r="AD8" s="12">
        <v>3192.15</v>
      </c>
      <c r="AE8" s="12">
        <v>3202.625</v>
      </c>
      <c r="AF8" s="12">
        <f t="shared" si="3"/>
        <v>3411.35</v>
      </c>
      <c r="AG8" s="12">
        <f t="shared" si="4"/>
        <v>86.792278458397448</v>
      </c>
      <c r="AH8" s="12">
        <f t="shared" si="5"/>
        <v>3237.9949999999999</v>
      </c>
      <c r="AI8" s="12">
        <f t="shared" si="6"/>
        <v>3411.5795569167949</v>
      </c>
      <c r="AJ8" s="12">
        <f t="shared" si="7"/>
        <v>3064.4104430832049</v>
      </c>
      <c r="AK8" t="str">
        <f t="shared" si="8"/>
        <v>sell</v>
      </c>
      <c r="BA8" t="s">
        <v>37</v>
      </c>
      <c r="BB8" s="5">
        <v>3145</v>
      </c>
      <c r="BC8" s="5">
        <v>3406</v>
      </c>
      <c r="BD8" s="5">
        <v>3457.8501000000001</v>
      </c>
      <c r="BE8" s="5">
        <v>3358</v>
      </c>
      <c r="BF8" s="5">
        <v>3329.5</v>
      </c>
      <c r="BG8" s="5">
        <v>3322.8998999999999</v>
      </c>
      <c r="BH8" s="5">
        <v>3274.3</v>
      </c>
      <c r="BI8" s="5">
        <v>3434.45</v>
      </c>
      <c r="BJ8" s="5" t="str">
        <f t="shared" si="9"/>
        <v>-</v>
      </c>
      <c r="BK8" t="str">
        <f t="shared" si="10"/>
        <v/>
      </c>
      <c r="BM8" t="s">
        <v>24</v>
      </c>
      <c r="BN8" t="s">
        <v>37</v>
      </c>
      <c r="BO8">
        <v>3254.6001000000001</v>
      </c>
      <c r="BP8">
        <v>3180.3</v>
      </c>
      <c r="BQ8">
        <v>3129.8998999999999</v>
      </c>
      <c r="BR8">
        <v>3119.8501000000001</v>
      </c>
      <c r="BS8">
        <v>3000.2</v>
      </c>
      <c r="BT8">
        <v>3118.8501000000001</v>
      </c>
      <c r="BU8">
        <v>3457.8501000000001</v>
      </c>
      <c r="BV8">
        <v>3434.45</v>
      </c>
      <c r="BW8" s="5" t="str">
        <f t="shared" si="11"/>
        <v>-</v>
      </c>
      <c r="BX8" t="str">
        <f t="shared" si="0"/>
        <v>Pivot sell</v>
      </c>
      <c r="BZ8" t="str">
        <f t="shared" si="1"/>
        <v/>
      </c>
    </row>
    <row r="9" spans="1:80" x14ac:dyDescent="0.3">
      <c r="B9" s="11" t="s">
        <v>821</v>
      </c>
      <c r="C9" s="11" t="s">
        <v>821</v>
      </c>
      <c r="D9" s="11" t="s">
        <v>821</v>
      </c>
      <c r="E9" s="15" t="s">
        <v>821</v>
      </c>
      <c r="F9" s="11"/>
      <c r="G9" s="11"/>
      <c r="H9" s="36"/>
      <c r="I9" s="11">
        <v>1650</v>
      </c>
      <c r="J9" s="11">
        <v>1293.7</v>
      </c>
      <c r="K9" s="15">
        <v>1437.4</v>
      </c>
      <c r="L9" s="10">
        <v>1</v>
      </c>
      <c r="M9" s="12" t="str">
        <f>IFERROR(IF(AND(#REF!="sell",B9&gt;=AI9),"sell",""),"")</f>
        <v/>
      </c>
      <c r="O9" s="10" t="str">
        <f>IFERROR(IF(AND(#REF!="equal",C9&gt;AI9,#REF!="overbought"),"sell",""),"")</f>
        <v/>
      </c>
      <c r="S9" s="66" t="str">
        <f t="shared" si="12"/>
        <v>-</v>
      </c>
      <c r="T9" s="10" t="s">
        <v>836</v>
      </c>
      <c r="W9" s="40" t="e">
        <f t="shared" si="2"/>
        <v>#VALUE!</v>
      </c>
      <c r="X9" s="12" t="str">
        <f>IF(S9="sell",#REF!-E9,"")</f>
        <v/>
      </c>
      <c r="AA9" s="12" t="s">
        <v>39</v>
      </c>
      <c r="AB9" s="12">
        <v>1384.5250000000001</v>
      </c>
      <c r="AC9">
        <v>1382.5749999999998</v>
      </c>
      <c r="AD9" s="12">
        <v>1382.9749999999999</v>
      </c>
      <c r="AE9" s="12">
        <v>1386.75</v>
      </c>
      <c r="AF9" s="12">
        <f t="shared" si="3"/>
        <v>1471.85</v>
      </c>
      <c r="AG9" s="12">
        <f t="shared" si="4"/>
        <v>35.088148284000383</v>
      </c>
      <c r="AH9" s="12">
        <f t="shared" si="5"/>
        <v>1401.7349999999999</v>
      </c>
      <c r="AI9" s="12">
        <f t="shared" si="6"/>
        <v>1471.9112965680006</v>
      </c>
      <c r="AJ9" s="12">
        <f t="shared" si="7"/>
        <v>1331.5587034319992</v>
      </c>
      <c r="AK9" t="str">
        <f t="shared" si="8"/>
        <v>sell</v>
      </c>
      <c r="BA9" t="s">
        <v>39</v>
      </c>
      <c r="BB9" s="5">
        <v>1394.35</v>
      </c>
      <c r="BC9" s="5">
        <v>1448.8</v>
      </c>
      <c r="BD9" s="5">
        <v>1444.95</v>
      </c>
      <c r="BE9" s="5">
        <v>1457.05</v>
      </c>
      <c r="BF9" s="5">
        <v>1438</v>
      </c>
      <c r="BG9" s="5">
        <v>1427.85</v>
      </c>
      <c r="BH9" s="5">
        <v>1413.65</v>
      </c>
      <c r="BI9" s="5">
        <v>1451</v>
      </c>
      <c r="BJ9" s="5" t="str">
        <f t="shared" si="9"/>
        <v>-</v>
      </c>
      <c r="BK9" t="str">
        <f t="shared" si="10"/>
        <v/>
      </c>
      <c r="BM9" t="s">
        <v>24</v>
      </c>
      <c r="BN9" t="s">
        <v>39</v>
      </c>
      <c r="BO9">
        <v>1381.95</v>
      </c>
      <c r="BP9">
        <v>1336.5</v>
      </c>
      <c r="BQ9">
        <v>1341.6</v>
      </c>
      <c r="BR9">
        <v>1354</v>
      </c>
      <c r="BS9">
        <v>1322.5</v>
      </c>
      <c r="BT9">
        <v>1366.75</v>
      </c>
      <c r="BU9">
        <v>1448.8</v>
      </c>
      <c r="BV9">
        <v>1457.05</v>
      </c>
      <c r="BW9" s="5" t="str">
        <f t="shared" si="11"/>
        <v>-</v>
      </c>
      <c r="BX9" t="str">
        <f t="shared" si="0"/>
        <v>Pivot sell</v>
      </c>
      <c r="BZ9" t="str">
        <f t="shared" si="1"/>
        <v/>
      </c>
    </row>
    <row r="10" spans="1:80" x14ac:dyDescent="0.3">
      <c r="B10" s="11" t="s">
        <v>821</v>
      </c>
      <c r="C10" s="11" t="s">
        <v>821</v>
      </c>
      <c r="D10" s="11" t="s">
        <v>821</v>
      </c>
      <c r="E10" s="15" t="s">
        <v>821</v>
      </c>
      <c r="F10" s="11"/>
      <c r="G10" s="11"/>
      <c r="H10" s="36"/>
      <c r="I10" s="11">
        <v>5250</v>
      </c>
      <c r="J10" s="11">
        <v>4900</v>
      </c>
      <c r="K10" s="15">
        <v>4810.45</v>
      </c>
      <c r="L10" s="10">
        <v>1</v>
      </c>
      <c r="M10" s="12" t="str">
        <f>IFERROR(IF(AND(#REF!="sell",B10&gt;=AI10),"sell",""),"")</f>
        <v/>
      </c>
      <c r="O10" s="10" t="str">
        <f>IFERROR(IF(AND(#REF!="equal",C10&gt;AI10,#REF!="overbought"),"sell",""),"")</f>
        <v/>
      </c>
      <c r="S10" s="66" t="str">
        <f t="shared" si="12"/>
        <v>-</v>
      </c>
      <c r="T10" s="10" t="s">
        <v>836</v>
      </c>
      <c r="W10" s="40" t="e">
        <f t="shared" si="2"/>
        <v>#VALUE!</v>
      </c>
      <c r="X10" s="12" t="str">
        <f>IF(S10="sell",#REF!-E10,"")</f>
        <v/>
      </c>
      <c r="AA10" s="12" t="s">
        <v>41</v>
      </c>
      <c r="AB10" s="12">
        <v>4944.0249999999996</v>
      </c>
      <c r="AC10">
        <v>4949.55</v>
      </c>
      <c r="AD10" s="12">
        <v>4952.2000000000007</v>
      </c>
      <c r="AE10" s="12">
        <v>4960</v>
      </c>
      <c r="AF10" s="12">
        <f t="shared" si="3"/>
        <v>5075</v>
      </c>
      <c r="AG10" s="12">
        <f t="shared" si="4"/>
        <v>49.689683033804869</v>
      </c>
      <c r="AH10" s="12">
        <f t="shared" si="5"/>
        <v>4976.1550000000007</v>
      </c>
      <c r="AI10" s="12">
        <f t="shared" si="6"/>
        <v>5075.5343660676108</v>
      </c>
      <c r="AJ10" s="12">
        <f t="shared" si="7"/>
        <v>4876.7756339323905</v>
      </c>
      <c r="AK10" t="str">
        <f t="shared" si="8"/>
        <v>sell</v>
      </c>
      <c r="BA10" t="s">
        <v>41</v>
      </c>
      <c r="BB10" s="5">
        <v>5382.3500999999997</v>
      </c>
      <c r="BC10" s="5">
        <v>5488</v>
      </c>
      <c r="BD10" s="5">
        <v>5495.2997999999998</v>
      </c>
      <c r="BE10" s="5">
        <v>5469.9502000000002</v>
      </c>
      <c r="BF10" s="5">
        <v>5340</v>
      </c>
      <c r="BG10" s="5">
        <v>5382.8999000000003</v>
      </c>
      <c r="BH10" s="5">
        <v>5150</v>
      </c>
      <c r="BI10" s="5">
        <v>4972.8500999999997</v>
      </c>
      <c r="BJ10" s="5" t="str">
        <f t="shared" si="9"/>
        <v>-</v>
      </c>
      <c r="BK10" t="str">
        <f t="shared" si="10"/>
        <v/>
      </c>
      <c r="BM10" t="s">
        <v>24</v>
      </c>
      <c r="BN10" t="s">
        <v>41</v>
      </c>
      <c r="BO10">
        <v>4950</v>
      </c>
      <c r="BP10">
        <v>4775.9502000000002</v>
      </c>
      <c r="BQ10">
        <v>4937.3999000000003</v>
      </c>
      <c r="BR10">
        <v>5020</v>
      </c>
      <c r="BS10">
        <v>5208</v>
      </c>
      <c r="BT10">
        <v>5485.4502000000002</v>
      </c>
      <c r="BU10">
        <v>5578.7997999999998</v>
      </c>
      <c r="BV10">
        <v>5469.9502000000002</v>
      </c>
      <c r="BW10" s="5" t="str">
        <f t="shared" si="11"/>
        <v>-</v>
      </c>
      <c r="BX10" t="str">
        <f t="shared" si="0"/>
        <v>Pivot sell</v>
      </c>
      <c r="BZ10" t="str">
        <f t="shared" si="1"/>
        <v/>
      </c>
    </row>
    <row r="11" spans="1:80" x14ac:dyDescent="0.3">
      <c r="B11" s="11" t="s">
        <v>821</v>
      </c>
      <c r="C11" s="11" t="s">
        <v>821</v>
      </c>
      <c r="D11" s="11" t="s">
        <v>821</v>
      </c>
      <c r="E11" s="15" t="s">
        <v>821</v>
      </c>
      <c r="F11" s="11"/>
      <c r="G11" s="11"/>
      <c r="H11" s="36"/>
      <c r="I11" s="11">
        <v>680</v>
      </c>
      <c r="J11" s="11">
        <v>570.65</v>
      </c>
      <c r="K11" s="15">
        <v>634.04</v>
      </c>
      <c r="L11" s="10">
        <v>1</v>
      </c>
      <c r="M11" s="12" t="str">
        <f>IFERROR(IF(AND(#REF!="sell",B11&gt;=AI11),"sell",""),"")</f>
        <v/>
      </c>
      <c r="O11" s="10" t="str">
        <f>IFERROR(IF(AND(#REF!="equal",C11&gt;AI11,#REF!="overbought"),"sell",""),"")</f>
        <v/>
      </c>
      <c r="S11" s="66" t="str">
        <f t="shared" si="12"/>
        <v>-</v>
      </c>
      <c r="T11" s="10" t="s">
        <v>836</v>
      </c>
      <c r="W11" s="40" t="e">
        <f t="shared" si="2"/>
        <v>#VALUE!</v>
      </c>
      <c r="X11" s="12" t="str">
        <f>IF(S11="sell",#REF!-E11,"")</f>
        <v/>
      </c>
      <c r="AA11" s="12" t="s">
        <v>43</v>
      </c>
      <c r="AB11" s="12">
        <v>617.65</v>
      </c>
      <c r="AC11">
        <v>617.95000000000005</v>
      </c>
      <c r="AD11" s="12">
        <v>619.70000000000005</v>
      </c>
      <c r="AE11" s="12">
        <v>622.125</v>
      </c>
      <c r="AF11" s="12">
        <f t="shared" si="3"/>
        <v>625.32500000000005</v>
      </c>
      <c r="AG11" s="12">
        <f t="shared" si="4"/>
        <v>2.8696254110946349</v>
      </c>
      <c r="AH11" s="12">
        <f t="shared" si="5"/>
        <v>620.54999999999995</v>
      </c>
      <c r="AI11" s="12">
        <f t="shared" si="6"/>
        <v>626.28925082218927</v>
      </c>
      <c r="AJ11" s="12">
        <f t="shared" si="7"/>
        <v>614.81074917781064</v>
      </c>
      <c r="AK11" t="str">
        <f t="shared" si="8"/>
        <v>sell</v>
      </c>
      <c r="BA11" t="s">
        <v>43</v>
      </c>
      <c r="BB11" s="5">
        <v>635.75</v>
      </c>
      <c r="BC11" s="5">
        <v>648.29998999999998</v>
      </c>
      <c r="BD11" s="5">
        <v>656.95001000000002</v>
      </c>
      <c r="BE11" s="5">
        <v>638.70001000000002</v>
      </c>
      <c r="BF11" s="5">
        <v>636.5</v>
      </c>
      <c r="BG11" s="5">
        <v>633.5</v>
      </c>
      <c r="BH11" s="5">
        <v>630.95001000000002</v>
      </c>
      <c r="BI11" s="5">
        <v>639.84997999999996</v>
      </c>
      <c r="BJ11" s="5" t="str">
        <f t="shared" si="9"/>
        <v>-</v>
      </c>
      <c r="BK11" t="str">
        <f t="shared" si="10"/>
        <v/>
      </c>
      <c r="BM11" t="s">
        <v>24</v>
      </c>
      <c r="BN11" t="s">
        <v>43</v>
      </c>
      <c r="BO11">
        <v>634.5</v>
      </c>
      <c r="BP11">
        <v>637.79998999999998</v>
      </c>
      <c r="BQ11">
        <v>649</v>
      </c>
      <c r="BR11">
        <v>638.29998999999998</v>
      </c>
      <c r="BS11">
        <v>625.75</v>
      </c>
      <c r="BT11">
        <v>623.29998999999998</v>
      </c>
      <c r="BU11">
        <v>656.95001000000002</v>
      </c>
      <c r="BV11">
        <v>639.84997999999996</v>
      </c>
      <c r="BW11" s="5" t="str">
        <f t="shared" si="11"/>
        <v>-</v>
      </c>
      <c r="BX11" t="str">
        <f t="shared" si="0"/>
        <v>Pivot sell</v>
      </c>
      <c r="BZ11" t="str">
        <f t="shared" si="1"/>
        <v/>
      </c>
    </row>
    <row r="12" spans="1:80" x14ac:dyDescent="0.3">
      <c r="B12" s="11" t="s">
        <v>821</v>
      </c>
      <c r="C12" s="11" t="s">
        <v>821</v>
      </c>
      <c r="D12" s="11" t="s">
        <v>821</v>
      </c>
      <c r="E12" s="15" t="s">
        <v>821</v>
      </c>
      <c r="F12" s="11"/>
      <c r="G12" s="11"/>
      <c r="H12" s="36"/>
      <c r="I12" s="11">
        <v>6250</v>
      </c>
      <c r="J12" s="11">
        <v>5420</v>
      </c>
      <c r="K12" s="15">
        <v>5839.2</v>
      </c>
      <c r="L12" s="10">
        <v>1</v>
      </c>
      <c r="M12" s="12" t="str">
        <f>IFERROR(IF(AND(#REF!="sell",B12&gt;=AI12),"sell",""),"")</f>
        <v/>
      </c>
      <c r="O12" s="10" t="str">
        <f>IFERROR(IF(AND(#REF!="equal",C12&gt;AI12,#REF!="overbought"),"sell",""),"")</f>
        <v/>
      </c>
      <c r="S12" s="66" t="str">
        <f t="shared" si="12"/>
        <v>-</v>
      </c>
      <c r="T12" s="10" t="s">
        <v>836</v>
      </c>
      <c r="W12" s="40" t="e">
        <f t="shared" si="2"/>
        <v>#VALUE!</v>
      </c>
      <c r="X12" s="12" t="str">
        <f>IF(S12="sell",#REF!-E12,"")</f>
        <v/>
      </c>
      <c r="AA12" s="12" t="s">
        <v>45</v>
      </c>
      <c r="AB12" s="12">
        <v>5764</v>
      </c>
      <c r="AC12">
        <v>5756.7250000000004</v>
      </c>
      <c r="AD12" s="12">
        <v>5757.5249999999996</v>
      </c>
      <c r="AE12" s="12">
        <v>5780</v>
      </c>
      <c r="AF12" s="12">
        <f t="shared" si="3"/>
        <v>5835</v>
      </c>
      <c r="AG12" s="12">
        <f t="shared" si="4"/>
        <v>29.389585740530606</v>
      </c>
      <c r="AH12" s="12">
        <f t="shared" si="5"/>
        <v>5778.65</v>
      </c>
      <c r="AI12" s="12">
        <f t="shared" si="6"/>
        <v>5837.4291714810606</v>
      </c>
      <c r="AJ12" s="12">
        <f t="shared" si="7"/>
        <v>5719.8708285189387</v>
      </c>
      <c r="AK12" t="str">
        <f t="shared" si="8"/>
        <v>sell</v>
      </c>
      <c r="BA12" t="s">
        <v>45</v>
      </c>
      <c r="BB12" s="5">
        <v>5958.6000999999997</v>
      </c>
      <c r="BC12" s="5">
        <v>5991.4502000000002</v>
      </c>
      <c r="BD12" s="5">
        <v>5971.8500999999997</v>
      </c>
      <c r="BE12" s="5">
        <v>5959.5</v>
      </c>
      <c r="BF12" s="5">
        <v>5971.4502000000002</v>
      </c>
      <c r="BG12" s="5">
        <v>5945</v>
      </c>
      <c r="BH12" s="5">
        <v>5901.75</v>
      </c>
      <c r="BI12" s="5">
        <v>5959.3500999999997</v>
      </c>
      <c r="BJ12" s="5" t="str">
        <f t="shared" si="9"/>
        <v>-</v>
      </c>
      <c r="BK12" t="str">
        <f t="shared" si="10"/>
        <v/>
      </c>
      <c r="BM12" t="s">
        <v>24</v>
      </c>
      <c r="BN12" t="s">
        <v>45</v>
      </c>
      <c r="BO12">
        <v>6540</v>
      </c>
      <c r="BP12">
        <v>6399.1000999999997</v>
      </c>
      <c r="BQ12">
        <v>6402.2002000000002</v>
      </c>
      <c r="BR12">
        <v>6200</v>
      </c>
      <c r="BS12">
        <v>6086.1499000000003</v>
      </c>
      <c r="BT12">
        <v>5988</v>
      </c>
      <c r="BU12">
        <v>6041.8999000000003</v>
      </c>
      <c r="BV12">
        <v>5971.4502000000002</v>
      </c>
      <c r="BW12" s="5" t="str">
        <f t="shared" si="11"/>
        <v>-</v>
      </c>
      <c r="BX12" t="str">
        <f t="shared" si="0"/>
        <v/>
      </c>
      <c r="BZ12" t="str">
        <f t="shared" si="1"/>
        <v/>
      </c>
    </row>
    <row r="13" spans="1:80" x14ac:dyDescent="0.3">
      <c r="B13" s="11" t="s">
        <v>821</v>
      </c>
      <c r="C13" s="11" t="s">
        <v>821</v>
      </c>
      <c r="D13" s="11" t="s">
        <v>821</v>
      </c>
      <c r="E13" s="15" t="s">
        <v>821</v>
      </c>
      <c r="F13" s="11"/>
      <c r="G13" s="11"/>
      <c r="H13" s="36"/>
      <c r="I13" s="11">
        <v>505</v>
      </c>
      <c r="J13" s="11">
        <v>417.15</v>
      </c>
      <c r="K13" s="15">
        <v>463.5</v>
      </c>
      <c r="L13" s="10">
        <v>1</v>
      </c>
      <c r="M13" s="12" t="str">
        <f>IFERROR(IF(AND(#REF!="sell",B13&gt;=AI13),"sell",""),"")</f>
        <v/>
      </c>
      <c r="O13" s="10" t="str">
        <f>IFERROR(IF(AND(#REF!="equal",C13&gt;AI13,#REF!="overbought"),"sell",""),"")</f>
        <v/>
      </c>
      <c r="S13" s="66" t="str">
        <f t="shared" si="12"/>
        <v>-</v>
      </c>
      <c r="T13" s="10" t="s">
        <v>836</v>
      </c>
      <c r="W13" s="40" t="e">
        <f t="shared" si="2"/>
        <v>#VALUE!</v>
      </c>
      <c r="X13" s="12" t="str">
        <f>IF(S13="sell",#REF!-E13,"")</f>
        <v/>
      </c>
      <c r="AA13" s="12" t="s">
        <v>47</v>
      </c>
      <c r="AB13" s="12">
        <v>464.25</v>
      </c>
      <c r="AC13">
        <v>463.55</v>
      </c>
      <c r="AD13" s="12">
        <v>465.29999999999995</v>
      </c>
      <c r="AE13" s="12">
        <v>468.07499999999999</v>
      </c>
      <c r="AF13" s="12">
        <f t="shared" si="3"/>
        <v>461.07499999999999</v>
      </c>
      <c r="AG13" s="12">
        <f t="shared" si="4"/>
        <v>2.2848960589050828</v>
      </c>
      <c r="AH13" s="12">
        <f t="shared" si="5"/>
        <v>464.45</v>
      </c>
      <c r="AI13" s="12">
        <f t="shared" si="6"/>
        <v>469.01979211781014</v>
      </c>
      <c r="AJ13" s="12">
        <f t="shared" si="7"/>
        <v>459.88020788218984</v>
      </c>
      <c r="AK13" t="str">
        <f t="shared" si="8"/>
        <v>sell</v>
      </c>
      <c r="BA13" t="s">
        <v>47</v>
      </c>
      <c r="BB13" s="5">
        <v>510</v>
      </c>
      <c r="BC13" s="5">
        <v>493.70001000000002</v>
      </c>
      <c r="BD13" s="5">
        <v>487.60001</v>
      </c>
      <c r="BE13" s="5">
        <v>483</v>
      </c>
      <c r="BF13" s="5">
        <v>479.70001000000002</v>
      </c>
      <c r="BG13" s="5">
        <v>472</v>
      </c>
      <c r="BH13" s="5">
        <v>477.60001</v>
      </c>
      <c r="BI13" s="5">
        <v>476</v>
      </c>
      <c r="BJ13" s="5" t="str">
        <f t="shared" si="9"/>
        <v>-</v>
      </c>
      <c r="BK13" t="str">
        <f t="shared" si="10"/>
        <v/>
      </c>
      <c r="BM13" t="s">
        <v>24</v>
      </c>
      <c r="BN13" t="s">
        <v>47</v>
      </c>
      <c r="BO13">
        <v>491.10001</v>
      </c>
      <c r="BP13">
        <v>485.39999</v>
      </c>
      <c r="BQ13">
        <v>501.29998999999998</v>
      </c>
      <c r="BR13">
        <v>518.79998999999998</v>
      </c>
      <c r="BS13">
        <v>506</v>
      </c>
      <c r="BT13">
        <v>508.29998999999998</v>
      </c>
      <c r="BU13">
        <v>510</v>
      </c>
      <c r="BV13">
        <v>483</v>
      </c>
      <c r="BW13" s="5" t="str">
        <f t="shared" si="11"/>
        <v>-</v>
      </c>
      <c r="BX13" t="str">
        <f t="shared" si="0"/>
        <v/>
      </c>
      <c r="BZ13" t="str">
        <f t="shared" si="1"/>
        <v/>
      </c>
    </row>
    <row r="14" spans="1:80" x14ac:dyDescent="0.3">
      <c r="B14" s="11" t="s">
        <v>821</v>
      </c>
      <c r="C14" s="11" t="s">
        <v>821</v>
      </c>
      <c r="D14" s="11" t="s">
        <v>821</v>
      </c>
      <c r="E14" s="15" t="s">
        <v>821</v>
      </c>
      <c r="F14" s="11"/>
      <c r="G14" s="11"/>
      <c r="H14" s="36"/>
      <c r="I14" s="11">
        <v>240</v>
      </c>
      <c r="J14" s="11">
        <v>201.6</v>
      </c>
      <c r="K14" s="15">
        <v>224</v>
      </c>
      <c r="L14" s="10">
        <v>1</v>
      </c>
      <c r="M14" s="12" t="str">
        <f>IFERROR(IF(AND(#REF!="sell",B14&gt;=AI14),"sell",""),"")</f>
        <v/>
      </c>
      <c r="O14" s="10" t="str">
        <f>IFERROR(IF(AND(#REF!="equal",C14&gt;AI14,#REF!="overbought"),"sell",""),"")</f>
        <v/>
      </c>
      <c r="S14" s="66" t="str">
        <f t="shared" si="12"/>
        <v>-</v>
      </c>
      <c r="T14" s="10" t="s">
        <v>836</v>
      </c>
      <c r="W14" s="40" t="e">
        <f t="shared" si="2"/>
        <v>#VALUE!</v>
      </c>
      <c r="X14" s="12" t="str">
        <f>IF(S14="sell",#REF!-E14,"")</f>
        <v/>
      </c>
      <c r="AA14" s="12" t="s">
        <v>49</v>
      </c>
      <c r="AB14" s="12">
        <v>219.77500000000001</v>
      </c>
      <c r="AC14">
        <v>219.55</v>
      </c>
      <c r="AD14" s="12">
        <v>219.77500000000001</v>
      </c>
      <c r="AE14" s="12">
        <v>220.22500000000002</v>
      </c>
      <c r="AF14" s="12">
        <f t="shared" si="3"/>
        <v>220.8</v>
      </c>
      <c r="AG14" s="12">
        <f t="shared" si="4"/>
        <v>0.44525273721786601</v>
      </c>
      <c r="AH14" s="12">
        <f t="shared" si="5"/>
        <v>220.02500000000001</v>
      </c>
      <c r="AI14" s="12">
        <f t="shared" si="6"/>
        <v>220.91550547443575</v>
      </c>
      <c r="AJ14" s="12">
        <f t="shared" si="7"/>
        <v>219.13449452556426</v>
      </c>
      <c r="AK14" t="str">
        <f t="shared" si="8"/>
        <v>sell</v>
      </c>
      <c r="BA14" t="s">
        <v>49</v>
      </c>
      <c r="BB14" s="5">
        <v>211.85001</v>
      </c>
      <c r="BC14" s="5">
        <v>213.7</v>
      </c>
      <c r="BD14" s="5">
        <v>219.45</v>
      </c>
      <c r="BE14" s="5">
        <v>228.3</v>
      </c>
      <c r="BF14" s="5">
        <v>230.8</v>
      </c>
      <c r="BG14" s="5">
        <v>229</v>
      </c>
      <c r="BH14" s="5">
        <v>223.5</v>
      </c>
      <c r="BI14" s="5">
        <v>225.7</v>
      </c>
      <c r="BJ14" s="5" t="str">
        <f t="shared" si="9"/>
        <v>-</v>
      </c>
      <c r="BK14" t="str">
        <f t="shared" si="10"/>
        <v/>
      </c>
      <c r="BM14" t="s">
        <v>24</v>
      </c>
      <c r="BN14" t="s">
        <v>49</v>
      </c>
      <c r="BO14">
        <v>181.2</v>
      </c>
      <c r="BP14">
        <v>177.3</v>
      </c>
      <c r="BQ14">
        <v>187.2</v>
      </c>
      <c r="BR14">
        <v>205.10001</v>
      </c>
      <c r="BS14">
        <v>204.89999</v>
      </c>
      <c r="BT14">
        <v>211.10001</v>
      </c>
      <c r="BU14">
        <v>219.45</v>
      </c>
      <c r="BV14">
        <v>230.8</v>
      </c>
      <c r="BW14" s="5" t="str">
        <f t="shared" si="11"/>
        <v>-</v>
      </c>
      <c r="BX14" t="str">
        <f t="shared" si="0"/>
        <v>Pivot sell</v>
      </c>
      <c r="BZ14" t="str">
        <f t="shared" si="1"/>
        <v/>
      </c>
    </row>
    <row r="15" spans="1:80" x14ac:dyDescent="0.3">
      <c r="B15" s="11" t="s">
        <v>821</v>
      </c>
      <c r="C15" s="11" t="s">
        <v>821</v>
      </c>
      <c r="D15" s="11" t="s">
        <v>821</v>
      </c>
      <c r="E15" s="15" t="s">
        <v>821</v>
      </c>
      <c r="F15" s="11"/>
      <c r="G15" s="11"/>
      <c r="H15" s="36"/>
      <c r="I15" s="11">
        <v>3100</v>
      </c>
      <c r="J15" s="11">
        <v>2593.1</v>
      </c>
      <c r="K15" s="15">
        <v>2881.2</v>
      </c>
      <c r="L15" s="10">
        <v>1</v>
      </c>
      <c r="M15" s="12" t="str">
        <f>IFERROR(IF(AND(#REF!="sell",B15&gt;=AI15),"sell",""),"")</f>
        <v/>
      </c>
      <c r="O15" s="10" t="str">
        <f>IFERROR(IF(AND(#REF!="equal",C15&gt;AI15,#REF!="overbought"),"sell",""),"")</f>
        <v/>
      </c>
      <c r="S15" s="66" t="str">
        <f t="shared" si="12"/>
        <v>-</v>
      </c>
      <c r="T15" s="10" t="s">
        <v>836</v>
      </c>
      <c r="W15" s="40" t="e">
        <f t="shared" si="2"/>
        <v>#VALUE!</v>
      </c>
      <c r="X15" s="12" t="str">
        <f>IF(S15="sell",#REF!-E15,"")</f>
        <v/>
      </c>
      <c r="AA15" s="12" t="s">
        <v>51</v>
      </c>
      <c r="AB15" s="12">
        <v>2880.0250000000001</v>
      </c>
      <c r="AC15">
        <v>2883.0250000000001</v>
      </c>
      <c r="AD15" s="12">
        <v>2881.5249999999996</v>
      </c>
      <c r="AE15" s="12">
        <v>2885.1750000000002</v>
      </c>
      <c r="AF15" s="12">
        <f t="shared" si="3"/>
        <v>2846.55</v>
      </c>
      <c r="AG15" s="12">
        <f t="shared" si="4"/>
        <v>14.455600990619455</v>
      </c>
      <c r="AH15" s="12">
        <f t="shared" si="5"/>
        <v>2875.2599999999998</v>
      </c>
      <c r="AI15" s="12">
        <f t="shared" si="6"/>
        <v>2904.1712019812385</v>
      </c>
      <c r="AJ15" s="12">
        <f t="shared" si="7"/>
        <v>2846.348798018761</v>
      </c>
      <c r="AK15" t="str">
        <f t="shared" si="8"/>
        <v>sell</v>
      </c>
      <c r="BA15" t="s">
        <v>51</v>
      </c>
      <c r="BB15" s="5">
        <v>2895</v>
      </c>
      <c r="BC15" s="5">
        <v>2921.25</v>
      </c>
      <c r="BD15" s="5">
        <v>2910.2</v>
      </c>
      <c r="BE15" s="5">
        <v>2898.3</v>
      </c>
      <c r="BF15" s="5">
        <v>2921</v>
      </c>
      <c r="BG15" s="5">
        <v>2921.7</v>
      </c>
      <c r="BH15" s="5">
        <v>2910.8501000000001</v>
      </c>
      <c r="BI15" s="5">
        <v>2906</v>
      </c>
      <c r="BJ15" s="5" t="str">
        <f t="shared" si="9"/>
        <v>-</v>
      </c>
      <c r="BK15" t="str">
        <f>IF(AND(BH15&gt;MAX(BB15:BG15), BH15&gt;MAX(BJ15)), "Pivot sell", "")</f>
        <v/>
      </c>
      <c r="BM15" t="s">
        <v>24</v>
      </c>
      <c r="BN15" t="s">
        <v>51</v>
      </c>
      <c r="BO15">
        <v>2916.45</v>
      </c>
      <c r="BP15">
        <v>2859.2</v>
      </c>
      <c r="BQ15">
        <v>2883.1001000000001</v>
      </c>
      <c r="BR15">
        <v>2997</v>
      </c>
      <c r="BS15">
        <v>2967.95</v>
      </c>
      <c r="BT15">
        <v>2895</v>
      </c>
      <c r="BU15">
        <v>2921.25</v>
      </c>
      <c r="BV15">
        <v>2921.7</v>
      </c>
      <c r="BW15" s="5" t="str">
        <f t="shared" si="11"/>
        <v>-</v>
      </c>
      <c r="BX15" t="str">
        <f t="shared" si="0"/>
        <v/>
      </c>
      <c r="BZ15" t="str">
        <f t="shared" si="1"/>
        <v/>
      </c>
    </row>
    <row r="16" spans="1:80" x14ac:dyDescent="0.3">
      <c r="B16" s="11" t="s">
        <v>821</v>
      </c>
      <c r="C16" s="11" t="s">
        <v>821</v>
      </c>
      <c r="D16" s="11" t="s">
        <v>821</v>
      </c>
      <c r="E16" s="15" t="s">
        <v>821</v>
      </c>
      <c r="F16" s="11"/>
      <c r="G16" s="11"/>
      <c r="H16" s="36"/>
      <c r="I16" s="11">
        <v>2200</v>
      </c>
      <c r="J16" s="11">
        <v>1887.2</v>
      </c>
      <c r="K16" s="15">
        <v>2096.85</v>
      </c>
      <c r="L16" s="10">
        <v>1</v>
      </c>
      <c r="M16" s="12" t="str">
        <f>IFERROR(IF(AND(#REF!="sell",B16&gt;=AI16),"sell",""),"")</f>
        <v/>
      </c>
      <c r="O16" s="10" t="str">
        <f>IFERROR(IF(AND(#REF!="equal",C16&gt;AI16,#REF!="overbought"),"sell",""),"")</f>
        <v/>
      </c>
      <c r="S16" s="66" t="str">
        <f t="shared" si="12"/>
        <v>-</v>
      </c>
      <c r="W16" s="40" t="e">
        <f t="shared" si="2"/>
        <v>#VALUE!</v>
      </c>
      <c r="X16" s="12" t="str">
        <f>IF(S16="sell",#REF!-E16,"")</f>
        <v/>
      </c>
      <c r="AA16" s="12" t="s">
        <v>53</v>
      </c>
      <c r="AB16" s="12">
        <v>2099.5500000000002</v>
      </c>
      <c r="AC16">
        <v>2101.5500000000002</v>
      </c>
      <c r="AD16" s="12">
        <v>2101.1999999999998</v>
      </c>
      <c r="AE16" s="12">
        <v>2102.4</v>
      </c>
      <c r="AF16" s="12">
        <f t="shared" si="3"/>
        <v>2043.6</v>
      </c>
      <c r="AG16" s="12">
        <f t="shared" si="4"/>
        <v>23.048587809234711</v>
      </c>
      <c r="AH16" s="12">
        <f t="shared" si="5"/>
        <v>2089.6600000000003</v>
      </c>
      <c r="AI16" s="12">
        <f t="shared" si="6"/>
        <v>2135.7571756184698</v>
      </c>
      <c r="AJ16" s="12">
        <f t="shared" si="7"/>
        <v>2043.5628243815308</v>
      </c>
      <c r="AK16" t="str">
        <f t="shared" si="8"/>
        <v>sell</v>
      </c>
      <c r="BA16" t="s">
        <v>53</v>
      </c>
      <c r="BB16" s="5">
        <v>2125</v>
      </c>
      <c r="BC16" s="5">
        <v>2133.4499999999998</v>
      </c>
      <c r="BD16" s="5">
        <v>2165.3000000000002</v>
      </c>
      <c r="BE16" s="5">
        <v>2202.3501000000001</v>
      </c>
      <c r="BF16" s="5">
        <v>2199</v>
      </c>
      <c r="BG16" s="5">
        <v>2145</v>
      </c>
      <c r="BH16" s="5">
        <v>2123</v>
      </c>
      <c r="BI16" s="5">
        <v>2133.8998999999999</v>
      </c>
      <c r="BJ16" s="5" t="str">
        <f t="shared" si="9"/>
        <v>-</v>
      </c>
      <c r="BK16" t="str">
        <f t="shared" si="10"/>
        <v/>
      </c>
      <c r="BM16" t="s">
        <v>24</v>
      </c>
      <c r="BN16" t="s">
        <v>53</v>
      </c>
      <c r="BO16">
        <v>2058.6498999999999</v>
      </c>
      <c r="BP16">
        <v>2008</v>
      </c>
      <c r="BQ16">
        <v>2043.2</v>
      </c>
      <c r="BR16">
        <v>2149.3998999999999</v>
      </c>
      <c r="BS16">
        <v>2164.8998999999999</v>
      </c>
      <c r="BT16">
        <v>2352</v>
      </c>
      <c r="BU16">
        <v>2204.8998999999999</v>
      </c>
      <c r="BV16">
        <v>2202.3501000000001</v>
      </c>
      <c r="BW16" s="5" t="str">
        <f t="shared" si="11"/>
        <v>-</v>
      </c>
      <c r="BX16" t="str">
        <f t="shared" si="0"/>
        <v/>
      </c>
      <c r="BZ16" t="str">
        <f t="shared" si="1"/>
        <v/>
      </c>
    </row>
    <row r="17" spans="2:78" x14ac:dyDescent="0.3">
      <c r="B17" s="11" t="s">
        <v>821</v>
      </c>
      <c r="C17" s="11" t="s">
        <v>821</v>
      </c>
      <c r="D17" s="11" t="s">
        <v>821</v>
      </c>
      <c r="E17" s="15" t="s">
        <v>821</v>
      </c>
      <c r="F17" s="11"/>
      <c r="G17" s="11"/>
      <c r="H17" s="36"/>
      <c r="I17" s="11">
        <v>6100</v>
      </c>
      <c r="J17" s="11">
        <v>5600</v>
      </c>
      <c r="K17" s="15">
        <v>5621.1</v>
      </c>
      <c r="L17" s="10">
        <v>1</v>
      </c>
      <c r="M17" s="12" t="str">
        <f>IFERROR(IF(AND(#REF!="sell",B17&gt;=AI17),"sell",""),"")</f>
        <v/>
      </c>
      <c r="O17" s="10" t="str">
        <f>IFERROR(IF(AND(#REF!="equal",C17&gt;AI17,#REF!="overbought"),"sell",""),"")</f>
        <v/>
      </c>
      <c r="S17" s="66" t="str">
        <f t="shared" si="12"/>
        <v>-</v>
      </c>
      <c r="W17" s="40" t="e">
        <f t="shared" si="2"/>
        <v>#VALUE!</v>
      </c>
      <c r="X17" s="12" t="str">
        <f>IF(S17="sell",#REF!-E17,"")</f>
        <v/>
      </c>
      <c r="AA17" s="12" t="s">
        <v>55</v>
      </c>
      <c r="AB17" s="12">
        <v>5677.2749999999996</v>
      </c>
      <c r="AC17">
        <v>5680.2250000000004</v>
      </c>
      <c r="AD17" s="12">
        <v>5690.0499999999993</v>
      </c>
      <c r="AE17" s="12">
        <v>5700.9250000000002</v>
      </c>
      <c r="AF17" s="12">
        <f t="shared" si="3"/>
        <v>5850</v>
      </c>
      <c r="AG17" s="12">
        <f t="shared" si="4"/>
        <v>65.677803328065167</v>
      </c>
      <c r="AH17" s="12">
        <f t="shared" si="5"/>
        <v>5719.6949999999997</v>
      </c>
      <c r="AI17" s="12">
        <f t="shared" si="6"/>
        <v>5851.0506066561302</v>
      </c>
      <c r="AJ17" s="12">
        <f t="shared" si="7"/>
        <v>5588.3393933438692</v>
      </c>
      <c r="AK17" t="str">
        <f t="shared" si="8"/>
        <v>sell</v>
      </c>
      <c r="BA17" t="s">
        <v>55</v>
      </c>
      <c r="BB17" s="5">
        <v>6015</v>
      </c>
      <c r="BC17" s="5">
        <v>5992.8500999999997</v>
      </c>
      <c r="BD17" s="5">
        <v>5956.1000999999997</v>
      </c>
      <c r="BE17" s="5">
        <v>5925</v>
      </c>
      <c r="BF17" s="5">
        <v>5919.9502000000002</v>
      </c>
      <c r="BG17" s="5">
        <v>5912.7997999999998</v>
      </c>
      <c r="BH17" s="5">
        <v>5866.25</v>
      </c>
      <c r="BI17" s="5">
        <v>5752.4502000000002</v>
      </c>
      <c r="BJ17" s="5" t="str">
        <f t="shared" si="9"/>
        <v>-</v>
      </c>
      <c r="BK17" t="str">
        <f t="shared" si="10"/>
        <v/>
      </c>
      <c r="BM17" t="s">
        <v>24</v>
      </c>
      <c r="BN17" t="s">
        <v>55</v>
      </c>
      <c r="BO17">
        <v>6250</v>
      </c>
      <c r="BP17">
        <v>6083.1499000000003</v>
      </c>
      <c r="BQ17">
        <v>6024.9502000000002</v>
      </c>
      <c r="BR17">
        <v>6313.25</v>
      </c>
      <c r="BS17">
        <v>6249.2002000000002</v>
      </c>
      <c r="BT17">
        <v>6029</v>
      </c>
      <c r="BU17">
        <v>6015</v>
      </c>
      <c r="BV17">
        <v>5925</v>
      </c>
      <c r="BW17" s="5" t="str">
        <f t="shared" si="11"/>
        <v>-</v>
      </c>
      <c r="BX17" t="str">
        <f t="shared" si="0"/>
        <v/>
      </c>
      <c r="BZ17" t="str">
        <f t="shared" si="1"/>
        <v/>
      </c>
    </row>
    <row r="18" spans="2:78" x14ac:dyDescent="0.3">
      <c r="B18" s="11" t="s">
        <v>821</v>
      </c>
      <c r="C18" s="11" t="s">
        <v>821</v>
      </c>
      <c r="D18" s="11" t="s">
        <v>821</v>
      </c>
      <c r="E18" s="15" t="s">
        <v>821</v>
      </c>
      <c r="F18" s="11"/>
      <c r="G18" s="11"/>
      <c r="H18" s="36"/>
      <c r="I18" s="11">
        <v>718.4</v>
      </c>
      <c r="J18" s="11">
        <v>610</v>
      </c>
      <c r="K18" s="15">
        <v>653.1</v>
      </c>
      <c r="L18" s="10">
        <v>1</v>
      </c>
      <c r="M18" s="12" t="str">
        <f>IFERROR(IF(AND(#REF!="sell",B18&gt;=AI18),"sell",""),"")</f>
        <v/>
      </c>
      <c r="O18" s="10" t="str">
        <f>IFERROR(IF(AND(#REF!="equal",C18&gt;AI18,#REF!="overbought"),"sell",""),"")</f>
        <v/>
      </c>
      <c r="S18" t="str">
        <f>IFERROR(IF(AND(#REF!="sell",C18&gt;=#REF!),"sell",""),"")</f>
        <v/>
      </c>
      <c r="W18" s="40" t="e">
        <f t="shared" si="2"/>
        <v>#VALUE!</v>
      </c>
      <c r="X18" s="12" t="str">
        <f>IF(S18="sell",#REF!-E18,"")</f>
        <v/>
      </c>
      <c r="AA18" s="12" t="s">
        <v>57</v>
      </c>
      <c r="AB18" s="12">
        <v>637.52499999999998</v>
      </c>
      <c r="AC18">
        <v>638.17499999999995</v>
      </c>
      <c r="AD18" s="12">
        <v>639.95000000000005</v>
      </c>
      <c r="AE18" s="12">
        <v>639.45000000000005</v>
      </c>
      <c r="AF18" s="12">
        <f t="shared" si="3"/>
        <v>664.2</v>
      </c>
      <c r="AG18" s="12">
        <f t="shared" si="4"/>
        <v>10.206892279239572</v>
      </c>
      <c r="AH18" s="12">
        <f t="shared" si="5"/>
        <v>643.86</v>
      </c>
      <c r="AI18" s="12">
        <f t="shared" si="6"/>
        <v>664.27378455847918</v>
      </c>
      <c r="AJ18" s="12">
        <f t="shared" si="7"/>
        <v>623.44621544152085</v>
      </c>
      <c r="AK18" t="str">
        <f t="shared" si="8"/>
        <v>sell</v>
      </c>
      <c r="BA18" t="s">
        <v>57</v>
      </c>
      <c r="BB18" s="5">
        <v>620.54998999999998</v>
      </c>
      <c r="BC18" s="5">
        <v>621.25</v>
      </c>
      <c r="BD18" s="5">
        <v>623.09997999999996</v>
      </c>
      <c r="BE18" s="5">
        <v>641.75</v>
      </c>
      <c r="BF18" s="5">
        <v>647.65002000000004</v>
      </c>
      <c r="BG18" s="5">
        <v>652.79998999999998</v>
      </c>
      <c r="BH18" s="5">
        <v>654.34997999999996</v>
      </c>
      <c r="BI18" s="5">
        <v>655.34997999999996</v>
      </c>
      <c r="BJ18" s="5" t="str">
        <f t="shared" si="9"/>
        <v>-</v>
      </c>
      <c r="BK18" t="str">
        <f t="shared" si="10"/>
        <v>Pivot sell</v>
      </c>
      <c r="BM18" t="s">
        <v>33</v>
      </c>
      <c r="BN18" t="s">
        <v>57</v>
      </c>
      <c r="BO18">
        <v>645.5</v>
      </c>
      <c r="BP18">
        <v>635.54998999999998</v>
      </c>
      <c r="BQ18">
        <v>633.59997999999996</v>
      </c>
      <c r="BR18">
        <v>655.54998999999998</v>
      </c>
      <c r="BS18">
        <v>655.45001000000002</v>
      </c>
      <c r="BT18">
        <v>648.90002000000004</v>
      </c>
      <c r="BU18">
        <v>626</v>
      </c>
      <c r="BV18">
        <v>655.34997999999996</v>
      </c>
      <c r="BW18" s="5" t="str">
        <f t="shared" si="11"/>
        <v>-</v>
      </c>
      <c r="BX18" t="str">
        <f t="shared" si="0"/>
        <v/>
      </c>
      <c r="BZ18" t="str">
        <f t="shared" si="1"/>
        <v/>
      </c>
    </row>
    <row r="19" spans="2:78" x14ac:dyDescent="0.3">
      <c r="B19" s="11" t="s">
        <v>821</v>
      </c>
      <c r="C19" s="11" t="s">
        <v>821</v>
      </c>
      <c r="D19" s="11" t="s">
        <v>821</v>
      </c>
      <c r="E19" s="15" t="s">
        <v>821</v>
      </c>
      <c r="F19" s="11"/>
      <c r="G19" s="11"/>
      <c r="H19" s="36"/>
      <c r="I19" s="11">
        <v>1211</v>
      </c>
      <c r="J19" s="11">
        <v>1067.1500000000001</v>
      </c>
      <c r="K19" s="15">
        <v>1185.7</v>
      </c>
      <c r="L19" s="10">
        <v>1</v>
      </c>
      <c r="M19" s="12" t="str">
        <f>IFERROR(IF(AND(#REF!="sell",B19&gt;=AI19),"sell",""),"")</f>
        <v/>
      </c>
      <c r="O19" s="10" t="str">
        <f>IFERROR(IF(AND(#REF!="equal",C19&gt;AI19,#REF!="overbought"),"sell",""),"")</f>
        <v/>
      </c>
      <c r="S19" t="str">
        <f>IFERROR(IF(AND(#REF!="sell",C19&gt;=#REF!),"sell",""),"")</f>
        <v/>
      </c>
      <c r="W19" s="40" t="e">
        <f t="shared" si="2"/>
        <v>#VALUE!</v>
      </c>
      <c r="X19" s="12" t="str">
        <f>IF(S19="sell",#REF!-E19,"")</f>
        <v/>
      </c>
      <c r="AA19" s="12" t="s">
        <v>59</v>
      </c>
      <c r="AB19" s="12">
        <v>1200.625</v>
      </c>
      <c r="AC19">
        <v>1198.575</v>
      </c>
      <c r="AD19" s="12">
        <v>1200.3</v>
      </c>
      <c r="AE19" s="12">
        <v>1201.4250000000002</v>
      </c>
      <c r="AF19" s="12">
        <f t="shared" si="3"/>
        <v>1139.075</v>
      </c>
      <c r="AG19" s="12">
        <f t="shared" si="4"/>
        <v>24.480185865307476</v>
      </c>
      <c r="AH19" s="12">
        <f t="shared" si="5"/>
        <v>1188</v>
      </c>
      <c r="AI19" s="12">
        <f t="shared" si="6"/>
        <v>1236.960371730615</v>
      </c>
      <c r="AJ19" s="12">
        <f t="shared" si="7"/>
        <v>1139.039628269385</v>
      </c>
      <c r="AK19" t="str">
        <f t="shared" si="8"/>
        <v>sell</v>
      </c>
      <c r="BA19" t="s">
        <v>59</v>
      </c>
      <c r="BB19" s="5">
        <v>1231.8499999999999</v>
      </c>
      <c r="BC19" s="5">
        <v>1235.95</v>
      </c>
      <c r="BD19" s="5">
        <v>1245.7</v>
      </c>
      <c r="BE19" s="5">
        <v>1238.7</v>
      </c>
      <c r="BF19" s="5">
        <v>1226.0999999999999</v>
      </c>
      <c r="BG19" s="5">
        <v>1230</v>
      </c>
      <c r="BH19" s="5">
        <v>1225.8</v>
      </c>
      <c r="BI19" s="5">
        <v>1211.9000000000001</v>
      </c>
      <c r="BJ19" s="5" t="str">
        <f t="shared" si="9"/>
        <v>-</v>
      </c>
      <c r="BK19" t="str">
        <f t="shared" si="10"/>
        <v/>
      </c>
      <c r="BM19" t="s">
        <v>24</v>
      </c>
      <c r="BN19" t="s">
        <v>59</v>
      </c>
      <c r="BO19">
        <v>1137.25</v>
      </c>
      <c r="BP19">
        <v>1129</v>
      </c>
      <c r="BQ19">
        <v>1137.5</v>
      </c>
      <c r="BR19">
        <v>1175.8</v>
      </c>
      <c r="BS19">
        <v>1172</v>
      </c>
      <c r="BT19">
        <v>1212</v>
      </c>
      <c r="BU19">
        <v>1245.7</v>
      </c>
      <c r="BV19">
        <v>1238.7</v>
      </c>
      <c r="BW19" s="5" t="str">
        <f t="shared" si="11"/>
        <v>-</v>
      </c>
      <c r="BX19" t="str">
        <f t="shared" si="0"/>
        <v>Pivot sell</v>
      </c>
      <c r="BZ19" t="str">
        <f t="shared" si="1"/>
        <v/>
      </c>
    </row>
    <row r="20" spans="2:78" x14ac:dyDescent="0.3">
      <c r="B20" s="11" t="s">
        <v>821</v>
      </c>
      <c r="C20" s="11" t="s">
        <v>821</v>
      </c>
      <c r="D20" s="11" t="s">
        <v>821</v>
      </c>
      <c r="E20" s="15" t="s">
        <v>821</v>
      </c>
      <c r="F20" s="11"/>
      <c r="G20" s="11"/>
      <c r="H20" s="36"/>
      <c r="I20" s="11">
        <v>1336.45</v>
      </c>
      <c r="J20" s="11">
        <v>987.85</v>
      </c>
      <c r="K20" s="15">
        <v>1162.1500000000001</v>
      </c>
      <c r="L20" s="10">
        <v>1</v>
      </c>
      <c r="M20" s="12" t="str">
        <f>IFERROR(IF(AND(#REF!="sell",B20&gt;=AI20),"sell",""),"")</f>
        <v/>
      </c>
      <c r="O20" s="10" t="str">
        <f>IFERROR(IF(AND(#REF!="equal",C20&gt;AI20,#REF!="overbought"),"sell",""),"")</f>
        <v/>
      </c>
      <c r="S20" t="str">
        <f>IFERROR(IF(AND(#REF!="sell",C20&gt;=#REF!),"sell",""),"")</f>
        <v/>
      </c>
      <c r="W20" s="40" t="e">
        <f t="shared" si="2"/>
        <v>#VALUE!</v>
      </c>
      <c r="X20" s="12" t="str">
        <f>IF(S20="sell",#REF!-E20,"")</f>
        <v/>
      </c>
      <c r="AA20" s="12" t="s">
        <v>61</v>
      </c>
      <c r="AB20" s="12">
        <v>1166.55</v>
      </c>
      <c r="AC20">
        <v>1168.4000000000001</v>
      </c>
      <c r="AD20" s="12">
        <v>1170.75</v>
      </c>
      <c r="AE20" s="12">
        <v>1170.75</v>
      </c>
      <c r="AF20" s="12">
        <f t="shared" si="3"/>
        <v>1162.1500000000001</v>
      </c>
      <c r="AG20" s="12">
        <f t="shared" si="4"/>
        <v>3.2005624505701875</v>
      </c>
      <c r="AH20" s="12">
        <f t="shared" si="5"/>
        <v>1167.72</v>
      </c>
      <c r="AI20" s="12">
        <f t="shared" si="6"/>
        <v>1174.1211249011403</v>
      </c>
      <c r="AJ20" s="12">
        <f t="shared" si="7"/>
        <v>1161.3188750988597</v>
      </c>
      <c r="AK20" t="str">
        <f t="shared" si="8"/>
        <v>sell</v>
      </c>
      <c r="BA20" t="s">
        <v>61</v>
      </c>
      <c r="BB20" s="5">
        <v>1142</v>
      </c>
      <c r="BC20" s="5">
        <v>1169.6500000000001</v>
      </c>
      <c r="BD20" s="5">
        <v>1177</v>
      </c>
      <c r="BE20" s="5">
        <v>1196</v>
      </c>
      <c r="BF20" s="5">
        <v>1192.4000000000001</v>
      </c>
      <c r="BG20" s="5">
        <v>1185.9000000000001</v>
      </c>
      <c r="BH20" s="5">
        <v>1179.8</v>
      </c>
      <c r="BI20" s="5">
        <v>1178</v>
      </c>
      <c r="BJ20" s="5" t="str">
        <f t="shared" si="9"/>
        <v>-</v>
      </c>
      <c r="BK20" t="str">
        <f t="shared" si="10"/>
        <v/>
      </c>
      <c r="BM20" t="s">
        <v>24</v>
      </c>
      <c r="BN20" t="s">
        <v>61</v>
      </c>
      <c r="BO20">
        <v>1096.4000000000001</v>
      </c>
      <c r="BP20">
        <v>1071</v>
      </c>
      <c r="BQ20">
        <v>1141.3499999999999</v>
      </c>
      <c r="BR20">
        <v>1182.9000000000001</v>
      </c>
      <c r="BS20">
        <v>1156</v>
      </c>
      <c r="BT20">
        <v>1146</v>
      </c>
      <c r="BU20">
        <v>1177</v>
      </c>
      <c r="BV20">
        <v>1196</v>
      </c>
      <c r="BW20" s="5" t="str">
        <f t="shared" si="11"/>
        <v>-</v>
      </c>
      <c r="BX20" t="str">
        <f t="shared" si="0"/>
        <v/>
      </c>
      <c r="BZ20" t="str">
        <f t="shared" si="1"/>
        <v/>
      </c>
    </row>
    <row r="21" spans="2:78" x14ac:dyDescent="0.3">
      <c r="B21" s="11" t="s">
        <v>821</v>
      </c>
      <c r="C21" s="11" t="s">
        <v>821</v>
      </c>
      <c r="D21" s="11" t="s">
        <v>821</v>
      </c>
      <c r="E21" s="15" t="s">
        <v>821</v>
      </c>
      <c r="F21" s="11"/>
      <c r="G21" s="11"/>
      <c r="H21" s="36"/>
      <c r="I21" s="11">
        <v>9361.6</v>
      </c>
      <c r="J21" s="11">
        <v>8260.35</v>
      </c>
      <c r="K21" s="15">
        <v>9084.75</v>
      </c>
      <c r="L21" s="10">
        <v>1</v>
      </c>
      <c r="M21" s="12" t="str">
        <f>IFERROR(IF(AND(#REF!="sell",B21&gt;=AI21),"sell",""),"")</f>
        <v/>
      </c>
      <c r="O21" s="10" t="str">
        <f>IFERROR(IF(AND(#REF!="equal",C21&gt;AI21,#REF!="overbought"),"sell",""),"")</f>
        <v/>
      </c>
      <c r="S21" t="str">
        <f>IFERROR(IF(AND(#REF!="sell",C21&gt;=#REF!),"sell",""),"")</f>
        <v/>
      </c>
      <c r="W21" s="40" t="e">
        <f t="shared" si="2"/>
        <v>#VALUE!</v>
      </c>
      <c r="X21" s="12" t="str">
        <f>IF(S21="sell",#REF!-E21,"")</f>
        <v/>
      </c>
      <c r="AA21" s="12" t="s">
        <v>63</v>
      </c>
      <c r="AB21" s="12">
        <v>8969.9249999999993</v>
      </c>
      <c r="AC21">
        <v>8959.625</v>
      </c>
      <c r="AD21" s="12">
        <v>8967.7000000000007</v>
      </c>
      <c r="AE21" s="12">
        <v>8988.9750000000004</v>
      </c>
      <c r="AF21" s="12">
        <f t="shared" si="3"/>
        <v>8810.9750000000004</v>
      </c>
      <c r="AG21" s="12">
        <f t="shared" si="4"/>
        <v>64.949779830265697</v>
      </c>
      <c r="AH21" s="12">
        <f t="shared" si="5"/>
        <v>8939.4399999999987</v>
      </c>
      <c r="AI21" s="12">
        <f t="shared" si="6"/>
        <v>9069.3395596605296</v>
      </c>
      <c r="AJ21" s="12">
        <f t="shared" si="7"/>
        <v>8809.5404403394678</v>
      </c>
      <c r="AK21" t="str">
        <f t="shared" si="8"/>
        <v>sell</v>
      </c>
      <c r="BA21" t="s">
        <v>63</v>
      </c>
      <c r="BB21" s="5">
        <v>8850</v>
      </c>
      <c r="BC21" s="5">
        <v>8985</v>
      </c>
      <c r="BD21" s="5">
        <v>9024</v>
      </c>
      <c r="BE21" s="5">
        <v>9069.4501999999993</v>
      </c>
      <c r="BF21" s="5">
        <v>9022.25</v>
      </c>
      <c r="BG21" s="5">
        <v>9139.4501999999993</v>
      </c>
      <c r="BH21" s="5">
        <v>9128.9004000000004</v>
      </c>
      <c r="BI21" s="5">
        <v>9125.5</v>
      </c>
      <c r="BJ21" s="5" t="str">
        <f t="shared" si="9"/>
        <v>-</v>
      </c>
      <c r="BK21" t="str">
        <f t="shared" si="10"/>
        <v/>
      </c>
      <c r="BM21" t="s">
        <v>24</v>
      </c>
      <c r="BN21" t="s">
        <v>63</v>
      </c>
      <c r="BO21">
        <v>9132.7001999999993</v>
      </c>
      <c r="BP21">
        <v>9177.7001999999993</v>
      </c>
      <c r="BQ21">
        <v>8994.9501999999993</v>
      </c>
      <c r="BR21">
        <v>9258.5995999999996</v>
      </c>
      <c r="BS21">
        <v>9185.75</v>
      </c>
      <c r="BT21">
        <v>9125</v>
      </c>
      <c r="BU21">
        <v>9024</v>
      </c>
      <c r="BV21">
        <v>9139.4501999999993</v>
      </c>
      <c r="BW21" s="5" t="str">
        <f t="shared" si="11"/>
        <v>-</v>
      </c>
      <c r="BX21" t="str">
        <f t="shared" si="0"/>
        <v/>
      </c>
      <c r="BZ21" t="str">
        <f t="shared" si="1"/>
        <v/>
      </c>
    </row>
    <row r="22" spans="2:78" x14ac:dyDescent="0.3">
      <c r="B22" s="11" t="s">
        <v>821</v>
      </c>
      <c r="C22" s="11" t="s">
        <v>821</v>
      </c>
      <c r="D22" s="11" t="s">
        <v>821</v>
      </c>
      <c r="E22" s="15" t="s">
        <v>821</v>
      </c>
      <c r="F22" s="11"/>
      <c r="G22" s="11"/>
      <c r="H22" s="36"/>
      <c r="I22" s="11">
        <v>1676</v>
      </c>
      <c r="J22" s="11">
        <v>1375.75</v>
      </c>
      <c r="K22" s="15">
        <v>1528.6</v>
      </c>
      <c r="L22" s="10">
        <v>1</v>
      </c>
      <c r="M22" s="12" t="str">
        <f>IFERROR(IF(AND(#REF!="sell",B22&gt;=AI22),"sell",""),"")</f>
        <v/>
      </c>
      <c r="O22" s="10" t="str">
        <f>IFERROR(IF(AND(#REF!="equal",C22&gt;AI22,#REF!="overbought"),"sell",""),"")</f>
        <v/>
      </c>
      <c r="S22" t="str">
        <f>IFERROR(IF(AND(#REF!="sell",C22&gt;=#REF!),"sell",""),"")</f>
        <v/>
      </c>
      <c r="W22" s="40" t="e">
        <f t="shared" si="2"/>
        <v>#VALUE!</v>
      </c>
      <c r="X22" s="12" t="str">
        <f>IF(S22="sell",#REF!-E22,"")</f>
        <v/>
      </c>
      <c r="AA22" s="12" t="s">
        <v>65</v>
      </c>
      <c r="AB22" s="12">
        <v>1523.9</v>
      </c>
      <c r="AC22">
        <v>1523.8249999999998</v>
      </c>
      <c r="AD22" s="12">
        <v>1526.2</v>
      </c>
      <c r="AE22" s="12">
        <v>1524.2750000000001</v>
      </c>
      <c r="AF22" s="12">
        <f t="shared" si="3"/>
        <v>1525.875</v>
      </c>
      <c r="AG22" s="12">
        <f t="shared" si="4"/>
        <v>1.0149630535147791</v>
      </c>
      <c r="AH22" s="12">
        <f t="shared" si="5"/>
        <v>1524.8150000000001</v>
      </c>
      <c r="AI22" s="12">
        <f t="shared" si="6"/>
        <v>1526.8449261070296</v>
      </c>
      <c r="AJ22" s="12">
        <f t="shared" si="7"/>
        <v>1522.7850738929706</v>
      </c>
      <c r="AK22" t="str">
        <f t="shared" si="8"/>
        <v>sell</v>
      </c>
      <c r="BA22" t="s">
        <v>65</v>
      </c>
      <c r="BB22" s="5">
        <v>1590</v>
      </c>
      <c r="BC22" s="5">
        <v>1613.25</v>
      </c>
      <c r="BD22" s="5">
        <v>1620</v>
      </c>
      <c r="BE22" s="5">
        <v>1612.85</v>
      </c>
      <c r="BF22" s="5">
        <v>1605</v>
      </c>
      <c r="BG22" s="5">
        <v>1602.35</v>
      </c>
      <c r="BH22" s="5">
        <v>1575.2</v>
      </c>
      <c r="BI22" s="5">
        <v>1552.05</v>
      </c>
      <c r="BJ22" s="5" t="str">
        <f t="shared" si="9"/>
        <v>-</v>
      </c>
      <c r="BK22" t="str">
        <f t="shared" si="10"/>
        <v/>
      </c>
      <c r="BM22" t="s">
        <v>24</v>
      </c>
      <c r="BN22" t="s">
        <v>65</v>
      </c>
      <c r="BO22">
        <v>1722</v>
      </c>
      <c r="BP22">
        <v>1692</v>
      </c>
      <c r="BQ22">
        <v>1672</v>
      </c>
      <c r="BR22">
        <v>1725</v>
      </c>
      <c r="BS22">
        <v>1637.9</v>
      </c>
      <c r="BT22">
        <v>1601</v>
      </c>
      <c r="BU22">
        <v>1620</v>
      </c>
      <c r="BV22">
        <v>1612.85</v>
      </c>
      <c r="BW22" s="5" t="str">
        <f t="shared" si="11"/>
        <v>-</v>
      </c>
      <c r="BX22" t="str">
        <f t="shared" si="0"/>
        <v/>
      </c>
      <c r="BZ22" t="str">
        <f t="shared" si="1"/>
        <v/>
      </c>
    </row>
    <row r="23" spans="2:78" x14ac:dyDescent="0.3">
      <c r="B23" s="11" t="s">
        <v>821</v>
      </c>
      <c r="C23" s="11" t="s">
        <v>821</v>
      </c>
      <c r="D23" s="11" t="s">
        <v>821</v>
      </c>
      <c r="E23" s="15" t="s">
        <v>821</v>
      </c>
      <c r="F23" s="11"/>
      <c r="G23" s="11"/>
      <c r="H23" s="36"/>
      <c r="I23" s="11">
        <v>7367.45</v>
      </c>
      <c r="J23" s="11">
        <v>6027.95</v>
      </c>
      <c r="K23" s="15">
        <v>6697.7</v>
      </c>
      <c r="L23" s="10">
        <v>1</v>
      </c>
      <c r="M23" s="12" t="str">
        <f>IFERROR(IF(AND(#REF!="sell",B23&gt;=AI23),"sell",""),"")</f>
        <v/>
      </c>
      <c r="O23" s="10" t="str">
        <f>IFERROR(IF(AND(#REF!="equal",C23&gt;AI23,#REF!="overbought"),"sell",""),"")</f>
        <v/>
      </c>
      <c r="S23" t="str">
        <f>IFERROR(IF(AND(#REF!="sell",C23&gt;=#REF!),"sell",""),"")</f>
        <v/>
      </c>
      <c r="W23" s="40" t="e">
        <f t="shared" si="2"/>
        <v>#VALUE!</v>
      </c>
      <c r="X23" s="12" t="str">
        <f>IF(S23="sell",#REF!-E23,"")</f>
        <v/>
      </c>
      <c r="AA23" s="12" t="s">
        <v>67</v>
      </c>
      <c r="AB23" s="12">
        <v>6621.125</v>
      </c>
      <c r="AC23">
        <v>6625.4750000000004</v>
      </c>
      <c r="AD23" s="12">
        <v>6623.5</v>
      </c>
      <c r="AE23" s="12">
        <v>6621</v>
      </c>
      <c r="AF23" s="12">
        <f t="shared" si="3"/>
        <v>6697.7</v>
      </c>
      <c r="AG23" s="12">
        <f t="shared" si="4"/>
        <v>30.015640089793088</v>
      </c>
      <c r="AH23" s="12">
        <f t="shared" si="5"/>
        <v>6637.7599999999993</v>
      </c>
      <c r="AI23" s="12">
        <f t="shared" si="6"/>
        <v>6697.7912801795856</v>
      </c>
      <c r="AJ23" s="12">
        <f t="shared" si="7"/>
        <v>6577.7287198204131</v>
      </c>
      <c r="AK23" t="str">
        <f t="shared" si="8"/>
        <v>sell</v>
      </c>
      <c r="BA23" t="s">
        <v>67</v>
      </c>
      <c r="BB23" s="5">
        <v>6777.4502000000002</v>
      </c>
      <c r="BC23" s="5">
        <v>6853.5</v>
      </c>
      <c r="BD23" s="5">
        <v>6910</v>
      </c>
      <c r="BE23" s="5">
        <v>6959.5497999999998</v>
      </c>
      <c r="BF23" s="5">
        <v>6945</v>
      </c>
      <c r="BG23" s="5">
        <v>6908</v>
      </c>
      <c r="BH23" s="5">
        <v>6798.9502000000002</v>
      </c>
      <c r="BI23" s="5">
        <v>6771.9502000000002</v>
      </c>
      <c r="BJ23" s="5" t="str">
        <f t="shared" si="9"/>
        <v>-</v>
      </c>
      <c r="BK23" t="str">
        <f t="shared" si="10"/>
        <v/>
      </c>
      <c r="BM23" t="s">
        <v>24</v>
      </c>
      <c r="BN23" t="s">
        <v>67</v>
      </c>
      <c r="BO23">
        <v>7264</v>
      </c>
      <c r="BP23">
        <v>7198.7997999999998</v>
      </c>
      <c r="BQ23">
        <v>7419.4502000000002</v>
      </c>
      <c r="BR23">
        <v>7400</v>
      </c>
      <c r="BS23">
        <v>7019.9502000000002</v>
      </c>
      <c r="BT23">
        <v>6780</v>
      </c>
      <c r="BU23">
        <v>6910</v>
      </c>
      <c r="BV23">
        <v>6959.5497999999998</v>
      </c>
      <c r="BW23" s="5" t="str">
        <f t="shared" si="11"/>
        <v>-</v>
      </c>
      <c r="BX23" t="str">
        <f t="shared" si="0"/>
        <v/>
      </c>
      <c r="BZ23" t="str">
        <f t="shared" si="1"/>
        <v/>
      </c>
    </row>
    <row r="24" spans="2:78" x14ac:dyDescent="0.3">
      <c r="B24" s="11" t="s">
        <v>821</v>
      </c>
      <c r="C24" s="11" t="s">
        <v>821</v>
      </c>
      <c r="D24" s="11" t="s">
        <v>821</v>
      </c>
      <c r="E24" s="15" t="s">
        <v>821</v>
      </c>
      <c r="F24" s="11"/>
      <c r="G24" s="11"/>
      <c r="H24" s="36"/>
      <c r="I24" s="11">
        <v>3200</v>
      </c>
      <c r="J24" s="11">
        <v>2782.2</v>
      </c>
      <c r="K24" s="15">
        <v>3050.05</v>
      </c>
      <c r="L24" s="10">
        <v>1</v>
      </c>
      <c r="M24" s="12" t="str">
        <f>IFERROR(IF(AND(#REF!="sell",B24&gt;=AI24),"sell",""),"")</f>
        <v/>
      </c>
      <c r="O24" s="10" t="str">
        <f>IFERROR(IF(AND(#REF!="equal",C24&gt;AI24,#REF!="overbought"),"sell",""),"")</f>
        <v/>
      </c>
      <c r="S24" t="str">
        <f>IFERROR(IF(AND(#REF!="sell",C24&gt;=#REF!),"sell",""),"")</f>
        <v/>
      </c>
      <c r="W24" s="40" t="e">
        <f t="shared" si="2"/>
        <v>#VALUE!</v>
      </c>
      <c r="X24" s="12" t="str">
        <f>IF(S24="sell",#REF!-E24,"")</f>
        <v/>
      </c>
      <c r="AA24" s="12" t="s">
        <v>69</v>
      </c>
      <c r="AB24" s="12">
        <v>3092.375</v>
      </c>
      <c r="AC24">
        <v>3088.1499999999996</v>
      </c>
      <c r="AD24" s="12">
        <v>3092.6499999999996</v>
      </c>
      <c r="AE24" s="12">
        <v>3096.625</v>
      </c>
      <c r="AF24" s="12">
        <f t="shared" si="3"/>
        <v>2991.1</v>
      </c>
      <c r="AG24" s="12">
        <f t="shared" si="4"/>
        <v>40.628621069388977</v>
      </c>
      <c r="AH24" s="12">
        <f t="shared" si="5"/>
        <v>3072.18</v>
      </c>
      <c r="AI24" s="12">
        <f t="shared" si="6"/>
        <v>3153.4372421387779</v>
      </c>
      <c r="AJ24" s="12">
        <f t="shared" si="7"/>
        <v>2990.9227578612217</v>
      </c>
      <c r="AK24" t="str">
        <f t="shared" si="8"/>
        <v>sell</v>
      </c>
      <c r="BA24" t="s">
        <v>69</v>
      </c>
      <c r="BB24" s="5">
        <v>3164.75</v>
      </c>
      <c r="BC24" s="5">
        <v>3128.95</v>
      </c>
      <c r="BD24" s="5">
        <v>3105.8501000000001</v>
      </c>
      <c r="BE24" s="5">
        <v>3114</v>
      </c>
      <c r="BF24" s="5">
        <v>3121.7</v>
      </c>
      <c r="BG24" s="5">
        <v>3120</v>
      </c>
      <c r="BH24" s="5">
        <v>3145</v>
      </c>
      <c r="BI24" s="5">
        <v>3115.5</v>
      </c>
      <c r="BJ24" s="5" t="str">
        <f t="shared" si="9"/>
        <v>-</v>
      </c>
      <c r="BK24" t="str">
        <f t="shared" si="10"/>
        <v/>
      </c>
      <c r="BM24" t="s">
        <v>24</v>
      </c>
      <c r="BN24" t="s">
        <v>69</v>
      </c>
      <c r="BO24">
        <v>2472.3000000000002</v>
      </c>
      <c r="BP24">
        <v>2402</v>
      </c>
      <c r="BQ24">
        <v>2405</v>
      </c>
      <c r="BR24">
        <v>2478</v>
      </c>
      <c r="BS24">
        <v>2490</v>
      </c>
      <c r="BT24">
        <v>2797.75</v>
      </c>
      <c r="BU24">
        <v>3174.3</v>
      </c>
      <c r="BV24">
        <v>3145</v>
      </c>
      <c r="BW24" s="5" t="str">
        <f t="shared" si="11"/>
        <v>-</v>
      </c>
      <c r="BX24" t="str">
        <f t="shared" si="0"/>
        <v>Pivot sell</v>
      </c>
      <c r="BZ24" t="str">
        <f t="shared" si="1"/>
        <v/>
      </c>
    </row>
    <row r="25" spans="2:78" x14ac:dyDescent="0.3">
      <c r="B25" s="11" t="s">
        <v>821</v>
      </c>
      <c r="C25" s="11" t="s">
        <v>821</v>
      </c>
      <c r="D25" s="11" t="s">
        <v>821</v>
      </c>
      <c r="E25" s="15" t="s">
        <v>821</v>
      </c>
      <c r="F25" s="11"/>
      <c r="G25" s="11"/>
      <c r="H25" s="36"/>
      <c r="I25" s="11">
        <v>403.75</v>
      </c>
      <c r="J25" s="11">
        <v>378.3</v>
      </c>
      <c r="K25" s="15">
        <v>378.25</v>
      </c>
      <c r="L25" s="10">
        <v>1</v>
      </c>
      <c r="M25" s="12" t="str">
        <f>IFERROR(IF(AND(#REF!="sell",B25&gt;=AI25),"sell",""),"")</f>
        <v/>
      </c>
      <c r="O25" s="10" t="str">
        <f>IFERROR(IF(AND(#REF!="equal",C25&gt;AI25,#REF!="overbought"),"sell",""),"")</f>
        <v/>
      </c>
      <c r="S25" t="str">
        <f>IFERROR(IF(AND(#REF!="sell",C25&gt;=#REF!),"sell",""),"")</f>
        <v/>
      </c>
      <c r="W25" s="40" t="e">
        <f t="shared" si="2"/>
        <v>#VALUE!</v>
      </c>
      <c r="X25" s="12" t="str">
        <f>IF(S25="sell",#REF!-E25,"")</f>
        <v/>
      </c>
      <c r="AA25" s="12" t="s">
        <v>71</v>
      </c>
      <c r="AB25" s="12">
        <v>377.57500000000005</v>
      </c>
      <c r="AC25">
        <v>376.625</v>
      </c>
      <c r="AD25" s="12">
        <v>377.72500000000002</v>
      </c>
      <c r="AE25" s="12">
        <v>378.67499999999995</v>
      </c>
      <c r="AF25" s="12">
        <f t="shared" si="3"/>
        <v>391.02499999999998</v>
      </c>
      <c r="AG25" s="12">
        <f t="shared" si="4"/>
        <v>5.3893413326676436</v>
      </c>
      <c r="AH25" s="12">
        <f t="shared" si="5"/>
        <v>380.32499999999999</v>
      </c>
      <c r="AI25" s="12">
        <f t="shared" si="6"/>
        <v>391.10368266533527</v>
      </c>
      <c r="AJ25" s="12">
        <f t="shared" si="7"/>
        <v>369.54631733466471</v>
      </c>
      <c r="AK25" t="str">
        <f t="shared" si="8"/>
        <v>sell</v>
      </c>
      <c r="BA25" t="s">
        <v>71</v>
      </c>
      <c r="BB25" s="5">
        <v>381.29998999999998</v>
      </c>
      <c r="BC25" s="5">
        <v>379.75</v>
      </c>
      <c r="BD25" s="5">
        <v>392</v>
      </c>
      <c r="BE25" s="5">
        <v>392.60001</v>
      </c>
      <c r="BF25" s="5">
        <v>384.85001</v>
      </c>
      <c r="BG25" s="5">
        <v>385</v>
      </c>
      <c r="BH25" s="5">
        <v>383.79998999999998</v>
      </c>
      <c r="BI25" s="5">
        <v>383.79998999999998</v>
      </c>
      <c r="BJ25" s="5" t="str">
        <f t="shared" si="9"/>
        <v>-</v>
      </c>
      <c r="BK25" t="str">
        <f t="shared" si="10"/>
        <v/>
      </c>
      <c r="BM25" t="s">
        <v>24</v>
      </c>
      <c r="BN25" t="s">
        <v>71</v>
      </c>
      <c r="BO25">
        <v>396</v>
      </c>
      <c r="BP25">
        <v>378.29998999999998</v>
      </c>
      <c r="BQ25">
        <v>395.60001</v>
      </c>
      <c r="BR25">
        <v>409.5</v>
      </c>
      <c r="BS25">
        <v>393.89999</v>
      </c>
      <c r="BT25">
        <v>385.39999</v>
      </c>
      <c r="BU25">
        <v>392</v>
      </c>
      <c r="BV25">
        <v>392.60001</v>
      </c>
      <c r="BW25" s="5" t="str">
        <f t="shared" si="11"/>
        <v>-</v>
      </c>
      <c r="BX25" t="str">
        <f t="shared" si="0"/>
        <v/>
      </c>
      <c r="BZ25" t="str">
        <f t="shared" si="1"/>
        <v/>
      </c>
    </row>
    <row r="26" spans="2:78" x14ac:dyDescent="0.3">
      <c r="B26" s="11" t="s">
        <v>821</v>
      </c>
      <c r="C26" s="11" t="s">
        <v>821</v>
      </c>
      <c r="D26" s="11" t="s">
        <v>821</v>
      </c>
      <c r="E26" s="15" t="s">
        <v>821</v>
      </c>
      <c r="F26" s="11"/>
      <c r="G26" s="11"/>
      <c r="H26" s="36"/>
      <c r="I26" s="11">
        <v>194.95</v>
      </c>
      <c r="J26" s="11">
        <v>169.5</v>
      </c>
      <c r="K26" s="15">
        <v>188.3</v>
      </c>
      <c r="L26" s="10">
        <v>1</v>
      </c>
      <c r="M26" s="12" t="str">
        <f>IFERROR(IF(AND(#REF!="sell",B26&gt;=AI26),"sell",""),"")</f>
        <v/>
      </c>
      <c r="O26" s="10" t="str">
        <f>IFERROR(IF(AND(#REF!="equal",C26&gt;AI26,#REF!="overbought"),"sell",""),"")</f>
        <v/>
      </c>
      <c r="S26" t="str">
        <f>IFERROR(IF(AND(#REF!="sell",C26&gt;=#REF!),"sell",""),"")</f>
        <v/>
      </c>
      <c r="W26" s="40" t="e">
        <f t="shared" si="2"/>
        <v>#VALUE!</v>
      </c>
      <c r="X26" s="12" t="str">
        <f>IF(S26="sell",#REF!-E26,"")</f>
        <v/>
      </c>
      <c r="AA26" s="12" t="s">
        <v>73</v>
      </c>
      <c r="AB26" s="12">
        <v>186.42500000000001</v>
      </c>
      <c r="AC26">
        <v>185.95</v>
      </c>
      <c r="AD26" s="12">
        <v>186.25</v>
      </c>
      <c r="AE26" s="12">
        <v>186.7</v>
      </c>
      <c r="AF26" s="12">
        <f t="shared" si="3"/>
        <v>182.22499999999999</v>
      </c>
      <c r="AG26" s="12">
        <f t="shared" si="4"/>
        <v>1.6604668018361597</v>
      </c>
      <c r="AH26" s="12">
        <f t="shared" si="5"/>
        <v>185.51000000000002</v>
      </c>
      <c r="AI26" s="12">
        <f t="shared" si="6"/>
        <v>188.83093360367235</v>
      </c>
      <c r="AJ26" s="12">
        <f t="shared" si="7"/>
        <v>182.18906639632769</v>
      </c>
      <c r="AK26" t="str">
        <f t="shared" si="8"/>
        <v>sell</v>
      </c>
      <c r="BA26" t="s">
        <v>73</v>
      </c>
      <c r="BB26" s="5">
        <v>185.39999</v>
      </c>
      <c r="BC26" s="5">
        <v>189.14999</v>
      </c>
      <c r="BD26" s="5">
        <v>189.8</v>
      </c>
      <c r="BE26" s="5">
        <v>189.95</v>
      </c>
      <c r="BF26" s="5">
        <v>193.35001</v>
      </c>
      <c r="BG26" s="5">
        <v>194.10001</v>
      </c>
      <c r="BH26" s="5">
        <v>192.14999</v>
      </c>
      <c r="BI26" s="5">
        <v>189.10001</v>
      </c>
      <c r="BJ26" s="5" t="str">
        <f t="shared" si="9"/>
        <v>-</v>
      </c>
      <c r="BK26" t="str">
        <f t="shared" si="10"/>
        <v/>
      </c>
      <c r="BM26" t="s">
        <v>24</v>
      </c>
      <c r="BN26" t="s">
        <v>73</v>
      </c>
      <c r="BO26">
        <v>189.25</v>
      </c>
      <c r="BP26">
        <v>181.95</v>
      </c>
      <c r="BQ26">
        <v>185.85001</v>
      </c>
      <c r="BR26">
        <v>192.55</v>
      </c>
      <c r="BS26">
        <v>189.5</v>
      </c>
      <c r="BT26">
        <v>191.39999</v>
      </c>
      <c r="BU26">
        <v>189.8</v>
      </c>
      <c r="BV26">
        <v>194.10001</v>
      </c>
      <c r="BW26" s="5" t="str">
        <f t="shared" si="11"/>
        <v>-</v>
      </c>
      <c r="BX26" t="str">
        <f t="shared" si="0"/>
        <v/>
      </c>
      <c r="BZ26" t="str">
        <f t="shared" si="1"/>
        <v/>
      </c>
    </row>
    <row r="27" spans="2:78" x14ac:dyDescent="0.3">
      <c r="B27" s="11" t="s">
        <v>821</v>
      </c>
      <c r="C27" s="11" t="s">
        <v>821</v>
      </c>
      <c r="D27" s="11" t="s">
        <v>821</v>
      </c>
      <c r="E27" s="15" t="s">
        <v>821</v>
      </c>
      <c r="F27" s="11"/>
      <c r="G27" s="11"/>
      <c r="H27" s="36"/>
      <c r="I27" s="11">
        <v>291.35000000000002</v>
      </c>
      <c r="J27" s="11">
        <v>250</v>
      </c>
      <c r="K27" s="15">
        <v>264.89</v>
      </c>
      <c r="L27" s="10">
        <v>1</v>
      </c>
      <c r="M27" s="12" t="str">
        <f>IFERROR(IF(AND(#REF!="sell",B27&gt;=AI27),"sell",""),"")</f>
        <v/>
      </c>
      <c r="O27" s="10" t="str">
        <f>IFERROR(IF(AND(#REF!="equal",C27&gt;AI27,#REF!="overbought"),"sell",""),"")</f>
        <v/>
      </c>
      <c r="S27" t="str">
        <f>IFERROR(IF(AND(#REF!="sell",C27&gt;=#REF!),"sell",""),"")</f>
        <v/>
      </c>
      <c r="W27" s="40" t="e">
        <f t="shared" si="2"/>
        <v>#VALUE!</v>
      </c>
      <c r="X27" s="12" t="str">
        <f>IF(S27="sell",#REF!-E27,"")</f>
        <v/>
      </c>
      <c r="AA27" s="12" t="s">
        <v>75</v>
      </c>
      <c r="AB27" s="12">
        <v>262.625</v>
      </c>
      <c r="AC27">
        <v>262.5</v>
      </c>
      <c r="AD27" s="12">
        <v>262.95000000000005</v>
      </c>
      <c r="AE27" s="12">
        <v>263.42499999999995</v>
      </c>
      <c r="AF27" s="12">
        <f t="shared" si="3"/>
        <v>270.67500000000001</v>
      </c>
      <c r="AG27" s="12">
        <f t="shared" si="4"/>
        <v>3.1363434123195151</v>
      </c>
      <c r="AH27" s="12">
        <f t="shared" si="5"/>
        <v>264.435</v>
      </c>
      <c r="AI27" s="12">
        <f t="shared" si="6"/>
        <v>270.70768682463904</v>
      </c>
      <c r="AJ27" s="12">
        <f t="shared" si="7"/>
        <v>258.16231317536096</v>
      </c>
      <c r="AK27" t="str">
        <f t="shared" si="8"/>
        <v>sell</v>
      </c>
      <c r="BA27" t="s">
        <v>75</v>
      </c>
      <c r="BB27" s="5">
        <v>267.95001000000002</v>
      </c>
      <c r="BC27" s="5">
        <v>272</v>
      </c>
      <c r="BD27" s="5">
        <v>272.20001000000002</v>
      </c>
      <c r="BE27" s="5">
        <v>273.39999</v>
      </c>
      <c r="BF27" s="5">
        <v>271.79998999999998</v>
      </c>
      <c r="BG27" s="5">
        <v>266.20001000000002</v>
      </c>
      <c r="BH27" s="5">
        <v>267.39999</v>
      </c>
      <c r="BI27" s="5">
        <v>266.35001</v>
      </c>
      <c r="BJ27" s="5" t="str">
        <f t="shared" si="9"/>
        <v>-</v>
      </c>
      <c r="BK27" t="str">
        <f t="shared" si="10"/>
        <v/>
      </c>
      <c r="BM27" t="s">
        <v>24</v>
      </c>
      <c r="BN27" t="s">
        <v>75</v>
      </c>
      <c r="BO27">
        <v>272.45001000000002</v>
      </c>
      <c r="BP27">
        <v>266.5</v>
      </c>
      <c r="BQ27">
        <v>272.70001000000002</v>
      </c>
      <c r="BR27">
        <v>284.79998999999998</v>
      </c>
      <c r="BS27">
        <v>276</v>
      </c>
      <c r="BT27">
        <v>267.70001000000002</v>
      </c>
      <c r="BU27">
        <v>272.20001000000002</v>
      </c>
      <c r="BV27">
        <v>273.39999</v>
      </c>
      <c r="BW27" s="5" t="str">
        <f t="shared" si="11"/>
        <v>-</v>
      </c>
      <c r="BX27" t="str">
        <f t="shared" si="0"/>
        <v/>
      </c>
      <c r="BZ27" t="str">
        <f t="shared" si="1"/>
        <v/>
      </c>
    </row>
    <row r="28" spans="2:78" x14ac:dyDescent="0.3">
      <c r="B28" s="11" t="s">
        <v>821</v>
      </c>
      <c r="C28" s="11" t="s">
        <v>821</v>
      </c>
      <c r="D28" s="11" t="s">
        <v>821</v>
      </c>
      <c r="E28" s="15" t="s">
        <v>821</v>
      </c>
      <c r="F28" s="11"/>
      <c r="G28" s="11"/>
      <c r="H28" s="36"/>
      <c r="I28" s="11">
        <v>1433.7</v>
      </c>
      <c r="J28" s="11">
        <v>1360.85</v>
      </c>
      <c r="K28" s="15">
        <v>1365.45</v>
      </c>
      <c r="L28" s="10">
        <v>1</v>
      </c>
      <c r="M28" s="12" t="str">
        <f>IFERROR(IF(AND(#REF!="sell",B28&gt;=AI28),"sell",""),"")</f>
        <v/>
      </c>
      <c r="O28" s="10" t="str">
        <f>IFERROR(IF(AND(#REF!="equal",C28&gt;AI28,#REF!="overbought"),"sell",""),"")</f>
        <v/>
      </c>
      <c r="S28" t="str">
        <f>IFERROR(IF(AND(#REF!="sell",C28&gt;=#REF!),"sell",""),"")</f>
        <v/>
      </c>
      <c r="W28" s="40" t="e">
        <f t="shared" si="2"/>
        <v>#VALUE!</v>
      </c>
      <c r="X28" s="12" t="str">
        <f>IF(S28="sell",#REF!-E28,"")</f>
        <v/>
      </c>
      <c r="AA28" s="12" t="s">
        <v>77</v>
      </c>
      <c r="AB28" s="12">
        <v>1372.95</v>
      </c>
      <c r="AC28">
        <v>1370.5250000000001</v>
      </c>
      <c r="AD28" s="12">
        <v>1372.45</v>
      </c>
      <c r="AE28" s="12">
        <v>1373.25</v>
      </c>
      <c r="AF28" s="12">
        <f t="shared" si="3"/>
        <v>1397.2750000000001</v>
      </c>
      <c r="AG28" s="12">
        <f t="shared" si="4"/>
        <v>10.037412515185391</v>
      </c>
      <c r="AH28" s="12">
        <f t="shared" si="5"/>
        <v>1377.2900000000002</v>
      </c>
      <c r="AI28" s="12">
        <f t="shared" si="6"/>
        <v>1397.3648250303709</v>
      </c>
      <c r="AJ28" s="12">
        <f t="shared" si="7"/>
        <v>1357.2151749696295</v>
      </c>
      <c r="AK28" t="str">
        <f t="shared" si="8"/>
        <v>sell</v>
      </c>
      <c r="BA28" t="s">
        <v>77</v>
      </c>
      <c r="BB28" s="5">
        <v>1375.85</v>
      </c>
      <c r="BC28" s="5">
        <v>1369.75</v>
      </c>
      <c r="BD28" s="5">
        <v>1356.8</v>
      </c>
      <c r="BE28" s="5">
        <v>1363.05</v>
      </c>
      <c r="BF28" s="5">
        <v>1364.6</v>
      </c>
      <c r="BG28" s="5">
        <v>1377</v>
      </c>
      <c r="BH28" s="5">
        <v>1417.85</v>
      </c>
      <c r="BI28" s="5">
        <v>1398.75</v>
      </c>
      <c r="BJ28" s="5" t="str">
        <f t="shared" si="9"/>
        <v>-</v>
      </c>
      <c r="BK28" t="str">
        <f t="shared" si="10"/>
        <v>Pivot sell</v>
      </c>
      <c r="BM28" t="s">
        <v>33</v>
      </c>
      <c r="BN28" t="s">
        <v>77</v>
      </c>
      <c r="BO28">
        <v>1404.4</v>
      </c>
      <c r="BP28">
        <v>1382</v>
      </c>
      <c r="BQ28">
        <v>1387.95</v>
      </c>
      <c r="BR28">
        <v>1374.8</v>
      </c>
      <c r="BS28">
        <v>1345</v>
      </c>
      <c r="BT28">
        <v>1378.2</v>
      </c>
      <c r="BU28">
        <v>1386.8</v>
      </c>
      <c r="BV28">
        <v>1417.85</v>
      </c>
      <c r="BW28" s="5" t="str">
        <f t="shared" si="11"/>
        <v>-</v>
      </c>
      <c r="BX28" t="str">
        <f t="shared" si="0"/>
        <v/>
      </c>
      <c r="BZ28" t="str">
        <f t="shared" si="1"/>
        <v/>
      </c>
    </row>
    <row r="29" spans="2:78" x14ac:dyDescent="0.3">
      <c r="B29" s="11" t="s">
        <v>821</v>
      </c>
      <c r="C29" s="11" t="s">
        <v>821</v>
      </c>
      <c r="D29" s="11" t="s">
        <v>821</v>
      </c>
      <c r="E29" s="15" t="s">
        <v>821</v>
      </c>
      <c r="F29" s="11"/>
      <c r="G29" s="11"/>
      <c r="H29" s="36"/>
      <c r="I29" s="11">
        <v>325.5</v>
      </c>
      <c r="J29" s="11">
        <v>266.35000000000002</v>
      </c>
      <c r="K29" s="15">
        <v>295.95</v>
      </c>
      <c r="L29" s="10">
        <v>1</v>
      </c>
      <c r="M29" s="12" t="str">
        <f>IFERROR(IF(AND(#REF!="sell",B29&gt;=AI29),"sell",""),"")</f>
        <v/>
      </c>
      <c r="O29" s="10" t="str">
        <f>IFERROR(IF(AND(#REF!="equal",C29&gt;AI29,#REF!="overbought"),"sell",""),"")</f>
        <v/>
      </c>
      <c r="S29" t="str">
        <f>IFERROR(IF(AND(#REF!="sell",C29&gt;=#REF!),"sell",""),"")</f>
        <v/>
      </c>
      <c r="W29" s="40" t="e">
        <f t="shared" si="2"/>
        <v>#VALUE!</v>
      </c>
      <c r="X29" s="12" t="str">
        <f>IF(S29="sell",#REF!-E29,"")</f>
        <v/>
      </c>
      <c r="AA29" s="12" t="s">
        <v>79</v>
      </c>
      <c r="AB29" s="12">
        <v>290.57499999999999</v>
      </c>
      <c r="AC29">
        <v>289.97500000000002</v>
      </c>
      <c r="AD29" s="12">
        <v>290.5</v>
      </c>
      <c r="AE29" s="12">
        <v>291.92500000000001</v>
      </c>
      <c r="AF29" s="12">
        <f t="shared" si="3"/>
        <v>295.92500000000001</v>
      </c>
      <c r="AG29" s="12">
        <f t="shared" si="4"/>
        <v>2.1702764800826664</v>
      </c>
      <c r="AH29" s="12">
        <f t="shared" si="5"/>
        <v>291.77999999999997</v>
      </c>
      <c r="AI29" s="12">
        <f t="shared" si="6"/>
        <v>296.1205529601653</v>
      </c>
      <c r="AJ29" s="12">
        <f t="shared" si="7"/>
        <v>287.43944703983465</v>
      </c>
      <c r="AK29" t="str">
        <f t="shared" si="8"/>
        <v>sell</v>
      </c>
      <c r="BA29" t="s">
        <v>79</v>
      </c>
      <c r="BB29" s="5">
        <v>284.5</v>
      </c>
      <c r="BC29" s="5">
        <v>293.29998999999998</v>
      </c>
      <c r="BD29" s="5">
        <v>299.89999</v>
      </c>
      <c r="BE29" s="5">
        <v>303.20001000000002</v>
      </c>
      <c r="BF29" s="5">
        <v>295.75</v>
      </c>
      <c r="BG29" s="5">
        <v>293.95001000000002</v>
      </c>
      <c r="BH29" s="5">
        <v>296.29998999999998</v>
      </c>
      <c r="BI29" s="5">
        <v>297.20001000000002</v>
      </c>
      <c r="BJ29" s="5" t="str">
        <f t="shared" si="9"/>
        <v>-</v>
      </c>
      <c r="BK29" t="str">
        <f t="shared" si="10"/>
        <v/>
      </c>
      <c r="BM29" t="s">
        <v>24</v>
      </c>
      <c r="BN29" t="s">
        <v>79</v>
      </c>
      <c r="BO29">
        <v>235.39999</v>
      </c>
      <c r="BP29">
        <v>238</v>
      </c>
      <c r="BQ29">
        <v>241.64999</v>
      </c>
      <c r="BR29">
        <v>240.2</v>
      </c>
      <c r="BS29">
        <v>238.2</v>
      </c>
      <c r="BT29">
        <v>260.60001</v>
      </c>
      <c r="BU29">
        <v>299.89999</v>
      </c>
      <c r="BV29">
        <v>303.20001000000002</v>
      </c>
      <c r="BW29" s="5" t="str">
        <f t="shared" si="11"/>
        <v>-</v>
      </c>
      <c r="BX29" t="str">
        <f t="shared" si="0"/>
        <v>Pivot sell</v>
      </c>
      <c r="BZ29" t="str">
        <f t="shared" si="1"/>
        <v/>
      </c>
    </row>
    <row r="30" spans="2:78" x14ac:dyDescent="0.3">
      <c r="B30" s="11" t="s">
        <v>821</v>
      </c>
      <c r="C30" s="11" t="s">
        <v>821</v>
      </c>
      <c r="D30" s="11" t="s">
        <v>821</v>
      </c>
      <c r="E30" s="15" t="s">
        <v>821</v>
      </c>
      <c r="F30" s="11"/>
      <c r="G30" s="11"/>
      <c r="H30" s="36"/>
      <c r="I30" s="11">
        <v>489.7</v>
      </c>
      <c r="J30" s="11">
        <v>414</v>
      </c>
      <c r="K30" s="15">
        <v>460</v>
      </c>
      <c r="L30" s="10">
        <v>1</v>
      </c>
      <c r="M30" s="12" t="str">
        <f>IFERROR(IF(AND(#REF!="sell",B30&gt;=AI30),"sell",""),"")</f>
        <v/>
      </c>
      <c r="O30" s="10" t="str">
        <f>IFERROR(IF(AND(#REF!="equal",C30&gt;AI30,#REF!="overbought"),"sell",""),"")</f>
        <v/>
      </c>
      <c r="S30" t="str">
        <f>IFERROR(IF(AND(#REF!="sell",C30&gt;=#REF!),"sell",""),"")</f>
        <v/>
      </c>
      <c r="W30" s="40" t="e">
        <f t="shared" si="2"/>
        <v>#VALUE!</v>
      </c>
      <c r="X30" s="12" t="str">
        <f>IF(S30="sell",#REF!-E30,"")</f>
        <v/>
      </c>
      <c r="AA30" s="12" t="s">
        <v>81</v>
      </c>
      <c r="AB30" s="12">
        <v>476.95000000000005</v>
      </c>
      <c r="AC30">
        <v>476.625</v>
      </c>
      <c r="AD30" s="12">
        <v>478.2</v>
      </c>
      <c r="AE30" s="12">
        <v>479.47500000000002</v>
      </c>
      <c r="AF30" s="12">
        <f t="shared" si="3"/>
        <v>451.85</v>
      </c>
      <c r="AG30" s="12">
        <f t="shared" si="4"/>
        <v>10.433688226125982</v>
      </c>
      <c r="AH30" s="12">
        <f t="shared" si="5"/>
        <v>472.62</v>
      </c>
      <c r="AI30" s="12">
        <f t="shared" si="6"/>
        <v>493.48737645225197</v>
      </c>
      <c r="AJ30" s="12">
        <f t="shared" si="7"/>
        <v>451.75262354774804</v>
      </c>
      <c r="AK30" t="str">
        <f t="shared" si="8"/>
        <v>sell</v>
      </c>
      <c r="BA30" t="s">
        <v>81</v>
      </c>
      <c r="BB30" s="5">
        <v>494</v>
      </c>
      <c r="BC30" s="5">
        <v>491.64999</v>
      </c>
      <c r="BD30" s="5">
        <v>489.89999</v>
      </c>
      <c r="BE30" s="5">
        <v>493.89999</v>
      </c>
      <c r="BF30" s="5">
        <v>497.60001</v>
      </c>
      <c r="BG30" s="5">
        <v>501.39999</v>
      </c>
      <c r="BH30" s="5">
        <v>491.89999</v>
      </c>
      <c r="BI30" s="5">
        <v>481.45001000000002</v>
      </c>
      <c r="BJ30" s="5" t="str">
        <f t="shared" si="9"/>
        <v>-</v>
      </c>
      <c r="BK30" t="str">
        <f t="shared" si="10"/>
        <v/>
      </c>
      <c r="BM30" t="s">
        <v>24</v>
      </c>
      <c r="BN30" t="s">
        <v>81</v>
      </c>
      <c r="BO30">
        <v>564.54998999999998</v>
      </c>
      <c r="BP30">
        <v>552.54998999999998</v>
      </c>
      <c r="BQ30">
        <v>516</v>
      </c>
      <c r="BR30">
        <v>526.90002000000004</v>
      </c>
      <c r="BS30">
        <v>527.75</v>
      </c>
      <c r="BT30">
        <v>499.39999</v>
      </c>
      <c r="BU30">
        <v>494.89999</v>
      </c>
      <c r="BV30">
        <v>501.39999</v>
      </c>
      <c r="BW30" s="5" t="str">
        <f t="shared" si="11"/>
        <v>-</v>
      </c>
      <c r="BX30" t="str">
        <f t="shared" si="0"/>
        <v/>
      </c>
      <c r="BZ30" t="str">
        <f t="shared" si="1"/>
        <v/>
      </c>
    </row>
    <row r="31" spans="2:78" x14ac:dyDescent="0.3">
      <c r="B31" s="11" t="s">
        <v>821</v>
      </c>
      <c r="C31" s="11" t="s">
        <v>821</v>
      </c>
      <c r="D31" s="11" t="s">
        <v>821</v>
      </c>
      <c r="E31" s="15" t="s">
        <v>821</v>
      </c>
      <c r="F31" s="11"/>
      <c r="G31" s="11"/>
      <c r="H31" s="36"/>
      <c r="I31" s="11">
        <v>1642</v>
      </c>
      <c r="J31" s="11">
        <v>1399.1</v>
      </c>
      <c r="K31" s="15">
        <v>1554.55</v>
      </c>
      <c r="L31" s="10">
        <v>1</v>
      </c>
      <c r="M31" s="12" t="str">
        <f>IFERROR(IF(AND(#REF!="sell",B31&gt;=AI31),"sell",""),"")</f>
        <v/>
      </c>
      <c r="O31" s="10" t="str">
        <f>IFERROR(IF(AND(#REF!="equal",C31&gt;AI31,#REF!="overbought"),"sell",""),"")</f>
        <v/>
      </c>
      <c r="S31" t="str">
        <f>IFERROR(IF(AND(#REF!="sell",C31&gt;=#REF!),"sell",""),"")</f>
        <v/>
      </c>
      <c r="W31" s="40" t="e">
        <f t="shared" si="2"/>
        <v>#VALUE!</v>
      </c>
      <c r="X31" s="12" t="str">
        <f>IF(S31="sell",#REF!-E31,"")</f>
        <v/>
      </c>
      <c r="AA31" s="12" t="s">
        <v>83</v>
      </c>
      <c r="AB31" s="12">
        <v>1554.2249999999999</v>
      </c>
      <c r="AC31">
        <v>1551.375</v>
      </c>
      <c r="AD31" s="12">
        <v>1553.1</v>
      </c>
      <c r="AE31" s="12">
        <v>1556.45</v>
      </c>
      <c r="AF31" s="12">
        <f t="shared" si="3"/>
        <v>1520.55</v>
      </c>
      <c r="AG31" s="12">
        <f t="shared" si="4"/>
        <v>13.396702952592484</v>
      </c>
      <c r="AH31" s="12">
        <f t="shared" si="5"/>
        <v>1547.1399999999999</v>
      </c>
      <c r="AI31" s="12">
        <f t="shared" si="6"/>
        <v>1573.9334059051848</v>
      </c>
      <c r="AJ31" s="12">
        <f t="shared" si="7"/>
        <v>1520.3465940948149</v>
      </c>
      <c r="AK31" t="str">
        <f t="shared" si="8"/>
        <v>sell</v>
      </c>
      <c r="BA31" t="s">
        <v>83</v>
      </c>
      <c r="BB31" s="5">
        <v>1510.95</v>
      </c>
      <c r="BC31" s="5">
        <v>1499.9</v>
      </c>
      <c r="BD31" s="5">
        <v>1587</v>
      </c>
      <c r="BE31" s="5">
        <v>1591</v>
      </c>
      <c r="BF31" s="5">
        <v>1600</v>
      </c>
      <c r="BG31" s="5">
        <v>1573</v>
      </c>
      <c r="BH31" s="5">
        <v>1579.7</v>
      </c>
      <c r="BI31" s="5">
        <v>1586.95</v>
      </c>
      <c r="BJ31" s="5" t="str">
        <f t="shared" si="9"/>
        <v>-</v>
      </c>
      <c r="BK31" t="str">
        <f t="shared" si="10"/>
        <v/>
      </c>
      <c r="BM31" t="s">
        <v>24</v>
      </c>
      <c r="BN31" t="s">
        <v>83</v>
      </c>
      <c r="BO31">
        <v>1187</v>
      </c>
      <c r="BP31">
        <v>1196.8</v>
      </c>
      <c r="BQ31">
        <v>1326</v>
      </c>
      <c r="BR31">
        <v>1316.9</v>
      </c>
      <c r="BS31">
        <v>1474.4</v>
      </c>
      <c r="BT31">
        <v>1495.75</v>
      </c>
      <c r="BU31">
        <v>1587</v>
      </c>
      <c r="BV31">
        <v>1600</v>
      </c>
      <c r="BW31" s="5" t="str">
        <f t="shared" si="11"/>
        <v>-</v>
      </c>
      <c r="BX31" t="str">
        <f t="shared" si="0"/>
        <v>Pivot sell</v>
      </c>
      <c r="BZ31" t="str">
        <f t="shared" si="1"/>
        <v/>
      </c>
    </row>
    <row r="32" spans="2:78" x14ac:dyDescent="0.3">
      <c r="B32" s="11" t="s">
        <v>821</v>
      </c>
      <c r="C32" s="11" t="s">
        <v>821</v>
      </c>
      <c r="D32" s="11" t="s">
        <v>821</v>
      </c>
      <c r="E32" s="15" t="s">
        <v>821</v>
      </c>
      <c r="F32" s="11"/>
      <c r="G32" s="11"/>
      <c r="H32" s="36"/>
      <c r="I32" s="11">
        <v>1400</v>
      </c>
      <c r="J32" s="11">
        <v>1235.5</v>
      </c>
      <c r="K32" s="15">
        <v>1372.75</v>
      </c>
      <c r="L32" s="10">
        <v>1</v>
      </c>
      <c r="M32" s="12" t="str">
        <f>IFERROR(IF(AND(#REF!="sell",B32&gt;=AI32),"sell",""),"")</f>
        <v/>
      </c>
      <c r="O32" s="10" t="str">
        <f>IFERROR(IF(AND(#REF!="equal",C32&gt;AI32,#REF!="overbought"),"sell",""),"")</f>
        <v/>
      </c>
      <c r="S32" t="str">
        <f>IFERROR(IF(AND(#REF!="sell",C32&gt;=#REF!),"sell",""),"")</f>
        <v/>
      </c>
      <c r="W32" s="40" t="e">
        <f t="shared" si="2"/>
        <v>#VALUE!</v>
      </c>
      <c r="X32" s="12" t="str">
        <f>IF(S32="sell",#REF!-E32,"")</f>
        <v/>
      </c>
      <c r="AA32" s="12" t="s">
        <v>85</v>
      </c>
      <c r="AB32" s="12">
        <v>1376.2750000000001</v>
      </c>
      <c r="AC32">
        <v>1378.4749999999999</v>
      </c>
      <c r="AD32" s="12">
        <v>1378.45</v>
      </c>
      <c r="AE32" s="12">
        <v>1381.0250000000001</v>
      </c>
      <c r="AF32" s="12">
        <f t="shared" si="3"/>
        <v>1317.75</v>
      </c>
      <c r="AG32" s="12">
        <f t="shared" si="4"/>
        <v>24.3689833600009</v>
      </c>
      <c r="AH32" s="12">
        <f t="shared" si="5"/>
        <v>1366.395</v>
      </c>
      <c r="AI32" s="12">
        <f t="shared" si="6"/>
        <v>1415.1329667200018</v>
      </c>
      <c r="AJ32" s="12">
        <f t="shared" si="7"/>
        <v>1317.6570332799981</v>
      </c>
      <c r="AK32" t="str">
        <f t="shared" si="8"/>
        <v>sell</v>
      </c>
      <c r="BA32" t="s">
        <v>85</v>
      </c>
      <c r="BB32" s="5">
        <v>1351</v>
      </c>
      <c r="BC32" s="5">
        <v>1377.3</v>
      </c>
      <c r="BD32" s="5">
        <v>1397.75</v>
      </c>
      <c r="BE32" s="5">
        <v>1407</v>
      </c>
      <c r="BF32" s="5">
        <v>1386.95</v>
      </c>
      <c r="BG32" s="5">
        <v>1390.25</v>
      </c>
      <c r="BH32" s="5">
        <v>1386.45</v>
      </c>
      <c r="BI32" s="5">
        <v>1388</v>
      </c>
      <c r="BJ32" s="5" t="str">
        <f t="shared" si="9"/>
        <v>-</v>
      </c>
      <c r="BK32" t="str">
        <f t="shared" si="10"/>
        <v/>
      </c>
      <c r="BM32" t="s">
        <v>24</v>
      </c>
      <c r="BN32" t="s">
        <v>85</v>
      </c>
      <c r="BO32">
        <v>1231.8499999999999</v>
      </c>
      <c r="BP32">
        <v>1296.5</v>
      </c>
      <c r="BQ32">
        <v>1354</v>
      </c>
      <c r="BR32">
        <v>1346</v>
      </c>
      <c r="BS32">
        <v>1308.5</v>
      </c>
      <c r="BT32">
        <v>1360</v>
      </c>
      <c r="BU32">
        <v>1397.75</v>
      </c>
      <c r="BV32">
        <v>1407</v>
      </c>
      <c r="BW32" s="5" t="str">
        <f t="shared" si="11"/>
        <v>-</v>
      </c>
      <c r="BX32" t="str">
        <f t="shared" si="0"/>
        <v>Pivot sell</v>
      </c>
      <c r="BZ32" t="str">
        <f t="shared" si="1"/>
        <v/>
      </c>
    </row>
    <row r="33" spans="2:78" x14ac:dyDescent="0.3">
      <c r="B33" s="11" t="s">
        <v>821</v>
      </c>
      <c r="C33" s="11" t="s">
        <v>821</v>
      </c>
      <c r="D33" s="11" t="s">
        <v>821</v>
      </c>
      <c r="E33" s="15" t="s">
        <v>821</v>
      </c>
      <c r="F33" s="11"/>
      <c r="G33" s="11"/>
      <c r="H33" s="36"/>
      <c r="I33" s="11">
        <v>328.75</v>
      </c>
      <c r="J33" s="11">
        <v>269.05</v>
      </c>
      <c r="K33" s="15">
        <v>298.89</v>
      </c>
      <c r="L33" s="10">
        <v>1</v>
      </c>
      <c r="M33" s="12" t="str">
        <f>IFERROR(IF(AND(#REF!="sell",B33&gt;=AI33),"sell",""),"")</f>
        <v/>
      </c>
      <c r="O33" s="10" t="str">
        <f>IFERROR(IF(AND(#REF!="equal",C33&gt;AI33,#REF!="overbought"),"sell",""),"")</f>
        <v/>
      </c>
      <c r="S33" t="str">
        <f>IFERROR(IF(AND(#REF!="sell",C33&gt;=#REF!),"sell",""),"")</f>
        <v/>
      </c>
      <c r="W33" s="40" t="e">
        <f t="shared" si="2"/>
        <v>#VALUE!</v>
      </c>
      <c r="X33" s="12" t="str">
        <f>IF(S33="sell",#REF!-E33,"")</f>
        <v/>
      </c>
      <c r="AA33" s="12" t="s">
        <v>87</v>
      </c>
      <c r="AB33" s="12">
        <v>290.625</v>
      </c>
      <c r="AC33">
        <v>290</v>
      </c>
      <c r="AD33" s="12">
        <v>291.375</v>
      </c>
      <c r="AE33" s="12">
        <v>293.125</v>
      </c>
      <c r="AF33" s="12">
        <f t="shared" si="3"/>
        <v>298.89999999999998</v>
      </c>
      <c r="AG33" s="12">
        <f t="shared" si="4"/>
        <v>3.2223205923681686</v>
      </c>
      <c r="AH33" s="12">
        <f t="shared" si="5"/>
        <v>292.80500000000001</v>
      </c>
      <c r="AI33" s="12">
        <f t="shared" si="6"/>
        <v>299.24964118473633</v>
      </c>
      <c r="AJ33" s="12">
        <f t="shared" si="7"/>
        <v>286.36035881526368</v>
      </c>
      <c r="AK33" t="str">
        <f t="shared" si="8"/>
        <v>sell</v>
      </c>
      <c r="BA33" t="s">
        <v>87</v>
      </c>
      <c r="BB33" s="5">
        <v>309.64999</v>
      </c>
      <c r="BC33" s="5">
        <v>308.70001000000002</v>
      </c>
      <c r="BD33" s="5">
        <v>310.20001000000002</v>
      </c>
      <c r="BE33" s="5">
        <v>307.45001000000002</v>
      </c>
      <c r="BF33" s="5">
        <v>300.89999</v>
      </c>
      <c r="BG33" s="5">
        <v>296.95001000000002</v>
      </c>
      <c r="BH33" s="5">
        <v>295.29998999999998</v>
      </c>
      <c r="BI33" s="5">
        <v>300.60001</v>
      </c>
      <c r="BJ33" s="5" t="str">
        <f t="shared" si="9"/>
        <v>-</v>
      </c>
      <c r="BK33" t="str">
        <f t="shared" si="10"/>
        <v/>
      </c>
      <c r="BM33" t="s">
        <v>24</v>
      </c>
      <c r="BN33" t="s">
        <v>87</v>
      </c>
      <c r="BO33">
        <v>269.20001000000002</v>
      </c>
      <c r="BP33">
        <v>263</v>
      </c>
      <c r="BQ33">
        <v>281.45001000000002</v>
      </c>
      <c r="BR33">
        <v>318.29998999999998</v>
      </c>
      <c r="BS33">
        <v>308.60001</v>
      </c>
      <c r="BT33">
        <v>313</v>
      </c>
      <c r="BU33">
        <v>322.5</v>
      </c>
      <c r="BV33">
        <v>307.45001000000002</v>
      </c>
      <c r="BW33" s="5" t="str">
        <f t="shared" si="11"/>
        <v>-</v>
      </c>
      <c r="BX33" t="str">
        <f t="shared" si="0"/>
        <v>Pivot sell</v>
      </c>
      <c r="BZ33" t="str">
        <f t="shared" si="1"/>
        <v/>
      </c>
    </row>
    <row r="34" spans="2:78" x14ac:dyDescent="0.3">
      <c r="B34" s="11" t="s">
        <v>821</v>
      </c>
      <c r="C34" s="11" t="s">
        <v>821</v>
      </c>
      <c r="D34" s="11" t="s">
        <v>821</v>
      </c>
      <c r="E34" s="15" t="s">
        <v>821</v>
      </c>
      <c r="F34" s="11"/>
      <c r="G34" s="11"/>
      <c r="H34" s="36"/>
      <c r="I34" s="11">
        <v>340</v>
      </c>
      <c r="J34" s="11">
        <v>280</v>
      </c>
      <c r="K34" s="15">
        <v>309.25</v>
      </c>
      <c r="L34" s="10">
        <v>1</v>
      </c>
      <c r="M34" s="12" t="str">
        <f>IFERROR(IF(AND(#REF!="sell",B34&gt;=AI34),"sell",""),"")</f>
        <v/>
      </c>
      <c r="O34" s="10" t="str">
        <f>IFERROR(IF(AND(#REF!="equal",C34&gt;AI34,#REF!="overbought"),"sell",""),"")</f>
        <v/>
      </c>
      <c r="S34" t="str">
        <f>IFERROR(IF(AND(#REF!="sell",C34&gt;=#REF!),"sell",""),"")</f>
        <v/>
      </c>
      <c r="W34" s="40" t="e">
        <f t="shared" si="2"/>
        <v>#VALUE!</v>
      </c>
      <c r="X34" s="12" t="str">
        <f>IF(S34="sell",#REF!-E34,"")</f>
        <v/>
      </c>
      <c r="AA34" s="12" t="s">
        <v>89</v>
      </c>
      <c r="AB34" s="12">
        <v>310.57499999999999</v>
      </c>
      <c r="AC34">
        <v>310.375</v>
      </c>
      <c r="AD34" s="12">
        <v>311.75</v>
      </c>
      <c r="AE34" s="12">
        <v>312.57499999999999</v>
      </c>
      <c r="AF34" s="12">
        <f t="shared" si="3"/>
        <v>310</v>
      </c>
      <c r="AG34" s="12">
        <f t="shared" si="4"/>
        <v>0.95908810856979942</v>
      </c>
      <c r="AH34" s="12">
        <f t="shared" si="5"/>
        <v>311.05500000000001</v>
      </c>
      <c r="AI34" s="12">
        <f t="shared" si="6"/>
        <v>312.97317621713961</v>
      </c>
      <c r="AJ34" s="12">
        <f t="shared" si="7"/>
        <v>309.1368237828604</v>
      </c>
      <c r="AK34" t="str">
        <f t="shared" si="8"/>
        <v>sell</v>
      </c>
      <c r="BA34" t="s">
        <v>89</v>
      </c>
      <c r="BB34" s="5">
        <v>311.5</v>
      </c>
      <c r="BC34" s="5">
        <v>317.29998999999998</v>
      </c>
      <c r="BD34" s="5">
        <v>331</v>
      </c>
      <c r="BE34" s="5">
        <v>318.95001000000002</v>
      </c>
      <c r="BF34" s="5">
        <v>320</v>
      </c>
      <c r="BG34" s="5">
        <v>324.79998999999998</v>
      </c>
      <c r="BH34" s="5">
        <v>325.79998999999998</v>
      </c>
      <c r="BI34" s="5">
        <v>314.79998999999998</v>
      </c>
      <c r="BJ34" s="5" t="str">
        <f t="shared" si="9"/>
        <v>-</v>
      </c>
      <c r="BK34" t="str">
        <f t="shared" si="10"/>
        <v/>
      </c>
      <c r="BM34" t="s">
        <v>24</v>
      </c>
      <c r="BN34" t="s">
        <v>89</v>
      </c>
      <c r="BO34">
        <v>283.20001000000002</v>
      </c>
      <c r="BP34">
        <v>275.5</v>
      </c>
      <c r="BQ34">
        <v>313.39999</v>
      </c>
      <c r="BR34">
        <v>315</v>
      </c>
      <c r="BS34">
        <v>312.29998999999998</v>
      </c>
      <c r="BT34">
        <v>321.20001000000002</v>
      </c>
      <c r="BU34">
        <v>331</v>
      </c>
      <c r="BV34">
        <v>325.79998999999998</v>
      </c>
      <c r="BW34" s="5" t="str">
        <f t="shared" si="11"/>
        <v>-</v>
      </c>
      <c r="BX34" t="str">
        <f t="shared" ref="BX34:BX65" si="13">IF(AND(BU34&gt;MAX(BO34:BT34), BU34&gt;MAX(BW34)), "Pivot sell", "")</f>
        <v>Pivot sell</v>
      </c>
      <c r="BZ34" t="str">
        <f t="shared" si="1"/>
        <v/>
      </c>
    </row>
    <row r="35" spans="2:78" x14ac:dyDescent="0.3">
      <c r="B35" s="11" t="s">
        <v>821</v>
      </c>
      <c r="C35" s="11" t="s">
        <v>821</v>
      </c>
      <c r="D35" s="11" t="s">
        <v>821</v>
      </c>
      <c r="E35" s="15" t="s">
        <v>821</v>
      </c>
      <c r="F35" s="11"/>
      <c r="G35" s="11"/>
      <c r="H35" s="36"/>
      <c r="I35" s="11">
        <v>33433.1</v>
      </c>
      <c r="J35" s="11">
        <v>30537.45</v>
      </c>
      <c r="K35" s="15">
        <v>30393.75</v>
      </c>
      <c r="L35" s="10">
        <v>1</v>
      </c>
      <c r="M35" s="12" t="str">
        <f>IFERROR(IF(AND(#REF!="sell",B35&gt;=AI35),"sell",""),"")</f>
        <v/>
      </c>
      <c r="O35" s="10" t="str">
        <f>IFERROR(IF(AND(#REF!="equal",C35&gt;AI35,#REF!="overbought"),"sell",""),"")</f>
        <v/>
      </c>
      <c r="S35" t="str">
        <f>IFERROR(IF(AND(#REF!="sell",C35&gt;=#REF!),"sell",""),"")</f>
        <v/>
      </c>
      <c r="W35" s="40" t="e">
        <f t="shared" si="2"/>
        <v>#VALUE!</v>
      </c>
      <c r="X35" s="12" t="str">
        <f>IF(S35="sell",#REF!-E35,"")</f>
        <v/>
      </c>
      <c r="AA35" s="12" t="s">
        <v>91</v>
      </c>
      <c r="AB35" s="12">
        <v>30587.724999999999</v>
      </c>
      <c r="AC35">
        <v>30610.424999999999</v>
      </c>
      <c r="AD35" s="12">
        <v>30596.1</v>
      </c>
      <c r="AE35" s="12">
        <v>30665.4</v>
      </c>
      <c r="AF35" s="12">
        <f t="shared" si="3"/>
        <v>31985.275000000001</v>
      </c>
      <c r="AG35" s="12">
        <f t="shared" si="4"/>
        <v>548.81270042702261</v>
      </c>
      <c r="AH35" s="12">
        <f t="shared" si="5"/>
        <v>30888.984999999997</v>
      </c>
      <c r="AI35" s="12">
        <f t="shared" si="6"/>
        <v>31986.610400854042</v>
      </c>
      <c r="AJ35" s="12">
        <f t="shared" si="7"/>
        <v>29791.359599145952</v>
      </c>
      <c r="AK35" t="str">
        <f t="shared" si="8"/>
        <v>sell</v>
      </c>
      <c r="BA35" t="s">
        <v>91</v>
      </c>
      <c r="BB35" s="5">
        <v>31344.949000000001</v>
      </c>
      <c r="BC35" s="5">
        <v>30999.949000000001</v>
      </c>
      <c r="BD35" s="5">
        <v>31318.35</v>
      </c>
      <c r="BE35" s="5">
        <v>32229.5</v>
      </c>
      <c r="BF35" s="5">
        <v>31566.449000000001</v>
      </c>
      <c r="BG35" s="5">
        <v>31317.050999999999</v>
      </c>
      <c r="BH35" s="5">
        <v>31300</v>
      </c>
      <c r="BI35" s="5">
        <v>31150.9</v>
      </c>
      <c r="BJ35" s="5" t="str">
        <f t="shared" si="9"/>
        <v>-</v>
      </c>
      <c r="BK35" t="str">
        <f t="shared" si="10"/>
        <v/>
      </c>
      <c r="BM35" t="s">
        <v>24</v>
      </c>
      <c r="BN35" t="s">
        <v>91</v>
      </c>
      <c r="BO35">
        <v>31400.15</v>
      </c>
      <c r="BP35">
        <v>30449.800999999999</v>
      </c>
      <c r="BQ35">
        <v>30127.15</v>
      </c>
      <c r="BR35">
        <v>30899.949000000001</v>
      </c>
      <c r="BS35">
        <v>30584</v>
      </c>
      <c r="BT35">
        <v>32100</v>
      </c>
      <c r="BU35">
        <v>31344.949000000001</v>
      </c>
      <c r="BV35">
        <v>32229.5</v>
      </c>
      <c r="BW35" s="5" t="str">
        <f t="shared" si="11"/>
        <v>-</v>
      </c>
      <c r="BX35" t="str">
        <f t="shared" si="13"/>
        <v/>
      </c>
      <c r="BZ35" t="str">
        <f t="shared" si="1"/>
        <v/>
      </c>
    </row>
    <row r="36" spans="2:78" x14ac:dyDescent="0.3">
      <c r="B36" s="11" t="s">
        <v>821</v>
      </c>
      <c r="C36" s="11" t="s">
        <v>821</v>
      </c>
      <c r="D36" s="11" t="s">
        <v>821</v>
      </c>
      <c r="E36" s="15" t="s">
        <v>821</v>
      </c>
      <c r="F36" s="11"/>
      <c r="G36" s="11"/>
      <c r="H36" s="36"/>
      <c r="I36" s="11">
        <v>690</v>
      </c>
      <c r="J36" s="11">
        <v>565.04999999999995</v>
      </c>
      <c r="K36" s="15">
        <v>627.79</v>
      </c>
      <c r="L36" s="10">
        <v>1</v>
      </c>
      <c r="M36" s="12" t="str">
        <f>IFERROR(IF(AND(#REF!="sell",B36&gt;=AI36),"sell",""),"")</f>
        <v/>
      </c>
      <c r="O36" s="10" t="str">
        <f>IFERROR(IF(AND(#REF!="equal",C36&gt;AI36,#REF!="overbought"),"sell",""),"")</f>
        <v/>
      </c>
      <c r="S36" t="str">
        <f>IFERROR(IF(AND(#REF!="sell",C36&gt;=#REF!),"sell",""),"")</f>
        <v/>
      </c>
      <c r="W36" s="40" t="e">
        <f t="shared" si="2"/>
        <v>#VALUE!</v>
      </c>
      <c r="X36" s="12" t="str">
        <f>IF(S36="sell",#REF!-E36,"")</f>
        <v/>
      </c>
      <c r="AA36" s="12" t="s">
        <v>93</v>
      </c>
      <c r="AB36" s="12">
        <v>625.67499999999995</v>
      </c>
      <c r="AC36">
        <v>624.22500000000002</v>
      </c>
      <c r="AD36" s="12">
        <v>624.82500000000005</v>
      </c>
      <c r="AE36" s="12">
        <v>626.52499999999998</v>
      </c>
      <c r="AF36" s="12">
        <f t="shared" si="3"/>
        <v>627.52499999999998</v>
      </c>
      <c r="AG36" s="12">
        <f t="shared" si="4"/>
        <v>1.1779643458101554</v>
      </c>
      <c r="AH36" s="12">
        <f t="shared" si="5"/>
        <v>625.755</v>
      </c>
      <c r="AI36" s="12">
        <f t="shared" si="6"/>
        <v>628.1109286916203</v>
      </c>
      <c r="AJ36" s="12">
        <f t="shared" si="7"/>
        <v>623.39907130837969</v>
      </c>
      <c r="AK36" t="str">
        <f t="shared" si="8"/>
        <v>sell</v>
      </c>
      <c r="BA36" t="s">
        <v>93</v>
      </c>
      <c r="BB36" s="5">
        <v>650.70001000000002</v>
      </c>
      <c r="BC36" s="5">
        <v>654.09997999999996</v>
      </c>
      <c r="BD36" s="5">
        <v>663.34997999999996</v>
      </c>
      <c r="BE36" s="5">
        <v>661.75</v>
      </c>
      <c r="BF36" s="5">
        <v>659</v>
      </c>
      <c r="BG36" s="5">
        <v>642.95001000000002</v>
      </c>
      <c r="BH36" s="5">
        <v>636.79998999999998</v>
      </c>
      <c r="BI36" s="5">
        <v>634.40002000000004</v>
      </c>
      <c r="BJ36" s="5" t="str">
        <f t="shared" si="9"/>
        <v>-</v>
      </c>
      <c r="BK36" t="str">
        <f t="shared" si="10"/>
        <v/>
      </c>
      <c r="BM36" t="s">
        <v>24</v>
      </c>
      <c r="BN36" t="s">
        <v>93</v>
      </c>
      <c r="BO36">
        <v>612.84997999999996</v>
      </c>
      <c r="BP36">
        <v>617.59997999999996</v>
      </c>
      <c r="BQ36">
        <v>614.70001000000002</v>
      </c>
      <c r="BR36">
        <v>641.70001000000002</v>
      </c>
      <c r="BS36">
        <v>635.20001000000002</v>
      </c>
      <c r="BT36">
        <v>633.34997999999996</v>
      </c>
      <c r="BU36">
        <v>663.34997999999996</v>
      </c>
      <c r="BV36">
        <v>661.75</v>
      </c>
      <c r="BW36" s="5" t="str">
        <f t="shared" si="11"/>
        <v>-</v>
      </c>
      <c r="BX36" t="str">
        <f t="shared" si="13"/>
        <v>Pivot sell</v>
      </c>
      <c r="BZ36" t="str">
        <f t="shared" si="1"/>
        <v/>
      </c>
    </row>
    <row r="37" spans="2:78" x14ac:dyDescent="0.3">
      <c r="B37" s="11" t="s">
        <v>821</v>
      </c>
      <c r="C37" s="11" t="s">
        <v>821</v>
      </c>
      <c r="D37" s="11" t="s">
        <v>821</v>
      </c>
      <c r="E37" s="15" t="s">
        <v>821</v>
      </c>
      <c r="F37" s="11"/>
      <c r="G37" s="11"/>
      <c r="H37" s="36"/>
      <c r="I37" s="11">
        <v>5550.6</v>
      </c>
      <c r="J37" s="11">
        <v>4661.8500000000004</v>
      </c>
      <c r="K37" s="15">
        <v>5179.8</v>
      </c>
      <c r="L37" s="10">
        <v>1</v>
      </c>
      <c r="M37" s="12" t="str">
        <f>IFERROR(IF(AND(#REF!="sell",B37&gt;=AI37),"sell",""),"")</f>
        <v/>
      </c>
      <c r="O37" s="10" t="str">
        <f>IFERROR(IF(AND(#REF!="equal",C37&gt;AI37,#REF!="overbought"),"sell",""),"")</f>
        <v/>
      </c>
      <c r="S37" t="str">
        <f>IFERROR(IF(AND(#REF!="sell",C37&gt;=#REF!),"sell",""),"")</f>
        <v/>
      </c>
      <c r="W37" s="40" t="e">
        <f t="shared" si="2"/>
        <v>#VALUE!</v>
      </c>
      <c r="X37" s="12" t="str">
        <f>IF(S37="sell",#REF!-E37,"")</f>
        <v/>
      </c>
      <c r="AA37" s="12" t="s">
        <v>95</v>
      </c>
      <c r="AB37" s="12">
        <v>5193.6499999999996</v>
      </c>
      <c r="AC37">
        <v>5200.4750000000004</v>
      </c>
      <c r="AD37" s="12">
        <v>5203.875</v>
      </c>
      <c r="AE37" s="12">
        <v>5202.4500000000007</v>
      </c>
      <c r="AF37" s="12">
        <f t="shared" si="3"/>
        <v>5106.2250000000004</v>
      </c>
      <c r="AG37" s="12">
        <f t="shared" si="4"/>
        <v>37.718445752708263</v>
      </c>
      <c r="AH37" s="12">
        <f t="shared" si="5"/>
        <v>5181.3350000000009</v>
      </c>
      <c r="AI37" s="12">
        <f t="shared" si="6"/>
        <v>5256.7718915054174</v>
      </c>
      <c r="AJ37" s="12">
        <f t="shared" si="7"/>
        <v>5105.8981084945844</v>
      </c>
      <c r="AK37" t="str">
        <f t="shared" si="8"/>
        <v>sell</v>
      </c>
      <c r="BA37" t="s">
        <v>95</v>
      </c>
      <c r="BB37" s="5">
        <v>5302.5</v>
      </c>
      <c r="BC37" s="5">
        <v>5293.75</v>
      </c>
      <c r="BD37" s="5">
        <v>5285.1499000000003</v>
      </c>
      <c r="BE37" s="5">
        <v>5265</v>
      </c>
      <c r="BF37" s="5">
        <v>5285.3999000000003</v>
      </c>
      <c r="BG37" s="5">
        <v>5268</v>
      </c>
      <c r="BH37" s="5">
        <v>5242.1000999999997</v>
      </c>
      <c r="BI37" s="5">
        <v>5221</v>
      </c>
      <c r="BJ37" s="5" t="str">
        <f t="shared" si="9"/>
        <v>-</v>
      </c>
      <c r="BK37" t="str">
        <f t="shared" si="10"/>
        <v/>
      </c>
      <c r="BM37" t="s">
        <v>24</v>
      </c>
      <c r="BN37" t="s">
        <v>95</v>
      </c>
      <c r="BO37">
        <v>4850</v>
      </c>
      <c r="BP37">
        <v>4777.1000999999997</v>
      </c>
      <c r="BQ37">
        <v>4861</v>
      </c>
      <c r="BR37">
        <v>4825.6000999999997</v>
      </c>
      <c r="BS37">
        <v>5248.4502000000002</v>
      </c>
      <c r="BT37">
        <v>5170</v>
      </c>
      <c r="BU37">
        <v>5302.5</v>
      </c>
      <c r="BV37">
        <v>5285.3999000000003</v>
      </c>
      <c r="BW37" s="5" t="str">
        <f t="shared" si="11"/>
        <v>-</v>
      </c>
      <c r="BX37" t="str">
        <f t="shared" si="13"/>
        <v>Pivot sell</v>
      </c>
      <c r="BZ37" t="str">
        <f t="shared" si="1"/>
        <v/>
      </c>
    </row>
    <row r="38" spans="2:78" x14ac:dyDescent="0.3">
      <c r="B38" s="11" t="s">
        <v>821</v>
      </c>
      <c r="C38" s="11" t="s">
        <v>821</v>
      </c>
      <c r="D38" s="11" t="s">
        <v>821</v>
      </c>
      <c r="E38" s="15" t="s">
        <v>821</v>
      </c>
      <c r="F38" s="11"/>
      <c r="G38" s="11"/>
      <c r="H38" s="36"/>
      <c r="I38" s="11">
        <v>649</v>
      </c>
      <c r="J38" s="11">
        <v>550</v>
      </c>
      <c r="K38" s="15">
        <v>604.65</v>
      </c>
      <c r="L38" s="10">
        <v>1</v>
      </c>
      <c r="M38" s="12" t="str">
        <f>IFERROR(IF(AND(#REF!="sell",B38&gt;=AI38),"sell",""),"")</f>
        <v/>
      </c>
      <c r="O38" s="10" t="str">
        <f>IFERROR(IF(AND(#REF!="equal",C38&gt;AI38,#REF!="overbought"),"sell",""),"")</f>
        <v/>
      </c>
      <c r="S38" t="str">
        <f>IFERROR(IF(AND(#REF!="sell",C38&gt;=#REF!),"sell",""),"")</f>
        <v/>
      </c>
      <c r="W38" s="40" t="e">
        <f t="shared" si="2"/>
        <v>#VALUE!</v>
      </c>
      <c r="X38" s="12" t="str">
        <f>IF(S38="sell",#REF!-E38,"")</f>
        <v/>
      </c>
      <c r="AA38" s="12" t="s">
        <v>97</v>
      </c>
      <c r="AB38" s="12">
        <v>610</v>
      </c>
      <c r="AC38">
        <v>608.79999999999995</v>
      </c>
      <c r="AD38" s="12">
        <v>610.04999999999995</v>
      </c>
      <c r="AE38" s="12">
        <v>613.65</v>
      </c>
      <c r="AF38" s="12">
        <f t="shared" si="3"/>
        <v>599.5</v>
      </c>
      <c r="AG38" s="12">
        <f t="shared" si="4"/>
        <v>4.7374043525964638</v>
      </c>
      <c r="AH38" s="12">
        <f t="shared" si="5"/>
        <v>608.4</v>
      </c>
      <c r="AI38" s="12">
        <f t="shared" si="6"/>
        <v>617.87480870519289</v>
      </c>
      <c r="AJ38" s="12">
        <f t="shared" si="7"/>
        <v>598.92519129480706</v>
      </c>
      <c r="AK38" t="str">
        <f t="shared" si="8"/>
        <v>sell</v>
      </c>
      <c r="BA38" t="s">
        <v>97</v>
      </c>
      <c r="BB38" s="5">
        <v>606.5</v>
      </c>
      <c r="BC38" s="5">
        <v>622.15002000000004</v>
      </c>
      <c r="BD38" s="5">
        <v>628</v>
      </c>
      <c r="BE38" s="5">
        <v>639.95001000000002</v>
      </c>
      <c r="BF38" s="5">
        <v>641.70001000000002</v>
      </c>
      <c r="BG38" s="5">
        <v>622.20001000000002</v>
      </c>
      <c r="BH38" s="5">
        <v>620</v>
      </c>
      <c r="BI38" s="5">
        <v>618.5</v>
      </c>
      <c r="BJ38" s="5" t="str">
        <f t="shared" si="9"/>
        <v>-</v>
      </c>
      <c r="BK38" t="str">
        <f t="shared" si="10"/>
        <v/>
      </c>
      <c r="BM38" t="s">
        <v>24</v>
      </c>
      <c r="BN38" t="s">
        <v>97</v>
      </c>
      <c r="BO38">
        <v>756</v>
      </c>
      <c r="BP38">
        <v>729.5</v>
      </c>
      <c r="BQ38">
        <v>693.75</v>
      </c>
      <c r="BR38">
        <v>693.75</v>
      </c>
      <c r="BS38">
        <v>640.95001000000002</v>
      </c>
      <c r="BT38">
        <v>623.79998999999998</v>
      </c>
      <c r="BU38">
        <v>628</v>
      </c>
      <c r="BV38">
        <v>641.70001000000002</v>
      </c>
      <c r="BW38" s="5" t="str">
        <f t="shared" si="11"/>
        <v>-</v>
      </c>
      <c r="BX38" t="str">
        <f t="shared" si="13"/>
        <v/>
      </c>
      <c r="BZ38" t="str">
        <f t="shared" si="1"/>
        <v/>
      </c>
    </row>
    <row r="39" spans="2:78" x14ac:dyDescent="0.3">
      <c r="B39" s="11" t="s">
        <v>821</v>
      </c>
      <c r="C39" s="11" t="s">
        <v>821</v>
      </c>
      <c r="D39" s="11" t="s">
        <v>821</v>
      </c>
      <c r="E39" s="15" t="s">
        <v>821</v>
      </c>
      <c r="F39" s="11"/>
      <c r="G39" s="11"/>
      <c r="H39" s="36"/>
      <c r="I39" s="11">
        <v>135.69999999999999</v>
      </c>
      <c r="J39" s="11">
        <v>110</v>
      </c>
      <c r="K39" s="15">
        <v>118</v>
      </c>
      <c r="L39" s="10">
        <v>1</v>
      </c>
      <c r="M39" s="12" t="str">
        <f>IFERROR(IF(AND(#REF!="sell",B39&gt;=AI39),"sell",""),"")</f>
        <v/>
      </c>
      <c r="O39" s="10" t="str">
        <f>IFERROR(IF(AND(#REF!="equal",C39&gt;AI39,#REF!="overbought"),"sell",""),"")</f>
        <v/>
      </c>
      <c r="S39" t="str">
        <f>IFERROR(IF(AND(#REF!="sell",C39&gt;=#REF!),"sell",""),"")</f>
        <v/>
      </c>
      <c r="W39" s="40" t="e">
        <f t="shared" si="2"/>
        <v>#VALUE!</v>
      </c>
      <c r="X39" s="12" t="str">
        <f>IF(S39="sell",#REF!-E39,"")</f>
        <v/>
      </c>
      <c r="AA39" s="12" t="s">
        <v>99</v>
      </c>
      <c r="AB39" s="12">
        <v>115.175</v>
      </c>
      <c r="AC39">
        <v>114.97499999999999</v>
      </c>
      <c r="AD39" s="12">
        <v>114.9</v>
      </c>
      <c r="AE39" s="12">
        <v>115.17500000000001</v>
      </c>
      <c r="AF39" s="12">
        <f t="shared" si="3"/>
        <v>122.85</v>
      </c>
      <c r="AG39" s="12">
        <f t="shared" si="4"/>
        <v>3.1193989805730173</v>
      </c>
      <c r="AH39" s="12">
        <f t="shared" si="5"/>
        <v>116.61499999999998</v>
      </c>
      <c r="AI39" s="12">
        <f t="shared" si="6"/>
        <v>122.85379796114601</v>
      </c>
      <c r="AJ39" s="12">
        <f t="shared" si="7"/>
        <v>110.37620203885395</v>
      </c>
      <c r="AK39" t="str">
        <f t="shared" si="8"/>
        <v>sell</v>
      </c>
      <c r="BA39" t="s">
        <v>99</v>
      </c>
      <c r="BB39" s="5">
        <v>116.9</v>
      </c>
      <c r="BC39" s="5">
        <v>118.65</v>
      </c>
      <c r="BD39" s="5">
        <v>118.75</v>
      </c>
      <c r="BE39" s="5">
        <v>118.2</v>
      </c>
      <c r="BF39" s="5">
        <v>118.75</v>
      </c>
      <c r="BG39" s="5">
        <v>118.45</v>
      </c>
      <c r="BH39" s="5">
        <v>117.55</v>
      </c>
      <c r="BI39" s="5">
        <v>119.35</v>
      </c>
      <c r="BJ39" s="5" t="str">
        <f t="shared" si="9"/>
        <v>-</v>
      </c>
      <c r="BK39" t="str">
        <f t="shared" si="10"/>
        <v/>
      </c>
      <c r="BM39" t="s">
        <v>24</v>
      </c>
      <c r="BN39" t="s">
        <v>99</v>
      </c>
      <c r="BO39">
        <v>123.790002</v>
      </c>
      <c r="BP39">
        <v>121.19000200000001</v>
      </c>
      <c r="BQ39">
        <v>124.880004</v>
      </c>
      <c r="BR39">
        <v>126.580004</v>
      </c>
      <c r="BS39">
        <v>125.790002</v>
      </c>
      <c r="BT39">
        <v>120.35</v>
      </c>
      <c r="BU39">
        <v>118.75</v>
      </c>
      <c r="BV39">
        <v>119.35</v>
      </c>
      <c r="BW39" s="5" t="str">
        <f t="shared" si="11"/>
        <v>-</v>
      </c>
      <c r="BX39" t="str">
        <f t="shared" si="13"/>
        <v/>
      </c>
      <c r="BZ39" t="str">
        <f t="shared" si="1"/>
        <v/>
      </c>
    </row>
    <row r="40" spans="2:78" x14ac:dyDescent="0.3">
      <c r="B40" s="11" t="s">
        <v>821</v>
      </c>
      <c r="C40" s="11" t="s">
        <v>821</v>
      </c>
      <c r="D40" s="11" t="s">
        <v>821</v>
      </c>
      <c r="E40" s="15" t="s">
        <v>821</v>
      </c>
      <c r="F40" s="11"/>
      <c r="G40" s="11"/>
      <c r="H40" s="36"/>
      <c r="I40" s="11">
        <v>790.7</v>
      </c>
      <c r="J40" s="11">
        <v>723.6</v>
      </c>
      <c r="K40" s="15">
        <v>727.2</v>
      </c>
      <c r="L40" s="10">
        <v>1</v>
      </c>
      <c r="M40" s="12" t="str">
        <f>IFERROR(IF(AND(#REF!="sell",B40&gt;=AI40),"sell",""),"")</f>
        <v/>
      </c>
      <c r="O40" s="10" t="str">
        <f>IFERROR(IF(AND(#REF!="equal",C40&gt;AI40,#REF!="overbought"),"sell",""),"")</f>
        <v/>
      </c>
      <c r="S40" t="str">
        <f>IFERROR(IF(AND(#REF!="sell",C40&gt;=#REF!),"sell",""),"")</f>
        <v/>
      </c>
      <c r="W40" s="40" t="e">
        <f t="shared" si="2"/>
        <v>#VALUE!</v>
      </c>
      <c r="X40" s="12" t="str">
        <f>IF(S40="sell",#REF!-E40,"")</f>
        <v/>
      </c>
      <c r="AA40" s="12" t="s">
        <v>101</v>
      </c>
      <c r="AB40" s="12">
        <v>721.65</v>
      </c>
      <c r="AC40">
        <v>719.9</v>
      </c>
      <c r="AD40" s="12">
        <v>720.17499999999995</v>
      </c>
      <c r="AE40" s="12">
        <v>720.375</v>
      </c>
      <c r="AF40" s="12">
        <f t="shared" si="3"/>
        <v>757.15000000000009</v>
      </c>
      <c r="AG40" s="12">
        <f t="shared" si="4"/>
        <v>14.662290066698358</v>
      </c>
      <c r="AH40" s="12">
        <f t="shared" si="5"/>
        <v>727.85</v>
      </c>
      <c r="AI40" s="12">
        <f t="shared" si="6"/>
        <v>757.17458013339672</v>
      </c>
      <c r="AJ40" s="12">
        <f t="shared" si="7"/>
        <v>698.52541986660333</v>
      </c>
      <c r="AK40" t="str">
        <f t="shared" si="8"/>
        <v>sell</v>
      </c>
      <c r="BA40" t="s">
        <v>101</v>
      </c>
      <c r="BB40" s="5">
        <v>752.59997999999996</v>
      </c>
      <c r="BC40" s="5">
        <v>746.70001000000002</v>
      </c>
      <c r="BD40" s="5">
        <v>747.20001000000002</v>
      </c>
      <c r="BE40" s="5">
        <v>749</v>
      </c>
      <c r="BF40" s="5">
        <v>755.95001000000002</v>
      </c>
      <c r="BG40" s="5">
        <v>743.90002000000004</v>
      </c>
      <c r="BH40" s="5">
        <v>730.84997999999996</v>
      </c>
      <c r="BI40" s="5">
        <v>734.90002000000004</v>
      </c>
      <c r="BJ40" s="5" t="str">
        <f t="shared" si="9"/>
        <v>-</v>
      </c>
      <c r="BK40" t="str">
        <f t="shared" si="10"/>
        <v/>
      </c>
      <c r="BM40" t="s">
        <v>24</v>
      </c>
      <c r="BN40" t="s">
        <v>101</v>
      </c>
      <c r="BO40">
        <v>836</v>
      </c>
      <c r="BP40">
        <v>787.90002000000004</v>
      </c>
      <c r="BQ40">
        <v>770</v>
      </c>
      <c r="BR40">
        <v>792</v>
      </c>
      <c r="BS40">
        <v>776.5</v>
      </c>
      <c r="BT40">
        <v>765.95001000000002</v>
      </c>
      <c r="BU40">
        <v>759.95001000000002</v>
      </c>
      <c r="BV40">
        <v>755.95001000000002</v>
      </c>
      <c r="BW40" s="5" t="str">
        <f t="shared" si="11"/>
        <v>-</v>
      </c>
      <c r="BX40" t="str">
        <f t="shared" si="13"/>
        <v/>
      </c>
      <c r="BZ40" t="str">
        <f t="shared" si="1"/>
        <v/>
      </c>
    </row>
    <row r="41" spans="2:78" x14ac:dyDescent="0.3">
      <c r="B41" s="11" t="s">
        <v>821</v>
      </c>
      <c r="C41" s="11" t="s">
        <v>821</v>
      </c>
      <c r="D41" s="11" t="s">
        <v>821</v>
      </c>
      <c r="E41" s="15" t="s">
        <v>821</v>
      </c>
      <c r="F41" s="11"/>
      <c r="G41" s="11"/>
      <c r="H41" s="36"/>
      <c r="I41" s="11">
        <v>402.4</v>
      </c>
      <c r="J41" s="11">
        <v>380</v>
      </c>
      <c r="K41" s="15">
        <v>389.15</v>
      </c>
      <c r="L41" s="10">
        <v>1</v>
      </c>
      <c r="M41" s="12" t="str">
        <f>IFERROR(IF(AND(#REF!="sell",B41&gt;=AI41),"sell",""),"")</f>
        <v/>
      </c>
      <c r="O41" s="10" t="str">
        <f>IFERROR(IF(AND(#REF!="equal",C41&gt;AI41,#REF!="overbought"),"sell",""),"")</f>
        <v/>
      </c>
      <c r="S41" t="str">
        <f>IFERROR(IF(AND(#REF!="sell",C41&gt;=#REF!),"sell",""),"")</f>
        <v/>
      </c>
      <c r="W41" s="40" t="e">
        <f t="shared" si="2"/>
        <v>#VALUE!</v>
      </c>
      <c r="X41" s="12" t="str">
        <f>IF(S41="sell",#REF!-E41,"")</f>
        <v/>
      </c>
      <c r="AA41" s="12" t="s">
        <v>103</v>
      </c>
      <c r="AB41" s="12">
        <v>398.57499999999999</v>
      </c>
      <c r="AC41">
        <v>398.22500000000002</v>
      </c>
      <c r="AD41" s="12">
        <v>399.35</v>
      </c>
      <c r="AE41" s="12">
        <v>401.35</v>
      </c>
      <c r="AF41" s="12">
        <f t="shared" si="3"/>
        <v>391.2</v>
      </c>
      <c r="AG41" s="12">
        <f t="shared" si="4"/>
        <v>3.4446552802856889</v>
      </c>
      <c r="AH41" s="12">
        <f t="shared" si="5"/>
        <v>397.74</v>
      </c>
      <c r="AI41" s="12">
        <f t="shared" si="6"/>
        <v>404.62931056057141</v>
      </c>
      <c r="AJ41" s="12">
        <f t="shared" si="7"/>
        <v>390.85068943942861</v>
      </c>
      <c r="AK41" t="str">
        <f t="shared" si="8"/>
        <v>sell</v>
      </c>
      <c r="BA41" t="s">
        <v>103</v>
      </c>
      <c r="BB41" s="5">
        <v>404.25</v>
      </c>
      <c r="BC41" s="5">
        <v>401.54998999999998</v>
      </c>
      <c r="BD41" s="5">
        <v>412.5</v>
      </c>
      <c r="BE41" s="5">
        <v>416.5</v>
      </c>
      <c r="BF41" s="5">
        <v>415.5</v>
      </c>
      <c r="BG41" s="5">
        <v>408.79998999999998</v>
      </c>
      <c r="BH41" s="5">
        <v>405.39999</v>
      </c>
      <c r="BI41" s="5">
        <v>402.60001</v>
      </c>
      <c r="BJ41" s="5" t="str">
        <f t="shared" si="9"/>
        <v>-</v>
      </c>
      <c r="BK41" t="str">
        <f t="shared" si="10"/>
        <v/>
      </c>
      <c r="BM41" t="s">
        <v>24</v>
      </c>
      <c r="BN41" t="s">
        <v>103</v>
      </c>
      <c r="BO41">
        <v>386.70001000000002</v>
      </c>
      <c r="BP41">
        <v>376.14999</v>
      </c>
      <c r="BQ41">
        <v>426.95001000000002</v>
      </c>
      <c r="BR41">
        <v>439</v>
      </c>
      <c r="BS41">
        <v>414.79998999999998</v>
      </c>
      <c r="BT41">
        <v>408.70001000000002</v>
      </c>
      <c r="BU41">
        <v>412.5</v>
      </c>
      <c r="BV41">
        <v>416.5</v>
      </c>
      <c r="BW41" s="5" t="str">
        <f t="shared" si="11"/>
        <v>-</v>
      </c>
      <c r="BX41" t="str">
        <f t="shared" si="13"/>
        <v/>
      </c>
      <c r="BZ41" t="str">
        <f t="shared" si="1"/>
        <v/>
      </c>
    </row>
    <row r="42" spans="2:78" x14ac:dyDescent="0.3">
      <c r="B42" s="11" t="s">
        <v>821</v>
      </c>
      <c r="C42" s="11" t="s">
        <v>821</v>
      </c>
      <c r="D42" s="11" t="s">
        <v>821</v>
      </c>
      <c r="E42" s="15" t="s">
        <v>821</v>
      </c>
      <c r="F42" s="11"/>
      <c r="G42" s="11"/>
      <c r="H42" s="36"/>
      <c r="I42" s="11">
        <v>1352</v>
      </c>
      <c r="J42" s="11">
        <v>1131.8</v>
      </c>
      <c r="K42" s="15">
        <v>1241.0899999999999</v>
      </c>
      <c r="L42" s="10">
        <v>1</v>
      </c>
      <c r="M42" s="12" t="str">
        <f>IFERROR(IF(AND(#REF!="sell",B42&gt;=AI42),"sell",""),"")</f>
        <v/>
      </c>
      <c r="O42" s="10" t="str">
        <f>IFERROR(IF(AND(#REF!="equal",C42&gt;AI42,#REF!="overbought"),"sell",""),"")</f>
        <v/>
      </c>
      <c r="S42" t="str">
        <f>IFERROR(IF(AND(#REF!="sell",C42&gt;=#REF!),"sell",""),"")</f>
        <v/>
      </c>
      <c r="W42" s="40" t="e">
        <f t="shared" si="2"/>
        <v>#VALUE!</v>
      </c>
      <c r="X42" s="12" t="str">
        <f>IF(S42="sell",#REF!-E42,"")</f>
        <v/>
      </c>
      <c r="AA42" s="12" t="s">
        <v>105</v>
      </c>
      <c r="AB42" s="12">
        <v>1210.7750000000001</v>
      </c>
      <c r="AC42">
        <v>1209.4499999999998</v>
      </c>
      <c r="AD42" s="12">
        <v>1214.7750000000001</v>
      </c>
      <c r="AE42" s="12">
        <v>1213.9000000000001</v>
      </c>
      <c r="AF42" s="12">
        <f t="shared" si="3"/>
        <v>1241.9000000000001</v>
      </c>
      <c r="AG42" s="12">
        <f t="shared" si="4"/>
        <v>12.029927264950564</v>
      </c>
      <c r="AH42" s="12">
        <f t="shared" si="5"/>
        <v>1218.1599999999999</v>
      </c>
      <c r="AI42" s="12">
        <f t="shared" si="6"/>
        <v>1242.2198545299009</v>
      </c>
      <c r="AJ42" s="12">
        <f t="shared" si="7"/>
        <v>1194.1001454700988</v>
      </c>
      <c r="AK42" t="str">
        <f t="shared" si="8"/>
        <v>sell</v>
      </c>
      <c r="BA42" t="s">
        <v>105</v>
      </c>
      <c r="BB42" s="5">
        <v>1304.95</v>
      </c>
      <c r="BC42" s="5">
        <v>1282.0999999999999</v>
      </c>
      <c r="BD42" s="5">
        <v>1272.5999999999999</v>
      </c>
      <c r="BE42" s="5">
        <v>1274.95</v>
      </c>
      <c r="BF42" s="5">
        <v>1272.6500000000001</v>
      </c>
      <c r="BG42" s="5">
        <v>1269.8</v>
      </c>
      <c r="BH42" s="5">
        <v>1246</v>
      </c>
      <c r="BI42" s="5">
        <v>1255.8</v>
      </c>
      <c r="BJ42" s="5" t="str">
        <f t="shared" si="9"/>
        <v>-</v>
      </c>
      <c r="BK42" t="str">
        <f t="shared" si="10"/>
        <v/>
      </c>
      <c r="BM42" t="s">
        <v>24</v>
      </c>
      <c r="BN42" t="s">
        <v>105</v>
      </c>
      <c r="BO42">
        <v>1236</v>
      </c>
      <c r="BP42">
        <v>1180</v>
      </c>
      <c r="BQ42">
        <v>1184.7</v>
      </c>
      <c r="BR42">
        <v>1352.6</v>
      </c>
      <c r="BS42">
        <v>1349.9</v>
      </c>
      <c r="BT42">
        <v>1302</v>
      </c>
      <c r="BU42">
        <v>1308.7</v>
      </c>
      <c r="BV42">
        <v>1274.95</v>
      </c>
      <c r="BW42" s="5" t="str">
        <f t="shared" si="11"/>
        <v>-</v>
      </c>
      <c r="BX42" t="str">
        <f t="shared" si="13"/>
        <v/>
      </c>
      <c r="BZ42" t="str">
        <f t="shared" si="1"/>
        <v/>
      </c>
    </row>
    <row r="43" spans="2:78" x14ac:dyDescent="0.3">
      <c r="B43" s="11" t="s">
        <v>821</v>
      </c>
      <c r="C43" s="11" t="s">
        <v>821</v>
      </c>
      <c r="D43" s="11" t="s">
        <v>821</v>
      </c>
      <c r="E43" s="15" t="s">
        <v>821</v>
      </c>
      <c r="F43" s="11"/>
      <c r="G43" s="11"/>
      <c r="H43" s="36"/>
      <c r="I43" s="11">
        <v>1591</v>
      </c>
      <c r="J43" s="11">
        <v>1302.5</v>
      </c>
      <c r="K43" s="15">
        <v>1447.2</v>
      </c>
      <c r="L43" s="10">
        <v>1</v>
      </c>
      <c r="M43" s="12" t="str">
        <f>IFERROR(IF(AND(#REF!="sell",B43&gt;=AI43),"sell",""),"")</f>
        <v/>
      </c>
      <c r="O43" s="10" t="str">
        <f>IFERROR(IF(AND(#REF!="equal",C43&gt;AI43,#REF!="overbought"),"sell",""),"")</f>
        <v/>
      </c>
      <c r="S43" t="str">
        <f>IFERROR(IF(AND(#REF!="sell",C43&gt;=#REF!),"sell",""),"")</f>
        <v/>
      </c>
      <c r="W43" s="40" t="e">
        <f t="shared" si="2"/>
        <v>#VALUE!</v>
      </c>
      <c r="X43" s="12" t="str">
        <f>IF(S43="sell",#REF!-E43,"")</f>
        <v/>
      </c>
      <c r="AA43" s="12" t="s">
        <v>107</v>
      </c>
      <c r="AB43" s="12">
        <v>1469.2249999999999</v>
      </c>
      <c r="AC43">
        <v>1466.6999999999998</v>
      </c>
      <c r="AD43" s="12">
        <v>1470.2249999999999</v>
      </c>
      <c r="AE43" s="12">
        <v>1473.45</v>
      </c>
      <c r="AF43" s="12">
        <f t="shared" si="3"/>
        <v>1446.75</v>
      </c>
      <c r="AG43" s="12">
        <f t="shared" si="4"/>
        <v>9.5093822091658371</v>
      </c>
      <c r="AH43" s="12">
        <f t="shared" si="5"/>
        <v>1465.27</v>
      </c>
      <c r="AI43" s="12">
        <f t="shared" si="6"/>
        <v>1484.2887644183318</v>
      </c>
      <c r="AJ43" s="12">
        <f t="shared" si="7"/>
        <v>1446.2512355816682</v>
      </c>
      <c r="AK43" t="str">
        <f t="shared" si="8"/>
        <v>sell</v>
      </c>
      <c r="BA43" t="s">
        <v>107</v>
      </c>
      <c r="BB43" s="5">
        <v>1494.8</v>
      </c>
      <c r="BC43" s="5">
        <v>1504.55</v>
      </c>
      <c r="BD43" s="5">
        <v>1493.9</v>
      </c>
      <c r="BE43" s="5">
        <v>1492.55</v>
      </c>
      <c r="BF43" s="5">
        <v>1494.75</v>
      </c>
      <c r="BG43" s="5">
        <v>1497.6</v>
      </c>
      <c r="BH43" s="5">
        <v>1496.55</v>
      </c>
      <c r="BI43" s="5">
        <v>1472.7</v>
      </c>
      <c r="BJ43" s="5" t="str">
        <f t="shared" si="9"/>
        <v>-</v>
      </c>
      <c r="BK43" t="str">
        <f t="shared" si="10"/>
        <v/>
      </c>
      <c r="BM43" t="s">
        <v>24</v>
      </c>
      <c r="BN43" t="s">
        <v>107</v>
      </c>
      <c r="BO43">
        <v>1472.85</v>
      </c>
      <c r="BP43">
        <v>1399</v>
      </c>
      <c r="BQ43">
        <v>1417.2</v>
      </c>
      <c r="BR43">
        <v>1434</v>
      </c>
      <c r="BS43">
        <v>1431.85</v>
      </c>
      <c r="BT43">
        <v>1428.45</v>
      </c>
      <c r="BU43">
        <v>1504.55</v>
      </c>
      <c r="BV43">
        <v>1497.6</v>
      </c>
      <c r="BW43" s="5" t="str">
        <f t="shared" si="11"/>
        <v>-</v>
      </c>
      <c r="BX43" t="str">
        <f t="shared" si="13"/>
        <v>Pivot sell</v>
      </c>
      <c r="BZ43" t="str">
        <f t="shared" si="1"/>
        <v/>
      </c>
    </row>
    <row r="44" spans="2:78" x14ac:dyDescent="0.3">
      <c r="B44" s="11" t="s">
        <v>821</v>
      </c>
      <c r="C44" s="11" t="s">
        <v>821</v>
      </c>
      <c r="D44" s="11" t="s">
        <v>821</v>
      </c>
      <c r="E44" s="15" t="s">
        <v>821</v>
      </c>
      <c r="F44" s="11"/>
      <c r="G44" s="11"/>
      <c r="H44" s="36"/>
      <c r="I44" s="11">
        <v>525</v>
      </c>
      <c r="J44" s="11">
        <v>442.1</v>
      </c>
      <c r="K44" s="15">
        <v>491.2</v>
      </c>
      <c r="L44" s="10">
        <v>1</v>
      </c>
      <c r="M44" s="12" t="str">
        <f>IFERROR(IF(AND(#REF!="sell",B44&gt;=AI44),"sell",""),"")</f>
        <v/>
      </c>
      <c r="O44" s="10" t="str">
        <f>IFERROR(IF(AND(#REF!="equal",C44&gt;AI44,#REF!="overbought"),"sell",""),"")</f>
        <v/>
      </c>
      <c r="S44" t="str">
        <f>IFERROR(IF(AND(#REF!="sell",C44&gt;=#REF!),"sell",""),"")</f>
        <v/>
      </c>
      <c r="W44" s="40" t="e">
        <f t="shared" si="2"/>
        <v>#VALUE!</v>
      </c>
      <c r="X44" s="12" t="str">
        <f>IF(S44="sell",#REF!-E44,"")</f>
        <v/>
      </c>
      <c r="AA44" s="12" t="s">
        <v>109</v>
      </c>
      <c r="AB44" s="12">
        <v>482.1</v>
      </c>
      <c r="AC44">
        <v>482.5</v>
      </c>
      <c r="AD44" s="12">
        <v>482.47500000000002</v>
      </c>
      <c r="AE44" s="12">
        <v>483.5</v>
      </c>
      <c r="AF44" s="12">
        <f t="shared" si="3"/>
        <v>483.55</v>
      </c>
      <c r="AG44" s="12">
        <f t="shared" si="4"/>
        <v>0.58906705900092005</v>
      </c>
      <c r="AH44" s="12">
        <f t="shared" si="5"/>
        <v>482.82499999999999</v>
      </c>
      <c r="AI44" s="12">
        <f t="shared" si="6"/>
        <v>484.00313411800181</v>
      </c>
      <c r="AJ44" s="12">
        <f t="shared" si="7"/>
        <v>481.64686588199817</v>
      </c>
      <c r="AK44" t="str">
        <f t="shared" si="8"/>
        <v>sell</v>
      </c>
      <c r="BA44" t="s">
        <v>109</v>
      </c>
      <c r="BB44" s="5">
        <v>507.35001</v>
      </c>
      <c r="BC44" s="5">
        <v>503.79998999999998</v>
      </c>
      <c r="BD44" s="5">
        <v>505.39999</v>
      </c>
      <c r="BE44" s="5">
        <v>503</v>
      </c>
      <c r="BF44" s="5">
        <v>496.20001000000002</v>
      </c>
      <c r="BG44" s="5">
        <v>491.89999</v>
      </c>
      <c r="BH44" s="5">
        <v>487.95001000000002</v>
      </c>
      <c r="BI44" s="5">
        <v>493.10001</v>
      </c>
      <c r="BJ44" s="5" t="str">
        <f t="shared" si="9"/>
        <v>-</v>
      </c>
      <c r="BK44" t="str">
        <f t="shared" si="10"/>
        <v/>
      </c>
      <c r="BM44" t="s">
        <v>24</v>
      </c>
      <c r="BN44" t="s">
        <v>109</v>
      </c>
      <c r="BO44">
        <v>463.45001000000002</v>
      </c>
      <c r="BP44">
        <v>456.79998999999998</v>
      </c>
      <c r="BQ44">
        <v>460.45001000000002</v>
      </c>
      <c r="BR44">
        <v>475.79998999999998</v>
      </c>
      <c r="BS44">
        <v>481.45001000000002</v>
      </c>
      <c r="BT44">
        <v>475</v>
      </c>
      <c r="BU44">
        <v>507.35001</v>
      </c>
      <c r="BV44">
        <v>503</v>
      </c>
      <c r="BW44" s="5" t="str">
        <f t="shared" si="11"/>
        <v>-</v>
      </c>
      <c r="BX44" t="str">
        <f t="shared" si="13"/>
        <v>Pivot sell</v>
      </c>
      <c r="BZ44" t="str">
        <f t="shared" si="1"/>
        <v/>
      </c>
    </row>
    <row r="45" spans="2:78" x14ac:dyDescent="0.3">
      <c r="B45" s="11" t="s">
        <v>821</v>
      </c>
      <c r="C45" s="11" t="s">
        <v>821</v>
      </c>
      <c r="D45" s="11" t="s">
        <v>821</v>
      </c>
      <c r="E45" s="15" t="s">
        <v>821</v>
      </c>
      <c r="F45" s="11"/>
      <c r="G45" s="11"/>
      <c r="H45" s="36"/>
      <c r="I45" s="11">
        <v>5404.7</v>
      </c>
      <c r="J45" s="11">
        <v>4500</v>
      </c>
      <c r="K45" s="15">
        <v>4971</v>
      </c>
      <c r="L45" s="10">
        <v>1</v>
      </c>
      <c r="M45" s="12" t="str">
        <f>IFERROR(IF(AND(#REF!="sell",B45&gt;=AI45),"sell",""),"")</f>
        <v/>
      </c>
      <c r="O45" s="10" t="str">
        <f>IFERROR(IF(AND(#REF!="equal",C45&gt;AI45,#REF!="overbought"),"sell",""),"")</f>
        <v/>
      </c>
      <c r="S45" t="str">
        <f>IFERROR(IF(AND(#REF!="sell",C45&gt;=#REF!),"sell",""),"")</f>
        <v/>
      </c>
      <c r="W45" s="40" t="e">
        <f t="shared" si="2"/>
        <v>#VALUE!</v>
      </c>
      <c r="X45" s="12" t="str">
        <f>IF(S45="sell",#REF!-E45,"")</f>
        <v/>
      </c>
      <c r="AA45" s="12" t="s">
        <v>111</v>
      </c>
      <c r="AB45" s="12">
        <v>4991.0249999999996</v>
      </c>
      <c r="AC45">
        <v>4985.125</v>
      </c>
      <c r="AD45" s="12">
        <v>4983.1750000000002</v>
      </c>
      <c r="AE45" s="12">
        <v>4994.5249999999996</v>
      </c>
      <c r="AF45" s="12">
        <f t="shared" si="3"/>
        <v>4952.3500000000004</v>
      </c>
      <c r="AG45" s="12">
        <f t="shared" si="4"/>
        <v>15.004712593048646</v>
      </c>
      <c r="AH45" s="12">
        <f t="shared" si="5"/>
        <v>4981.24</v>
      </c>
      <c r="AI45" s="12">
        <f t="shared" si="6"/>
        <v>5011.2494251860971</v>
      </c>
      <c r="AJ45" s="12">
        <f t="shared" si="7"/>
        <v>4951.2305748139024</v>
      </c>
      <c r="AK45" t="str">
        <f t="shared" si="8"/>
        <v>sell</v>
      </c>
      <c r="BA45" t="s">
        <v>111</v>
      </c>
      <c r="BB45" s="5">
        <v>5018.9502000000002</v>
      </c>
      <c r="BC45" s="5">
        <v>5162.7002000000002</v>
      </c>
      <c r="BD45" s="5">
        <v>5130</v>
      </c>
      <c r="BE45" s="5">
        <v>5313</v>
      </c>
      <c r="BF45" s="5">
        <v>5311</v>
      </c>
      <c r="BG45" s="5">
        <v>5198</v>
      </c>
      <c r="BH45" s="5">
        <v>5141.0497999999998</v>
      </c>
      <c r="BI45" s="5">
        <v>5018.8999000000003</v>
      </c>
      <c r="BJ45" s="5" t="str">
        <f t="shared" si="9"/>
        <v>-</v>
      </c>
      <c r="BK45" t="str">
        <f t="shared" si="10"/>
        <v/>
      </c>
      <c r="BM45" t="s">
        <v>24</v>
      </c>
      <c r="BN45" t="s">
        <v>111</v>
      </c>
      <c r="BO45">
        <v>5825</v>
      </c>
      <c r="BP45">
        <v>5585.25</v>
      </c>
      <c r="BQ45">
        <v>5375</v>
      </c>
      <c r="BR45">
        <v>5304.8999000000003</v>
      </c>
      <c r="BS45">
        <v>4544</v>
      </c>
      <c r="BT45">
        <v>4765.5</v>
      </c>
      <c r="BU45">
        <v>5162.7002000000002</v>
      </c>
      <c r="BV45">
        <v>5313</v>
      </c>
      <c r="BW45" s="5" t="str">
        <f t="shared" si="11"/>
        <v>-</v>
      </c>
      <c r="BX45" t="str">
        <f t="shared" si="13"/>
        <v/>
      </c>
      <c r="BZ45" t="str">
        <f t="shared" si="1"/>
        <v/>
      </c>
    </row>
    <row r="46" spans="2:78" x14ac:dyDescent="0.3">
      <c r="B46" s="11" t="s">
        <v>821</v>
      </c>
      <c r="C46" s="11" t="s">
        <v>821</v>
      </c>
      <c r="D46" s="11" t="s">
        <v>821</v>
      </c>
      <c r="E46" s="15" t="s">
        <v>821</v>
      </c>
      <c r="F46" s="11"/>
      <c r="G46" s="11"/>
      <c r="H46" s="36"/>
      <c r="I46" s="11">
        <v>2923.05</v>
      </c>
      <c r="J46" s="11">
        <v>2572.6999999999998</v>
      </c>
      <c r="K46" s="15">
        <v>2657.35</v>
      </c>
      <c r="L46" s="10">
        <v>1</v>
      </c>
      <c r="M46" s="12" t="str">
        <f>IFERROR(IF(AND(#REF!="sell",B46&gt;=AI46),"sell",""),"")</f>
        <v/>
      </c>
      <c r="O46" s="10" t="str">
        <f>IFERROR(IF(AND(#REF!="equal",C46&gt;AI46,#REF!="overbought"),"sell",""),"")</f>
        <v/>
      </c>
      <c r="S46" t="str">
        <f>IFERROR(IF(AND(#REF!="sell",C46&gt;=#REF!),"sell",""),"")</f>
        <v/>
      </c>
      <c r="W46" s="40" t="e">
        <f t="shared" si="2"/>
        <v>#VALUE!</v>
      </c>
      <c r="X46" s="12" t="str">
        <f>IF(S46="sell",#REF!-E46,"")</f>
        <v/>
      </c>
      <c r="AA46" s="12" t="s">
        <v>113</v>
      </c>
      <c r="AB46" s="12">
        <v>2643.875</v>
      </c>
      <c r="AC46">
        <v>2639.375</v>
      </c>
      <c r="AD46" s="12">
        <v>2641.9</v>
      </c>
      <c r="AE46" s="12">
        <v>2648.75</v>
      </c>
      <c r="AF46" s="12">
        <f t="shared" si="3"/>
        <v>2747.875</v>
      </c>
      <c r="AG46" s="12">
        <f t="shared" si="4"/>
        <v>41.873056372803731</v>
      </c>
      <c r="AH46" s="12">
        <f t="shared" si="5"/>
        <v>2664.355</v>
      </c>
      <c r="AI46" s="12">
        <f t="shared" si="6"/>
        <v>2748.1011127456077</v>
      </c>
      <c r="AJ46" s="12">
        <f t="shared" si="7"/>
        <v>2580.6088872543924</v>
      </c>
      <c r="AK46" t="str">
        <f t="shared" si="8"/>
        <v>sell</v>
      </c>
      <c r="BA46" t="s">
        <v>113</v>
      </c>
      <c r="BB46" s="5">
        <v>2737.8501000000001</v>
      </c>
      <c r="BC46" s="5">
        <v>2727</v>
      </c>
      <c r="BD46" s="5">
        <v>2725</v>
      </c>
      <c r="BE46" s="5">
        <v>2703.6498999999999</v>
      </c>
      <c r="BF46" s="5">
        <v>2712</v>
      </c>
      <c r="BG46" s="5">
        <v>2703</v>
      </c>
      <c r="BH46" s="5">
        <v>2699.1001000000001</v>
      </c>
      <c r="BI46" s="5">
        <v>2672.8998999999999</v>
      </c>
      <c r="BJ46" s="5" t="str">
        <f t="shared" si="9"/>
        <v>-</v>
      </c>
      <c r="BK46" t="str">
        <f t="shared" si="10"/>
        <v/>
      </c>
      <c r="BM46" t="s">
        <v>24</v>
      </c>
      <c r="BN46" t="s">
        <v>113</v>
      </c>
      <c r="BO46">
        <v>2747.3998999999999</v>
      </c>
      <c r="BP46">
        <v>2721.8501000000001</v>
      </c>
      <c r="BQ46">
        <v>2867.45</v>
      </c>
      <c r="BR46">
        <v>2873.7</v>
      </c>
      <c r="BS46">
        <v>2960.8998999999999</v>
      </c>
      <c r="BT46">
        <v>2888.45</v>
      </c>
      <c r="BU46">
        <v>2737.8501000000001</v>
      </c>
      <c r="BV46">
        <v>2712</v>
      </c>
      <c r="BW46" s="5" t="str">
        <f t="shared" si="11"/>
        <v>-</v>
      </c>
      <c r="BX46" t="str">
        <f t="shared" si="13"/>
        <v/>
      </c>
      <c r="BZ46" t="str">
        <f t="shared" si="1"/>
        <v/>
      </c>
    </row>
    <row r="47" spans="2:78" x14ac:dyDescent="0.3">
      <c r="B47" s="11" t="s">
        <v>821</v>
      </c>
      <c r="C47" s="11" t="s">
        <v>821</v>
      </c>
      <c r="D47" s="11" t="s">
        <v>821</v>
      </c>
      <c r="E47" s="15" t="s">
        <v>821</v>
      </c>
      <c r="F47" s="11"/>
      <c r="G47" s="11"/>
      <c r="H47" s="36"/>
      <c r="I47" s="11">
        <v>1150</v>
      </c>
      <c r="J47" s="11">
        <v>967.4</v>
      </c>
      <c r="K47" s="15">
        <v>1074.8399999999999</v>
      </c>
      <c r="L47" s="10">
        <v>1</v>
      </c>
      <c r="M47" s="12" t="str">
        <f>IFERROR(IF(AND(#REF!="sell",B47&gt;=AI47),"sell",""),"")</f>
        <v/>
      </c>
      <c r="O47" s="10" t="str">
        <f>IFERROR(IF(AND(#REF!="equal",C47&gt;AI47,#REF!="overbought"),"sell",""),"")</f>
        <v/>
      </c>
      <c r="S47" t="str">
        <f>IFERROR(IF(AND(#REF!="sell",C47&gt;=#REF!),"sell",""),"")</f>
        <v/>
      </c>
      <c r="W47" s="40" t="e">
        <f t="shared" si="2"/>
        <v>#VALUE!</v>
      </c>
      <c r="X47" s="12" t="str">
        <f>IF(S47="sell",#REF!-E47,"")</f>
        <v/>
      </c>
      <c r="AA47" s="12" t="s">
        <v>115</v>
      </c>
      <c r="AB47" s="12">
        <v>1065.3499999999999</v>
      </c>
      <c r="AC47">
        <v>1064.375</v>
      </c>
      <c r="AD47" s="12">
        <v>1066.1999999999998</v>
      </c>
      <c r="AE47" s="12">
        <v>1068.575</v>
      </c>
      <c r="AF47" s="12">
        <f t="shared" si="3"/>
        <v>1058.7</v>
      </c>
      <c r="AG47" s="12">
        <f t="shared" si="4"/>
        <v>3.2795045357492381</v>
      </c>
      <c r="AH47" s="12">
        <f t="shared" si="5"/>
        <v>1064.6399999999999</v>
      </c>
      <c r="AI47" s="12">
        <f t="shared" si="6"/>
        <v>1071.1990090714983</v>
      </c>
      <c r="AJ47" s="12">
        <f t="shared" si="7"/>
        <v>1058.0809909285015</v>
      </c>
      <c r="AK47" t="str">
        <f t="shared" si="8"/>
        <v>sell</v>
      </c>
      <c r="BA47" t="s">
        <v>115</v>
      </c>
      <c r="BB47" s="5">
        <v>1100</v>
      </c>
      <c r="BC47" s="5">
        <v>1113.25</v>
      </c>
      <c r="BD47" s="5">
        <v>1119.9000000000001</v>
      </c>
      <c r="BE47" s="5">
        <v>1115.5</v>
      </c>
      <c r="BF47" s="5">
        <v>1111.3</v>
      </c>
      <c r="BG47" s="5">
        <v>1097.2</v>
      </c>
      <c r="BH47" s="5">
        <v>1086.7</v>
      </c>
      <c r="BI47" s="5">
        <v>1080.6500000000001</v>
      </c>
      <c r="BJ47" s="5" t="str">
        <f t="shared" si="9"/>
        <v>-</v>
      </c>
      <c r="BK47" t="str">
        <f t="shared" si="10"/>
        <v/>
      </c>
      <c r="BM47" t="s">
        <v>24</v>
      </c>
      <c r="BN47" t="s">
        <v>115</v>
      </c>
      <c r="BO47">
        <v>974.95001000000002</v>
      </c>
      <c r="BP47">
        <v>959.90002000000004</v>
      </c>
      <c r="BQ47">
        <v>1079</v>
      </c>
      <c r="BR47">
        <v>1083.8499999999999</v>
      </c>
      <c r="BS47">
        <v>1069</v>
      </c>
      <c r="BT47">
        <v>1116.05</v>
      </c>
      <c r="BU47">
        <v>1119.9000000000001</v>
      </c>
      <c r="BV47">
        <v>1115.5</v>
      </c>
      <c r="BW47" s="5" t="str">
        <f t="shared" si="11"/>
        <v>-</v>
      </c>
      <c r="BX47" t="str">
        <f t="shared" si="13"/>
        <v>Pivot sell</v>
      </c>
      <c r="BZ47" t="str">
        <f t="shared" si="1"/>
        <v/>
      </c>
    </row>
    <row r="48" spans="2:78" x14ac:dyDescent="0.3">
      <c r="B48" s="11" t="s">
        <v>821</v>
      </c>
      <c r="C48" s="11" t="s">
        <v>821</v>
      </c>
      <c r="D48" s="11" t="s">
        <v>821</v>
      </c>
      <c r="E48" s="15" t="s">
        <v>821</v>
      </c>
      <c r="F48" s="11"/>
      <c r="G48" s="11"/>
      <c r="H48" s="36"/>
      <c r="I48" s="11">
        <v>1310.95</v>
      </c>
      <c r="J48" s="11">
        <v>1182.8499999999999</v>
      </c>
      <c r="K48" s="15">
        <v>1307.3</v>
      </c>
      <c r="L48" s="10">
        <v>1</v>
      </c>
      <c r="M48" s="12" t="str">
        <f>IFERROR(IF(AND(#REF!="sell",B48&gt;=AI48),"sell",""),"")</f>
        <v/>
      </c>
      <c r="O48" s="10" t="str">
        <f>IFERROR(IF(AND(#REF!="equal",C48&gt;AI48,#REF!="overbought"),"sell",""),"")</f>
        <v/>
      </c>
      <c r="S48" t="str">
        <f>IFERROR(IF(AND(#REF!="sell",C48&gt;=#REF!),"sell",""),"")</f>
        <v/>
      </c>
      <c r="W48" s="40" t="e">
        <f t="shared" si="2"/>
        <v>#VALUE!</v>
      </c>
      <c r="X48" s="12" t="str">
        <f>IF(S48="sell",#REF!-E48,"")</f>
        <v/>
      </c>
      <c r="AA48" s="12" t="s">
        <v>117</v>
      </c>
      <c r="AB48" s="12">
        <v>1292.95</v>
      </c>
      <c r="AC48">
        <v>1298.4749999999999</v>
      </c>
      <c r="AD48" s="12">
        <v>1301.8</v>
      </c>
      <c r="AE48" s="12">
        <v>1307.8499999999999</v>
      </c>
      <c r="AF48" s="12">
        <f t="shared" si="3"/>
        <v>1246.9000000000001</v>
      </c>
      <c r="AG48" s="12">
        <f t="shared" si="4"/>
        <v>21.88689333825149</v>
      </c>
      <c r="AH48" s="12">
        <f t="shared" si="5"/>
        <v>1289.595</v>
      </c>
      <c r="AI48" s="12">
        <f t="shared" si="6"/>
        <v>1333.3687866765031</v>
      </c>
      <c r="AJ48" s="12">
        <f t="shared" si="7"/>
        <v>1245.821213323497</v>
      </c>
      <c r="AK48" t="str">
        <f t="shared" si="8"/>
        <v>sell</v>
      </c>
      <c r="BA48" t="s">
        <v>117</v>
      </c>
      <c r="BB48" s="5">
        <v>1242.4000000000001</v>
      </c>
      <c r="BC48" s="5">
        <v>1249</v>
      </c>
      <c r="BD48" s="5">
        <v>1273.95</v>
      </c>
      <c r="BE48" s="5">
        <v>1264</v>
      </c>
      <c r="BF48" s="5">
        <v>1299.3499999999999</v>
      </c>
      <c r="BG48" s="5">
        <v>1298</v>
      </c>
      <c r="BH48" s="5">
        <v>1310</v>
      </c>
      <c r="BI48" s="5">
        <v>1313.9</v>
      </c>
      <c r="BJ48" s="5" t="str">
        <f t="shared" si="9"/>
        <v>-</v>
      </c>
      <c r="BK48" t="str">
        <f t="shared" si="10"/>
        <v>Pivot sell</v>
      </c>
      <c r="BM48" t="s">
        <v>24</v>
      </c>
      <c r="BN48" t="s">
        <v>117</v>
      </c>
      <c r="BO48">
        <v>1179.45</v>
      </c>
      <c r="BP48">
        <v>1152.95</v>
      </c>
      <c r="BQ48">
        <v>1199</v>
      </c>
      <c r="BR48">
        <v>1217.3499999999999</v>
      </c>
      <c r="BS48">
        <v>1229.45</v>
      </c>
      <c r="BT48">
        <v>1268</v>
      </c>
      <c r="BU48">
        <v>1273.95</v>
      </c>
      <c r="BV48">
        <v>1313.9</v>
      </c>
      <c r="BW48" s="5" t="str">
        <f t="shared" si="11"/>
        <v>-</v>
      </c>
      <c r="BX48" t="str">
        <f t="shared" si="13"/>
        <v>Pivot sell</v>
      </c>
      <c r="BZ48" t="str">
        <f t="shared" si="1"/>
        <v>ok</v>
      </c>
    </row>
    <row r="49" spans="2:78" x14ac:dyDescent="0.3">
      <c r="B49" s="11" t="s">
        <v>821</v>
      </c>
      <c r="C49" s="11" t="s">
        <v>821</v>
      </c>
      <c r="D49" s="11" t="s">
        <v>821</v>
      </c>
      <c r="E49" s="15" t="s">
        <v>821</v>
      </c>
      <c r="F49" s="11"/>
      <c r="G49" s="11"/>
      <c r="H49" s="36"/>
      <c r="I49" s="11">
        <v>416.5</v>
      </c>
      <c r="J49" s="11">
        <v>359</v>
      </c>
      <c r="K49" s="15">
        <v>392.25</v>
      </c>
      <c r="L49" s="10">
        <v>1</v>
      </c>
      <c r="M49" s="12" t="str">
        <f>IFERROR(IF(AND(#REF!="sell",B49&gt;=AI49),"sell",""),"")</f>
        <v/>
      </c>
      <c r="O49" s="10" t="str">
        <f>IFERROR(IF(AND(#REF!="equal",C49&gt;AI49,#REF!="overbought"),"sell",""),"")</f>
        <v/>
      </c>
      <c r="S49" t="str">
        <f>IFERROR(IF(AND(#REF!="sell",C49&gt;=#REF!),"sell",""),"")</f>
        <v/>
      </c>
      <c r="W49" s="40" t="e">
        <f t="shared" si="2"/>
        <v>#VALUE!</v>
      </c>
      <c r="X49" s="12" t="str">
        <f>IF(S49="sell",#REF!-E49,"")</f>
        <v/>
      </c>
      <c r="AA49" s="12" t="s">
        <v>119</v>
      </c>
      <c r="AB49" s="12">
        <v>391.375</v>
      </c>
      <c r="AC49">
        <v>390.82500000000005</v>
      </c>
      <c r="AD49" s="12">
        <v>392.05</v>
      </c>
      <c r="AE49" s="12">
        <v>392.22500000000002</v>
      </c>
      <c r="AF49" s="12">
        <f t="shared" si="3"/>
        <v>387.75</v>
      </c>
      <c r="AG49" s="12">
        <f t="shared" si="4"/>
        <v>1.6258382453368532</v>
      </c>
      <c r="AH49" s="12">
        <f t="shared" si="5"/>
        <v>390.84499999999997</v>
      </c>
      <c r="AI49" s="12">
        <f t="shared" si="6"/>
        <v>394.0966764906737</v>
      </c>
      <c r="AJ49" s="12">
        <f t="shared" si="7"/>
        <v>387.59332350932624</v>
      </c>
      <c r="AK49" t="str">
        <f t="shared" si="8"/>
        <v>sell</v>
      </c>
      <c r="BA49" t="s">
        <v>119</v>
      </c>
      <c r="BB49" s="5">
        <v>394.89999</v>
      </c>
      <c r="BC49" s="5">
        <v>394.75</v>
      </c>
      <c r="BD49" s="5">
        <v>399.60001</v>
      </c>
      <c r="BE49" s="5">
        <v>399</v>
      </c>
      <c r="BF49" s="5">
        <v>392.85001</v>
      </c>
      <c r="BG49" s="5">
        <v>401.79998999999998</v>
      </c>
      <c r="BH49" s="5">
        <v>396.20001000000002</v>
      </c>
      <c r="BI49" s="5">
        <v>393.85001</v>
      </c>
      <c r="BJ49" s="5" t="str">
        <f t="shared" si="9"/>
        <v>-</v>
      </c>
      <c r="BK49" t="str">
        <f t="shared" si="10"/>
        <v/>
      </c>
      <c r="BM49" t="s">
        <v>24</v>
      </c>
      <c r="BN49" t="s">
        <v>119</v>
      </c>
      <c r="BO49">
        <v>301</v>
      </c>
      <c r="BP49">
        <v>300.64999</v>
      </c>
      <c r="BQ49">
        <v>317.35001</v>
      </c>
      <c r="BR49">
        <v>331.45001000000002</v>
      </c>
      <c r="BS49">
        <v>345.20001000000002</v>
      </c>
      <c r="BT49">
        <v>410</v>
      </c>
      <c r="BU49">
        <v>403.70001000000002</v>
      </c>
      <c r="BV49">
        <v>401.79998999999998</v>
      </c>
      <c r="BW49" s="5" t="str">
        <f t="shared" si="11"/>
        <v>-</v>
      </c>
      <c r="BX49" t="str">
        <f t="shared" si="13"/>
        <v/>
      </c>
      <c r="BZ49" t="str">
        <f t="shared" si="1"/>
        <v/>
      </c>
    </row>
    <row r="50" spans="2:78" x14ac:dyDescent="0.3">
      <c r="B50" s="11" t="s">
        <v>821</v>
      </c>
      <c r="C50" s="11" t="s">
        <v>821</v>
      </c>
      <c r="D50" s="11" t="s">
        <v>821</v>
      </c>
      <c r="E50" s="15" t="s">
        <v>821</v>
      </c>
      <c r="F50" s="11"/>
      <c r="G50" s="11"/>
      <c r="H50" s="36"/>
      <c r="I50" s="11">
        <v>156</v>
      </c>
      <c r="J50" s="11">
        <v>135</v>
      </c>
      <c r="K50" s="15">
        <v>143.1</v>
      </c>
      <c r="L50" s="10">
        <v>1</v>
      </c>
      <c r="M50" s="12" t="str">
        <f>IFERROR(IF(AND(#REF!="sell",B50&gt;=AI50),"sell",""),"")</f>
        <v/>
      </c>
      <c r="O50" s="10" t="str">
        <f>IFERROR(IF(AND(#REF!="equal",C50&gt;AI50,#REF!="overbought"),"sell",""),"")</f>
        <v/>
      </c>
      <c r="S50" t="str">
        <f>IFERROR(IF(AND(#REF!="sell",C50&gt;=#REF!),"sell",""),"")</f>
        <v/>
      </c>
      <c r="W50" s="40" t="e">
        <f t="shared" si="2"/>
        <v>#VALUE!</v>
      </c>
      <c r="X50" s="12" t="str">
        <f>IF(S50="sell",#REF!-E50,"")</f>
        <v/>
      </c>
      <c r="AA50" s="12" t="s">
        <v>121</v>
      </c>
      <c r="AB50" s="12">
        <v>142.625</v>
      </c>
      <c r="AC50">
        <v>142.625</v>
      </c>
      <c r="AD50" s="12">
        <v>142.55000000000001</v>
      </c>
      <c r="AE50" s="12">
        <v>142.77500000000001</v>
      </c>
      <c r="AF50" s="12">
        <f t="shared" si="3"/>
        <v>145.5</v>
      </c>
      <c r="AG50" s="12">
        <f t="shared" si="4"/>
        <v>1.1448362328298296</v>
      </c>
      <c r="AH50" s="12">
        <f t="shared" si="5"/>
        <v>143.215</v>
      </c>
      <c r="AI50" s="12">
        <f t="shared" si="6"/>
        <v>145.50467246565967</v>
      </c>
      <c r="AJ50" s="12">
        <f t="shared" si="7"/>
        <v>140.92532753434034</v>
      </c>
      <c r="AK50" t="str">
        <f t="shared" si="8"/>
        <v>sell</v>
      </c>
      <c r="BA50" t="s">
        <v>121</v>
      </c>
      <c r="BB50" s="5">
        <v>146.44999999999999</v>
      </c>
      <c r="BC50" s="5">
        <v>145</v>
      </c>
      <c r="BD50" s="5">
        <v>145.94999999999999</v>
      </c>
      <c r="BE50" s="5">
        <v>146.39999</v>
      </c>
      <c r="BF50" s="5">
        <v>145.5</v>
      </c>
      <c r="BG50" s="5">
        <v>143.85001</v>
      </c>
      <c r="BH50" s="5">
        <v>143.30000000000001</v>
      </c>
      <c r="BI50" s="5">
        <v>147</v>
      </c>
      <c r="BJ50" s="5" t="str">
        <f t="shared" si="9"/>
        <v>-</v>
      </c>
      <c r="BK50" t="str">
        <f t="shared" si="10"/>
        <v/>
      </c>
      <c r="BM50" t="s">
        <v>24</v>
      </c>
      <c r="BN50" t="s">
        <v>121</v>
      </c>
      <c r="BO50">
        <v>160.10001</v>
      </c>
      <c r="BP50">
        <v>156.60001</v>
      </c>
      <c r="BQ50">
        <v>162.60001</v>
      </c>
      <c r="BR50">
        <v>163.75</v>
      </c>
      <c r="BS50">
        <v>163.39999</v>
      </c>
      <c r="BT50">
        <v>155.44999999999999</v>
      </c>
      <c r="BU50">
        <v>151.89999</v>
      </c>
      <c r="BV50">
        <v>147</v>
      </c>
      <c r="BW50" s="5" t="str">
        <f t="shared" si="11"/>
        <v>-</v>
      </c>
      <c r="BX50" t="str">
        <f t="shared" si="13"/>
        <v/>
      </c>
      <c r="BZ50" t="str">
        <f t="shared" si="1"/>
        <v/>
      </c>
    </row>
    <row r="51" spans="2:78" x14ac:dyDescent="0.3">
      <c r="B51" s="11" t="s">
        <v>821</v>
      </c>
      <c r="C51" s="11" t="s">
        <v>821</v>
      </c>
      <c r="D51" s="11" t="s">
        <v>821</v>
      </c>
      <c r="E51" s="15" t="s">
        <v>821</v>
      </c>
      <c r="F51" s="11"/>
      <c r="G51" s="11"/>
      <c r="H51" s="36"/>
      <c r="I51" s="11">
        <v>3592.9</v>
      </c>
      <c r="J51" s="11">
        <v>3196.2</v>
      </c>
      <c r="K51" s="15">
        <v>3551.3</v>
      </c>
      <c r="L51" s="10">
        <v>1</v>
      </c>
      <c r="M51" s="12" t="str">
        <f>IFERROR(IF(AND(#REF!="sell",B51&gt;=AI51),"sell",""),"")</f>
        <v/>
      </c>
      <c r="O51" s="10" t="str">
        <f>IFERROR(IF(AND(#REF!="equal",C51&gt;AI51,#REF!="overbought"),"sell",""),"")</f>
        <v/>
      </c>
      <c r="S51" t="str">
        <f>IFERROR(IF(AND(#REF!="sell",C51&gt;=#REF!),"sell",""),"")</f>
        <v/>
      </c>
      <c r="W51" s="40" t="e">
        <f t="shared" si="2"/>
        <v>#VALUE!</v>
      </c>
      <c r="X51" s="12" t="str">
        <f>IF(S51="sell",#REF!-E51,"")</f>
        <v/>
      </c>
      <c r="AA51" s="12" t="s">
        <v>123</v>
      </c>
      <c r="AB51" s="12">
        <v>3595.85</v>
      </c>
      <c r="AC51">
        <v>3598.5</v>
      </c>
      <c r="AD51" s="12">
        <v>3595.6499999999996</v>
      </c>
      <c r="AE51" s="12">
        <v>3592.4</v>
      </c>
      <c r="AF51" s="12">
        <f t="shared" si="3"/>
        <v>3394.55</v>
      </c>
      <c r="AG51" s="12">
        <f t="shared" si="4"/>
        <v>80.443268208097962</v>
      </c>
      <c r="AH51" s="12">
        <f t="shared" si="5"/>
        <v>3555.3900000000003</v>
      </c>
      <c r="AI51" s="12">
        <f t="shared" si="6"/>
        <v>3716.2765364161964</v>
      </c>
      <c r="AJ51" s="12">
        <f t="shared" si="7"/>
        <v>3394.5034635838042</v>
      </c>
      <c r="AK51" t="str">
        <f t="shared" si="8"/>
        <v>sell</v>
      </c>
      <c r="BA51" t="s">
        <v>123</v>
      </c>
      <c r="BB51" s="5">
        <v>3787.95</v>
      </c>
      <c r="BC51" s="5">
        <v>3780</v>
      </c>
      <c r="BD51" s="5">
        <v>3770.95</v>
      </c>
      <c r="BE51" s="5">
        <v>3878.7</v>
      </c>
      <c r="BF51" s="5">
        <v>3849</v>
      </c>
      <c r="BG51" s="5">
        <v>3859.8998999999999</v>
      </c>
      <c r="BH51" s="5">
        <v>3900</v>
      </c>
      <c r="BI51" s="5">
        <v>3595</v>
      </c>
      <c r="BJ51" s="5" t="str">
        <f t="shared" si="9"/>
        <v>-</v>
      </c>
      <c r="BK51" t="str">
        <f t="shared" si="10"/>
        <v>Pivot sell</v>
      </c>
      <c r="BM51" t="s">
        <v>33</v>
      </c>
      <c r="BN51" t="s">
        <v>123</v>
      </c>
      <c r="BO51">
        <v>3099</v>
      </c>
      <c r="BP51">
        <v>3161.1498999999999</v>
      </c>
      <c r="BQ51">
        <v>3270</v>
      </c>
      <c r="BR51">
        <v>3478.3998999999999</v>
      </c>
      <c r="BS51">
        <v>3466</v>
      </c>
      <c r="BT51">
        <v>3895</v>
      </c>
      <c r="BU51">
        <v>3889</v>
      </c>
      <c r="BV51">
        <v>3900</v>
      </c>
      <c r="BW51" s="5" t="str">
        <f t="shared" si="11"/>
        <v>-</v>
      </c>
      <c r="BX51" t="str">
        <f t="shared" si="13"/>
        <v/>
      </c>
      <c r="BZ51" t="str">
        <f t="shared" si="1"/>
        <v/>
      </c>
    </row>
    <row r="52" spans="2:78" x14ac:dyDescent="0.3">
      <c r="B52" s="11" t="s">
        <v>821</v>
      </c>
      <c r="C52" s="11" t="s">
        <v>821</v>
      </c>
      <c r="D52" s="11" t="s">
        <v>821</v>
      </c>
      <c r="E52" s="15" t="s">
        <v>821</v>
      </c>
      <c r="F52" s="11"/>
      <c r="G52" s="11"/>
      <c r="H52" s="36"/>
      <c r="I52" s="11">
        <v>596.20000000000005</v>
      </c>
      <c r="J52" s="11">
        <v>490.6</v>
      </c>
      <c r="K52" s="15">
        <v>545.1</v>
      </c>
      <c r="L52" s="10">
        <v>1</v>
      </c>
      <c r="M52" s="12" t="str">
        <f>IFERROR(IF(AND(#REF!="sell",B52&gt;=AI52),"sell",""),"")</f>
        <v/>
      </c>
      <c r="O52" s="10" t="str">
        <f>IFERROR(IF(AND(#REF!="equal",C52&gt;AI52,#REF!="overbought"),"sell",""),"")</f>
        <v/>
      </c>
      <c r="S52" t="str">
        <f>IFERROR(IF(AND(#REF!="sell",C52&gt;=#REF!),"sell",""),"")</f>
        <v/>
      </c>
      <c r="W52" s="40" t="e">
        <f t="shared" si="2"/>
        <v>#VALUE!</v>
      </c>
      <c r="X52" s="12" t="str">
        <f>IF(S52="sell",#REF!-E52,"")</f>
        <v/>
      </c>
      <c r="AA52" s="12" t="s">
        <v>125</v>
      </c>
      <c r="AB52" s="12">
        <v>550.57500000000005</v>
      </c>
      <c r="AC52">
        <v>551.34999999999991</v>
      </c>
      <c r="AD52" s="12">
        <v>551.22500000000002</v>
      </c>
      <c r="AE52" s="12">
        <v>551.04999999999995</v>
      </c>
      <c r="AF52" s="12">
        <f t="shared" si="3"/>
        <v>543.40000000000009</v>
      </c>
      <c r="AG52" s="12">
        <f t="shared" si="4"/>
        <v>3.0712945153468625</v>
      </c>
      <c r="AH52" s="12">
        <f t="shared" si="5"/>
        <v>549.52</v>
      </c>
      <c r="AI52" s="12">
        <f t="shared" si="6"/>
        <v>555.66258903069365</v>
      </c>
      <c r="AJ52" s="12">
        <f t="shared" si="7"/>
        <v>543.37741096930631</v>
      </c>
      <c r="AK52" t="str">
        <f t="shared" si="8"/>
        <v>sell</v>
      </c>
      <c r="BA52" t="s">
        <v>125</v>
      </c>
      <c r="BB52" s="5">
        <v>555.90002000000004</v>
      </c>
      <c r="BC52" s="5">
        <v>562</v>
      </c>
      <c r="BD52" s="5">
        <v>564.90002000000004</v>
      </c>
      <c r="BE52" s="5">
        <v>571</v>
      </c>
      <c r="BF52" s="5">
        <v>578.90002000000004</v>
      </c>
      <c r="BG52" s="5">
        <v>570.79998999999998</v>
      </c>
      <c r="BH52" s="5">
        <v>557.40002000000004</v>
      </c>
      <c r="BI52" s="5">
        <v>554.5</v>
      </c>
      <c r="BJ52" s="5" t="str">
        <f t="shared" si="9"/>
        <v>-</v>
      </c>
      <c r="BK52" t="str">
        <f t="shared" si="10"/>
        <v/>
      </c>
      <c r="BM52" t="s">
        <v>24</v>
      </c>
      <c r="BN52" t="s">
        <v>125</v>
      </c>
      <c r="BO52">
        <v>509.85001</v>
      </c>
      <c r="BP52">
        <v>507.95001000000002</v>
      </c>
      <c r="BQ52">
        <v>511.54998999999998</v>
      </c>
      <c r="BR52">
        <v>538</v>
      </c>
      <c r="BS52">
        <v>566.90002000000004</v>
      </c>
      <c r="BT52">
        <v>562.70001000000002</v>
      </c>
      <c r="BU52">
        <v>564.90002000000004</v>
      </c>
      <c r="BV52">
        <v>578.90002000000004</v>
      </c>
      <c r="BW52" s="5" t="str">
        <f t="shared" si="11"/>
        <v>-</v>
      </c>
      <c r="BX52" t="str">
        <f t="shared" si="13"/>
        <v/>
      </c>
      <c r="BZ52" t="str">
        <f t="shared" si="1"/>
        <v/>
      </c>
    </row>
    <row r="53" spans="2:78" x14ac:dyDescent="0.3">
      <c r="B53" s="11" t="s">
        <v>821</v>
      </c>
      <c r="C53" s="11" t="s">
        <v>821</v>
      </c>
      <c r="D53" s="11" t="s">
        <v>821</v>
      </c>
      <c r="E53" s="15" t="s">
        <v>821</v>
      </c>
      <c r="F53" s="11"/>
      <c r="G53" s="11"/>
      <c r="H53" s="36"/>
      <c r="I53" s="11">
        <v>1775.85</v>
      </c>
      <c r="J53" s="11">
        <v>1766</v>
      </c>
      <c r="K53" s="15">
        <v>1775.7</v>
      </c>
      <c r="L53" s="10">
        <v>1</v>
      </c>
      <c r="M53" s="12" t="str">
        <f>IFERROR(IF(AND(#REF!="sell",B53&gt;=AI53),"sell",""),"")</f>
        <v/>
      </c>
      <c r="O53" s="10" t="str">
        <f>IFERROR(IF(AND(#REF!="equal",C53&gt;AI53,#REF!="overbought"),"sell",""),"")</f>
        <v/>
      </c>
      <c r="S53" t="str">
        <f>IFERROR(IF(AND(#REF!="sell",C53&gt;=#REF!),"sell",""),"")</f>
        <v/>
      </c>
      <c r="W53" s="40" t="e">
        <f t="shared" si="2"/>
        <v>#VALUE!</v>
      </c>
      <c r="X53" s="12" t="str">
        <f>IF(S53="sell",#REF!-E53,"")</f>
        <v/>
      </c>
      <c r="AA53" s="12" t="s">
        <v>127</v>
      </c>
      <c r="AB53" s="12">
        <v>1765.0250000000001</v>
      </c>
      <c r="AC53">
        <v>1767.4749999999999</v>
      </c>
      <c r="AD53" s="12">
        <v>1766.6750000000002</v>
      </c>
      <c r="AE53" s="12">
        <v>1773.95</v>
      </c>
      <c r="AF53" s="12">
        <f t="shared" si="3"/>
        <v>1770.925</v>
      </c>
      <c r="AG53" s="12">
        <f t="shared" si="4"/>
        <v>3.2112147234340798</v>
      </c>
      <c r="AH53" s="12">
        <f t="shared" si="5"/>
        <v>1768.81</v>
      </c>
      <c r="AI53" s="12">
        <f t="shared" si="6"/>
        <v>1775.2324294468681</v>
      </c>
      <c r="AJ53" s="12">
        <f t="shared" si="7"/>
        <v>1762.3875705531318</v>
      </c>
      <c r="AK53" t="str">
        <f t="shared" si="8"/>
        <v>sell</v>
      </c>
      <c r="BA53" t="s">
        <v>127</v>
      </c>
      <c r="BB53" s="5">
        <v>1856.3</v>
      </c>
      <c r="BC53" s="5">
        <v>1846</v>
      </c>
      <c r="BD53" s="5">
        <v>1822.45</v>
      </c>
      <c r="BE53" s="5">
        <v>1811.95</v>
      </c>
      <c r="BF53" s="5">
        <v>1811.9</v>
      </c>
      <c r="BG53" s="5">
        <v>1810.95</v>
      </c>
      <c r="BH53" s="5">
        <v>1779.9</v>
      </c>
      <c r="BI53" s="5">
        <v>1784.95</v>
      </c>
      <c r="BJ53" s="5" t="str">
        <f t="shared" si="9"/>
        <v>-</v>
      </c>
      <c r="BK53" t="str">
        <f t="shared" si="10"/>
        <v/>
      </c>
      <c r="BM53" t="s">
        <v>24</v>
      </c>
      <c r="BN53" t="s">
        <v>127</v>
      </c>
      <c r="BO53">
        <v>2044.55</v>
      </c>
      <c r="BP53">
        <v>1986.2</v>
      </c>
      <c r="BQ53">
        <v>1988.35</v>
      </c>
      <c r="BR53">
        <v>1850.05</v>
      </c>
      <c r="BS53">
        <v>1816.1</v>
      </c>
      <c r="BT53">
        <v>1823.2</v>
      </c>
      <c r="BU53">
        <v>1860.15</v>
      </c>
      <c r="BV53">
        <v>1811.95</v>
      </c>
      <c r="BW53" s="5" t="str">
        <f t="shared" si="11"/>
        <v>-</v>
      </c>
      <c r="BX53" t="str">
        <f t="shared" si="13"/>
        <v/>
      </c>
      <c r="BZ53" t="str">
        <f t="shared" si="1"/>
        <v/>
      </c>
    </row>
    <row r="54" spans="2:78" x14ac:dyDescent="0.3">
      <c r="B54" s="11" t="s">
        <v>821</v>
      </c>
      <c r="C54" s="11" t="s">
        <v>821</v>
      </c>
      <c r="D54" s="11" t="s">
        <v>821</v>
      </c>
      <c r="E54" s="15" t="s">
        <v>821</v>
      </c>
      <c r="F54" s="11"/>
      <c r="G54" s="11"/>
      <c r="H54" s="36"/>
      <c r="I54" s="11">
        <v>2203</v>
      </c>
      <c r="J54" s="11">
        <v>2178.1</v>
      </c>
      <c r="K54" s="15">
        <v>2191.3000000000002</v>
      </c>
      <c r="L54" s="10">
        <v>1</v>
      </c>
      <c r="M54" s="12" t="str">
        <f>IFERROR(IF(AND(#REF!="sell",B54&gt;=AI54),"sell",""),"")</f>
        <v/>
      </c>
      <c r="O54" s="10" t="str">
        <f>IFERROR(IF(AND(#REF!="equal",C54&gt;AI54,#REF!="overbought"),"sell",""),"")</f>
        <v/>
      </c>
      <c r="S54" t="str">
        <f>IFERROR(IF(AND(#REF!="sell",C54&gt;=#REF!),"sell",""),"")</f>
        <v/>
      </c>
      <c r="W54" s="40" t="e">
        <f t="shared" si="2"/>
        <v>#VALUE!</v>
      </c>
      <c r="X54" s="12" t="str">
        <f>IF(S54="sell",#REF!-E54,"")</f>
        <v/>
      </c>
      <c r="AA54" s="12" t="s">
        <v>129</v>
      </c>
      <c r="AB54" s="12">
        <v>2194.3249999999998</v>
      </c>
      <c r="AC54">
        <v>2180.8500000000004</v>
      </c>
      <c r="AD54" s="12">
        <v>2176.625</v>
      </c>
      <c r="AE54" s="12">
        <v>2179.4499999999998</v>
      </c>
      <c r="AF54" s="12">
        <f t="shared" si="3"/>
        <v>2190.5500000000002</v>
      </c>
      <c r="AG54" s="12">
        <f t="shared" si="4"/>
        <v>6.8392360684508891</v>
      </c>
      <c r="AH54" s="12">
        <f t="shared" si="5"/>
        <v>2184.3599999999997</v>
      </c>
      <c r="AI54" s="12">
        <f t="shared" si="6"/>
        <v>2198.0384721369014</v>
      </c>
      <c r="AJ54" s="12">
        <f t="shared" si="7"/>
        <v>2170.6815278630979</v>
      </c>
      <c r="AK54" t="str">
        <f t="shared" si="8"/>
        <v>sell</v>
      </c>
      <c r="BA54" t="s">
        <v>129</v>
      </c>
      <c r="BB54" s="5">
        <v>2555</v>
      </c>
      <c r="BC54" s="5">
        <v>2459.0500000000002</v>
      </c>
      <c r="BD54" s="5">
        <v>2376.8998999999999</v>
      </c>
      <c r="BE54" s="5">
        <v>2375.6999999999998</v>
      </c>
      <c r="BF54" s="5">
        <v>2361.3998999999999</v>
      </c>
      <c r="BG54" s="5">
        <v>2298</v>
      </c>
      <c r="BH54" s="5">
        <v>2267.6498999999999</v>
      </c>
      <c r="BI54" s="5">
        <v>2205.25</v>
      </c>
      <c r="BJ54" s="5" t="str">
        <f t="shared" si="9"/>
        <v>-</v>
      </c>
      <c r="BK54" t="str">
        <f t="shared" si="10"/>
        <v/>
      </c>
      <c r="BM54" t="s">
        <v>24</v>
      </c>
      <c r="BN54" t="s">
        <v>129</v>
      </c>
      <c r="BO54">
        <v>2346.5</v>
      </c>
      <c r="BP54">
        <v>2365</v>
      </c>
      <c r="BQ54">
        <v>2535</v>
      </c>
      <c r="BR54">
        <v>2510</v>
      </c>
      <c r="BS54">
        <v>2619.8000000000002</v>
      </c>
      <c r="BT54">
        <v>2545</v>
      </c>
      <c r="BU54">
        <v>2567.6999999999998</v>
      </c>
      <c r="BV54">
        <v>2375.6999999999998</v>
      </c>
      <c r="BW54" s="5" t="str">
        <f t="shared" si="11"/>
        <v>-</v>
      </c>
      <c r="BX54" t="str">
        <f t="shared" si="13"/>
        <v/>
      </c>
      <c r="BZ54" t="str">
        <f t="shared" si="1"/>
        <v/>
      </c>
    </row>
    <row r="55" spans="2:78" x14ac:dyDescent="0.3">
      <c r="B55" s="11" t="s">
        <v>821</v>
      </c>
      <c r="C55" s="11" t="s">
        <v>821</v>
      </c>
      <c r="D55" s="11" t="s">
        <v>821</v>
      </c>
      <c r="E55" s="15" t="s">
        <v>821</v>
      </c>
      <c r="F55" s="11"/>
      <c r="G55" s="11"/>
      <c r="H55" s="36"/>
      <c r="I55" s="11">
        <v>4785.25</v>
      </c>
      <c r="J55" s="11">
        <v>3800</v>
      </c>
      <c r="K55" s="15">
        <v>4307.2</v>
      </c>
      <c r="L55" s="10">
        <v>1</v>
      </c>
      <c r="M55" s="12" t="str">
        <f>IFERROR(IF(AND(#REF!="sell",B55&gt;=AI55),"sell",""),"")</f>
        <v/>
      </c>
      <c r="O55" s="10" t="str">
        <f>IFERROR(IF(AND(#REF!="equal",C55&gt;AI55,#REF!="overbought"),"sell",""),"")</f>
        <v/>
      </c>
      <c r="S55" t="str">
        <f>IFERROR(IF(AND(#REF!="sell",C55&gt;=#REF!),"sell",""),"")</f>
        <v/>
      </c>
      <c r="W55" s="40" t="e">
        <f t="shared" si="2"/>
        <v>#VALUE!</v>
      </c>
      <c r="X55" s="12" t="str">
        <f>IF(S55="sell",#REF!-E55,"")</f>
        <v/>
      </c>
      <c r="AA55" s="12" t="s">
        <v>131</v>
      </c>
      <c r="AB55" s="12">
        <v>4414</v>
      </c>
      <c r="AC55">
        <v>4417</v>
      </c>
      <c r="AD55" s="12">
        <v>4420.7250000000004</v>
      </c>
      <c r="AE55" s="12">
        <v>4422.7749999999996</v>
      </c>
      <c r="AF55" s="12">
        <f t="shared" si="3"/>
        <v>4292.625</v>
      </c>
      <c r="AG55" s="12">
        <f t="shared" si="4"/>
        <v>50.490521387682257</v>
      </c>
      <c r="AH55" s="12">
        <f t="shared" si="5"/>
        <v>4393.4250000000002</v>
      </c>
      <c r="AI55" s="12">
        <f t="shared" si="6"/>
        <v>4494.4060427753648</v>
      </c>
      <c r="AJ55" s="12">
        <f t="shared" si="7"/>
        <v>4292.4439572246356</v>
      </c>
      <c r="AK55" t="str">
        <f t="shared" si="8"/>
        <v>sell</v>
      </c>
      <c r="BA55" t="s">
        <v>131</v>
      </c>
      <c r="BB55" s="5">
        <v>4071.75</v>
      </c>
      <c r="BC55" s="5">
        <v>4127.5497999999998</v>
      </c>
      <c r="BD55" s="5">
        <v>4175</v>
      </c>
      <c r="BE55" s="5">
        <v>4359</v>
      </c>
      <c r="BF55" s="5">
        <v>4401.6000999999997</v>
      </c>
      <c r="BG55" s="5">
        <v>4467.5</v>
      </c>
      <c r="BH55" s="5">
        <v>4465</v>
      </c>
      <c r="BI55" s="5">
        <v>4455.8500999999997</v>
      </c>
      <c r="BJ55" s="5" t="str">
        <f t="shared" si="9"/>
        <v>-</v>
      </c>
      <c r="BK55" t="str">
        <f t="shared" si="10"/>
        <v/>
      </c>
      <c r="BM55" t="s">
        <v>24</v>
      </c>
      <c r="BN55" t="s">
        <v>131</v>
      </c>
      <c r="BO55">
        <v>3822</v>
      </c>
      <c r="BP55">
        <v>3781.1001000000001</v>
      </c>
      <c r="BQ55">
        <v>4039</v>
      </c>
      <c r="BR55">
        <v>4100</v>
      </c>
      <c r="BS55">
        <v>3989</v>
      </c>
      <c r="BT55">
        <v>3965</v>
      </c>
      <c r="BU55">
        <v>4175</v>
      </c>
      <c r="BV55">
        <v>4467.5</v>
      </c>
      <c r="BW55" s="5" t="str">
        <f t="shared" si="11"/>
        <v>-</v>
      </c>
      <c r="BX55" t="str">
        <f t="shared" si="13"/>
        <v>Pivot sell</v>
      </c>
      <c r="BZ55" t="str">
        <f t="shared" si="1"/>
        <v/>
      </c>
    </row>
    <row r="56" spans="2:78" x14ac:dyDescent="0.3">
      <c r="B56" s="11" t="s">
        <v>821</v>
      </c>
      <c r="C56" s="11" t="s">
        <v>821</v>
      </c>
      <c r="D56" s="11" t="s">
        <v>821</v>
      </c>
      <c r="E56" s="15" t="s">
        <v>821</v>
      </c>
      <c r="F56" s="11"/>
      <c r="G56" s="11"/>
      <c r="H56" s="36"/>
      <c r="I56" s="11">
        <v>9999</v>
      </c>
      <c r="J56" s="11">
        <v>8500</v>
      </c>
      <c r="K56" s="15">
        <v>9396.35</v>
      </c>
      <c r="L56" s="10">
        <v>1</v>
      </c>
      <c r="M56" s="12" t="str">
        <f>IFERROR(IF(AND(#REF!="sell",B56&gt;=AI56),"sell",""),"")</f>
        <v/>
      </c>
      <c r="O56" s="10" t="str">
        <f>IFERROR(IF(AND(#REF!="equal",C56&gt;AI56,#REF!="overbought"),"sell",""),"")</f>
        <v/>
      </c>
      <c r="S56" t="str">
        <f>IFERROR(IF(AND(#REF!="sell",C56&gt;=#REF!),"sell",""),"")</f>
        <v/>
      </c>
      <c r="W56" s="40" t="e">
        <f t="shared" si="2"/>
        <v>#VALUE!</v>
      </c>
      <c r="X56" s="12" t="str">
        <f>IF(S56="sell",#REF!-E56,"")</f>
        <v/>
      </c>
      <c r="AA56" s="12" t="s">
        <v>133</v>
      </c>
      <c r="AB56" s="12">
        <v>9299.1749999999993</v>
      </c>
      <c r="AC56">
        <v>9306.1</v>
      </c>
      <c r="AD56" s="12">
        <v>9316.75</v>
      </c>
      <c r="AE56" s="12">
        <v>9320.0499999999993</v>
      </c>
      <c r="AF56" s="12">
        <f t="shared" si="3"/>
        <v>9249.5</v>
      </c>
      <c r="AG56" s="12">
        <f t="shared" si="4"/>
        <v>25.520617155546898</v>
      </c>
      <c r="AH56" s="12">
        <f t="shared" si="5"/>
        <v>9298.3149999999987</v>
      </c>
      <c r="AI56" s="12">
        <f t="shared" si="6"/>
        <v>9349.3562343110916</v>
      </c>
      <c r="AJ56" s="12">
        <f t="shared" si="7"/>
        <v>9247.2737656889058</v>
      </c>
      <c r="AK56" t="str">
        <f t="shared" si="8"/>
        <v>sell</v>
      </c>
      <c r="BA56" t="s">
        <v>133</v>
      </c>
      <c r="BB56" s="5">
        <v>9488.2001999999993</v>
      </c>
      <c r="BC56" s="5">
        <v>9391.1504000000004</v>
      </c>
      <c r="BD56" s="5">
        <v>9379</v>
      </c>
      <c r="BE56" s="5">
        <v>9360.9004000000004</v>
      </c>
      <c r="BF56" s="5">
        <v>9270</v>
      </c>
      <c r="BG56" s="5">
        <v>9255</v>
      </c>
      <c r="BH56" s="5">
        <v>9340</v>
      </c>
      <c r="BI56" s="5">
        <v>9458</v>
      </c>
      <c r="BJ56" s="5" t="str">
        <f t="shared" si="9"/>
        <v>-</v>
      </c>
      <c r="BK56" t="str">
        <f t="shared" si="10"/>
        <v/>
      </c>
      <c r="BM56" t="s">
        <v>24</v>
      </c>
      <c r="BN56" t="s">
        <v>133</v>
      </c>
      <c r="BO56">
        <v>7983</v>
      </c>
      <c r="BP56">
        <v>7829</v>
      </c>
      <c r="BQ56">
        <v>8607</v>
      </c>
      <c r="BR56">
        <v>8655</v>
      </c>
      <c r="BS56">
        <v>8509.9501999999993</v>
      </c>
      <c r="BT56">
        <v>9062</v>
      </c>
      <c r="BU56">
        <v>9488.2001999999993</v>
      </c>
      <c r="BV56">
        <v>9458</v>
      </c>
      <c r="BW56" s="5" t="str">
        <f t="shared" si="11"/>
        <v>-</v>
      </c>
      <c r="BX56" t="str">
        <f t="shared" si="13"/>
        <v>Pivot sell</v>
      </c>
      <c r="BZ56" t="str">
        <f t="shared" si="1"/>
        <v/>
      </c>
    </row>
    <row r="57" spans="2:78" x14ac:dyDescent="0.3">
      <c r="B57" s="11" t="s">
        <v>821</v>
      </c>
      <c r="C57" s="11" t="s">
        <v>821</v>
      </c>
      <c r="D57" s="11" t="s">
        <v>821</v>
      </c>
      <c r="E57" s="15" t="s">
        <v>821</v>
      </c>
      <c r="F57" s="11"/>
      <c r="G57" s="11"/>
      <c r="H57" s="36"/>
      <c r="I57" s="11">
        <v>897</v>
      </c>
      <c r="J57" s="11">
        <v>734.1</v>
      </c>
      <c r="K57" s="15">
        <v>815.65</v>
      </c>
      <c r="L57" s="10">
        <v>1</v>
      </c>
      <c r="M57" s="12" t="str">
        <f>IFERROR(IF(AND(#REF!="sell",B57&gt;=AI57),"sell",""),"")</f>
        <v/>
      </c>
      <c r="O57" s="10" t="str">
        <f>IFERROR(IF(AND(#REF!="equal",C57&gt;AI57,#REF!="overbought"),"sell",""),"")</f>
        <v/>
      </c>
      <c r="S57" t="str">
        <f>IFERROR(IF(AND(#REF!="sell",C57&gt;=#REF!),"sell",""),"")</f>
        <v/>
      </c>
      <c r="W57" s="40" t="e">
        <f t="shared" si="2"/>
        <v>#VALUE!</v>
      </c>
      <c r="X57" s="12" t="str">
        <f>IF(S57="sell",#REF!-E57,"")</f>
        <v/>
      </c>
      <c r="AA57" s="12" t="s">
        <v>135</v>
      </c>
      <c r="AB57" s="12">
        <v>801.85</v>
      </c>
      <c r="AC57">
        <v>801.2</v>
      </c>
      <c r="AD57" s="12">
        <v>802.09999999999991</v>
      </c>
      <c r="AE57" s="12">
        <v>803.4</v>
      </c>
      <c r="AF57" s="12">
        <f t="shared" si="3"/>
        <v>815.55</v>
      </c>
      <c r="AG57" s="12">
        <f t="shared" si="4"/>
        <v>5.412448614074763</v>
      </c>
      <c r="AH57" s="12">
        <f t="shared" si="5"/>
        <v>804.82</v>
      </c>
      <c r="AI57" s="12">
        <f t="shared" si="6"/>
        <v>815.6448972281496</v>
      </c>
      <c r="AJ57" s="12">
        <f t="shared" si="7"/>
        <v>793.9951027718505</v>
      </c>
      <c r="AK57" t="str">
        <f t="shared" si="8"/>
        <v>sell</v>
      </c>
      <c r="BA57" t="s">
        <v>135</v>
      </c>
      <c r="BB57" s="5">
        <v>860.54998999999998</v>
      </c>
      <c r="BC57" s="5">
        <v>851</v>
      </c>
      <c r="BD57" s="5">
        <v>854.25</v>
      </c>
      <c r="BE57" s="5">
        <v>848.34997999999996</v>
      </c>
      <c r="BF57" s="5">
        <v>845.34997999999996</v>
      </c>
      <c r="BG57" s="5">
        <v>825.90002000000004</v>
      </c>
      <c r="BH57" s="5">
        <v>820.95001000000002</v>
      </c>
      <c r="BI57" s="5">
        <v>823.65002000000004</v>
      </c>
      <c r="BJ57" s="5" t="str">
        <f t="shared" si="9"/>
        <v>-</v>
      </c>
      <c r="BK57" t="str">
        <f t="shared" si="10"/>
        <v/>
      </c>
      <c r="BM57" t="s">
        <v>24</v>
      </c>
      <c r="BN57" t="s">
        <v>135</v>
      </c>
      <c r="BO57">
        <v>930.65002000000004</v>
      </c>
      <c r="BP57">
        <v>898.79998999999998</v>
      </c>
      <c r="BQ57">
        <v>911.59997999999996</v>
      </c>
      <c r="BR57">
        <v>915</v>
      </c>
      <c r="BS57">
        <v>902</v>
      </c>
      <c r="BT57">
        <v>859.5</v>
      </c>
      <c r="BU57">
        <v>860.54998999999998</v>
      </c>
      <c r="BV57">
        <v>848.34997999999996</v>
      </c>
      <c r="BW57" s="5" t="str">
        <f t="shared" si="11"/>
        <v>-</v>
      </c>
      <c r="BX57" t="str">
        <f t="shared" si="13"/>
        <v/>
      </c>
      <c r="BZ57" t="str">
        <f t="shared" si="1"/>
        <v/>
      </c>
    </row>
    <row r="58" spans="2:78" x14ac:dyDescent="0.3">
      <c r="B58" s="11" t="s">
        <v>821</v>
      </c>
      <c r="C58" s="11" t="s">
        <v>821</v>
      </c>
      <c r="D58" s="11" t="s">
        <v>821</v>
      </c>
      <c r="E58" s="15" t="s">
        <v>821</v>
      </c>
      <c r="F58" s="11"/>
      <c r="G58" s="11"/>
      <c r="H58" s="36"/>
      <c r="I58" s="11">
        <v>6371</v>
      </c>
      <c r="J58" s="11">
        <v>5212.7</v>
      </c>
      <c r="K58" s="15">
        <v>5791.85</v>
      </c>
      <c r="L58" s="10">
        <v>1</v>
      </c>
      <c r="M58" s="12" t="str">
        <f>IFERROR(IF(AND(#REF!="sell",B58&gt;=AI58),"sell",""),"")</f>
        <v/>
      </c>
      <c r="O58" s="10" t="str">
        <f>IFERROR(IF(AND(#REF!="equal",C58&gt;AI58,#REF!="overbought"),"sell",""),"")</f>
        <v/>
      </c>
      <c r="S58" t="str">
        <f>IFERROR(IF(AND(#REF!="sell",C58&gt;=#REF!),"sell",""),"")</f>
        <v/>
      </c>
      <c r="W58" s="40" t="e">
        <f t="shared" si="2"/>
        <v>#VALUE!</v>
      </c>
      <c r="X58" s="12" t="str">
        <f>IF(S58="sell",#REF!-E58,"")</f>
        <v/>
      </c>
      <c r="AA58" s="12" t="s">
        <v>137</v>
      </c>
      <c r="AB58" s="12">
        <v>5877.4</v>
      </c>
      <c r="AC58">
        <v>5867.5749999999998</v>
      </c>
      <c r="AD58" s="12">
        <v>5885.15</v>
      </c>
      <c r="AE58" s="12">
        <v>5893.5749999999998</v>
      </c>
      <c r="AF58" s="12">
        <f t="shared" si="3"/>
        <v>5791.85</v>
      </c>
      <c r="AG58" s="12">
        <f t="shared" si="4"/>
        <v>36.649708730083816</v>
      </c>
      <c r="AH58" s="12">
        <f t="shared" si="5"/>
        <v>5863.1100000000006</v>
      </c>
      <c r="AI58" s="12">
        <f t="shared" si="6"/>
        <v>5936.4094174601678</v>
      </c>
      <c r="AJ58" s="12">
        <f t="shared" si="7"/>
        <v>5789.8105825398334</v>
      </c>
      <c r="AK58" t="str">
        <f t="shared" si="8"/>
        <v>sell</v>
      </c>
      <c r="BA58" t="s">
        <v>137</v>
      </c>
      <c r="BB58" s="5">
        <v>5905</v>
      </c>
      <c r="BC58" s="5">
        <v>5933</v>
      </c>
      <c r="BD58" s="5">
        <v>5909.1000999999997</v>
      </c>
      <c r="BE58" s="5">
        <v>5889.9502000000002</v>
      </c>
      <c r="BF58" s="5">
        <v>6005.1000999999997</v>
      </c>
      <c r="BG58" s="5">
        <v>6017.9502000000002</v>
      </c>
      <c r="BH58" s="5">
        <v>5975</v>
      </c>
      <c r="BI58" s="5">
        <v>5904.6499000000003</v>
      </c>
      <c r="BJ58" s="5" t="str">
        <f t="shared" si="9"/>
        <v>-</v>
      </c>
      <c r="BK58" t="str">
        <f t="shared" si="10"/>
        <v/>
      </c>
      <c r="BM58" t="s">
        <v>24</v>
      </c>
      <c r="BN58" t="s">
        <v>137</v>
      </c>
      <c r="BO58">
        <v>6230.2002000000002</v>
      </c>
      <c r="BP58">
        <v>6127.5</v>
      </c>
      <c r="BQ58">
        <v>6308.8500999999997</v>
      </c>
      <c r="BR58">
        <v>6419.8999000000003</v>
      </c>
      <c r="BS58">
        <v>6380</v>
      </c>
      <c r="BT58">
        <v>5966.9502000000002</v>
      </c>
      <c r="BU58">
        <v>5933</v>
      </c>
      <c r="BV58">
        <v>6017.9502000000002</v>
      </c>
      <c r="BW58" s="5" t="str">
        <f t="shared" si="11"/>
        <v>-</v>
      </c>
      <c r="BX58" t="str">
        <f t="shared" si="13"/>
        <v/>
      </c>
      <c r="BZ58" t="str">
        <f t="shared" si="1"/>
        <v/>
      </c>
    </row>
    <row r="59" spans="2:78" x14ac:dyDescent="0.3">
      <c r="B59" s="11" t="s">
        <v>821</v>
      </c>
      <c r="C59" s="11" t="s">
        <v>821</v>
      </c>
      <c r="D59" s="11" t="s">
        <v>821</v>
      </c>
      <c r="E59" s="15" t="s">
        <v>821</v>
      </c>
      <c r="F59" s="11"/>
      <c r="G59" s="11"/>
      <c r="H59" s="36"/>
      <c r="I59" s="11">
        <v>5199.95</v>
      </c>
      <c r="J59" s="11">
        <v>4260.1000000000004</v>
      </c>
      <c r="K59" s="15">
        <v>4733.45</v>
      </c>
      <c r="L59" s="10">
        <v>1</v>
      </c>
      <c r="M59" s="12" t="str">
        <f>IFERROR(IF(AND(#REF!="sell",B59&gt;=AI59),"sell",""),"")</f>
        <v/>
      </c>
      <c r="O59" s="10" t="str">
        <f>IFERROR(IF(AND(#REF!="equal",C59&gt;AI59,#REF!="overbought"),"sell",""),"")</f>
        <v/>
      </c>
      <c r="S59" t="str">
        <f>IFERROR(IF(AND(#REF!="sell",C59&gt;=#REF!),"sell",""),"")</f>
        <v/>
      </c>
      <c r="W59" s="40" t="e">
        <f t="shared" si="2"/>
        <v>#VALUE!</v>
      </c>
      <c r="X59" s="12" t="str">
        <f>IF(S59="sell",#REF!-E59,"")</f>
        <v/>
      </c>
      <c r="AA59" s="12" t="s">
        <v>139</v>
      </c>
      <c r="AB59" s="12">
        <v>4742.4250000000002</v>
      </c>
      <c r="AC59">
        <v>4746.6000000000004</v>
      </c>
      <c r="AD59" s="12">
        <v>4748.625</v>
      </c>
      <c r="AE59" s="12">
        <v>4746.1000000000004</v>
      </c>
      <c r="AF59" s="12">
        <f t="shared" si="3"/>
        <v>4730.0249999999996</v>
      </c>
      <c r="AG59" s="12">
        <f t="shared" si="4"/>
        <v>6.6722072809530486</v>
      </c>
      <c r="AH59" s="12">
        <f t="shared" si="5"/>
        <v>4742.7550000000001</v>
      </c>
      <c r="AI59" s="12">
        <f t="shared" si="6"/>
        <v>4756.0994145619061</v>
      </c>
      <c r="AJ59" s="12">
        <f t="shared" si="7"/>
        <v>4729.4105854380941</v>
      </c>
      <c r="AK59" t="str">
        <f t="shared" si="8"/>
        <v>sell</v>
      </c>
      <c r="BA59" t="s">
        <v>139</v>
      </c>
      <c r="BB59" s="5">
        <v>4707.6499000000003</v>
      </c>
      <c r="BC59" s="5">
        <v>4867.8500999999997</v>
      </c>
      <c r="BD59" s="5">
        <v>4908</v>
      </c>
      <c r="BE59" s="5">
        <v>4907</v>
      </c>
      <c r="BF59" s="5">
        <v>4825.5</v>
      </c>
      <c r="BG59" s="5">
        <v>4808.8500999999997</v>
      </c>
      <c r="BH59" s="5">
        <v>4770</v>
      </c>
      <c r="BI59" s="5">
        <v>4790</v>
      </c>
      <c r="BJ59" s="5" t="str">
        <f t="shared" si="9"/>
        <v>-</v>
      </c>
      <c r="BK59" t="str">
        <f t="shared" si="10"/>
        <v/>
      </c>
      <c r="BM59" t="s">
        <v>24</v>
      </c>
      <c r="BN59" t="s">
        <v>139</v>
      </c>
      <c r="BO59">
        <v>4382.7997999999998</v>
      </c>
      <c r="BP59">
        <v>4444</v>
      </c>
      <c r="BQ59">
        <v>4632.8500999999997</v>
      </c>
      <c r="BR59">
        <v>4689.9502000000002</v>
      </c>
      <c r="BS59">
        <v>4708</v>
      </c>
      <c r="BT59">
        <v>4742.9502000000002</v>
      </c>
      <c r="BU59">
        <v>4908</v>
      </c>
      <c r="BV59">
        <v>4907</v>
      </c>
      <c r="BW59" s="5" t="str">
        <f t="shared" si="11"/>
        <v>-</v>
      </c>
      <c r="BX59" t="str">
        <f t="shared" si="13"/>
        <v>Pivot sell</v>
      </c>
      <c r="BZ59" t="str">
        <f t="shared" si="1"/>
        <v/>
      </c>
    </row>
    <row r="60" spans="2:78" x14ac:dyDescent="0.3">
      <c r="B60" s="11" t="s">
        <v>821</v>
      </c>
      <c r="C60" s="11" t="s">
        <v>821</v>
      </c>
      <c r="D60" s="11" t="s">
        <v>821</v>
      </c>
      <c r="E60" s="15" t="s">
        <v>821</v>
      </c>
      <c r="F60" s="11"/>
      <c r="G60" s="11"/>
      <c r="H60" s="36"/>
      <c r="I60" s="11">
        <v>3944</v>
      </c>
      <c r="J60" s="11">
        <v>3746.8</v>
      </c>
      <c r="K60" s="15">
        <v>3818.3</v>
      </c>
      <c r="L60" s="10">
        <v>1</v>
      </c>
      <c r="M60" s="12" t="str">
        <f>IFERROR(IF(AND(#REF!="sell",B60&gt;=AI60),"sell",""),"")</f>
        <v/>
      </c>
      <c r="O60" s="10" t="str">
        <f>IFERROR(IF(AND(#REF!="equal",C60&gt;AI60,#REF!="overbought"),"sell",""),"")</f>
        <v/>
      </c>
      <c r="S60" t="str">
        <f>IFERROR(IF(AND(#REF!="sell",C60&gt;=#REF!),"sell",""),"")</f>
        <v/>
      </c>
      <c r="W60" s="40" t="e">
        <f t="shared" si="2"/>
        <v>#VALUE!</v>
      </c>
      <c r="X60" s="12" t="str">
        <f>IF(S60="sell",#REF!-E60,"")</f>
        <v/>
      </c>
      <c r="AA60" s="12" t="s">
        <v>141</v>
      </c>
      <c r="AB60" s="12">
        <v>3850.2249999999999</v>
      </c>
      <c r="AC60">
        <v>3847.95</v>
      </c>
      <c r="AD60" s="12">
        <v>3849.4</v>
      </c>
      <c r="AE60" s="12">
        <v>3858.9250000000002</v>
      </c>
      <c r="AF60" s="12">
        <f t="shared" si="3"/>
        <v>3845.4</v>
      </c>
      <c r="AG60" s="12">
        <f t="shared" si="4"/>
        <v>4.576171981033994</v>
      </c>
      <c r="AH60" s="12">
        <f t="shared" si="5"/>
        <v>3850.38</v>
      </c>
      <c r="AI60" s="12">
        <f t="shared" si="6"/>
        <v>3859.5323439620679</v>
      </c>
      <c r="AJ60" s="12">
        <f t="shared" si="7"/>
        <v>3841.2276560379323</v>
      </c>
      <c r="AK60" t="str">
        <f t="shared" si="8"/>
        <v>sell</v>
      </c>
      <c r="BA60" t="s">
        <v>141</v>
      </c>
      <c r="BB60" s="5">
        <v>3921.6001000000001</v>
      </c>
      <c r="BC60" s="5">
        <v>3847.95</v>
      </c>
      <c r="BD60" s="5">
        <v>3838</v>
      </c>
      <c r="BE60" s="5">
        <v>3884.6001000000001</v>
      </c>
      <c r="BF60" s="5">
        <v>3928.8998999999999</v>
      </c>
      <c r="BG60" s="5">
        <v>3888</v>
      </c>
      <c r="BH60" s="5">
        <v>3869.8</v>
      </c>
      <c r="BI60" s="5">
        <v>3894</v>
      </c>
      <c r="BJ60" s="5" t="str">
        <f t="shared" si="9"/>
        <v>-</v>
      </c>
      <c r="BK60" t="str">
        <f t="shared" si="10"/>
        <v/>
      </c>
      <c r="BM60" t="s">
        <v>24</v>
      </c>
      <c r="BN60" t="s">
        <v>141</v>
      </c>
      <c r="BO60">
        <v>3099</v>
      </c>
      <c r="BP60">
        <v>3142.8998999999999</v>
      </c>
      <c r="BQ60">
        <v>3307.3</v>
      </c>
      <c r="BR60">
        <v>3503.3501000000001</v>
      </c>
      <c r="BS60">
        <v>3582</v>
      </c>
      <c r="BT60">
        <v>3960</v>
      </c>
      <c r="BU60">
        <v>3942.25</v>
      </c>
      <c r="BV60">
        <v>3928.8998999999999</v>
      </c>
      <c r="BW60" s="5" t="str">
        <f t="shared" si="11"/>
        <v>-</v>
      </c>
      <c r="BX60" t="str">
        <f t="shared" si="13"/>
        <v/>
      </c>
      <c r="BZ60" t="str">
        <f t="shared" si="1"/>
        <v/>
      </c>
    </row>
    <row r="61" spans="2:78" x14ac:dyDescent="0.3">
      <c r="B61" s="11" t="s">
        <v>821</v>
      </c>
      <c r="C61" s="11" t="s">
        <v>821</v>
      </c>
      <c r="D61" s="11" t="s">
        <v>821</v>
      </c>
      <c r="E61" s="15" t="s">
        <v>821</v>
      </c>
      <c r="F61" s="11"/>
      <c r="G61" s="11"/>
      <c r="H61" s="36"/>
      <c r="I61" s="11">
        <v>535.15</v>
      </c>
      <c r="J61" s="11">
        <v>440</v>
      </c>
      <c r="K61" s="15">
        <v>488.25</v>
      </c>
      <c r="L61" s="10">
        <v>1</v>
      </c>
      <c r="M61" s="12" t="str">
        <f>IFERROR(IF(AND(#REF!="sell",B61&gt;=AI61),"sell",""),"")</f>
        <v/>
      </c>
      <c r="O61" s="10" t="str">
        <f>IFERROR(IF(AND(#REF!="equal",C61&gt;AI61,#REF!="overbought"),"sell",""),"")</f>
        <v/>
      </c>
      <c r="S61" t="str">
        <f>IFERROR(IF(AND(#REF!="sell",C61&gt;=#REF!),"sell",""),"")</f>
        <v/>
      </c>
      <c r="W61" s="40" t="e">
        <f t="shared" si="2"/>
        <v>#VALUE!</v>
      </c>
      <c r="X61" s="12" t="str">
        <f>IF(S61="sell",#REF!-E61,"")</f>
        <v/>
      </c>
      <c r="AA61" s="12" t="s">
        <v>143</v>
      </c>
      <c r="AB61" s="12">
        <v>498.27499999999998</v>
      </c>
      <c r="AC61">
        <v>497.25</v>
      </c>
      <c r="AD61" s="12">
        <v>498.15</v>
      </c>
      <c r="AE61" s="12">
        <v>498.97500000000002</v>
      </c>
      <c r="AF61" s="12">
        <f t="shared" si="3"/>
        <v>487.57499999999999</v>
      </c>
      <c r="AG61" s="12">
        <f t="shared" si="4"/>
        <v>4.2704039621562764</v>
      </c>
      <c r="AH61" s="12">
        <f t="shared" si="5"/>
        <v>496.04499999999996</v>
      </c>
      <c r="AI61" s="12">
        <f t="shared" si="6"/>
        <v>504.58580792431252</v>
      </c>
      <c r="AJ61" s="12">
        <f t="shared" si="7"/>
        <v>487.5041920756874</v>
      </c>
      <c r="AK61" t="str">
        <f t="shared" si="8"/>
        <v>sell</v>
      </c>
      <c r="BA61" t="s">
        <v>143</v>
      </c>
      <c r="BB61" s="5">
        <v>477.29998999999998</v>
      </c>
      <c r="BC61" s="5">
        <v>470.85001</v>
      </c>
      <c r="BD61" s="5">
        <v>495.5</v>
      </c>
      <c r="BE61" s="5">
        <v>500.45001000000002</v>
      </c>
      <c r="BF61" s="5">
        <v>517.40002000000004</v>
      </c>
      <c r="BG61" s="5">
        <v>514.79998999999998</v>
      </c>
      <c r="BH61" s="5">
        <v>509</v>
      </c>
      <c r="BI61" s="5">
        <v>511.54998999999998</v>
      </c>
      <c r="BJ61" s="5" t="str">
        <f t="shared" si="9"/>
        <v>-</v>
      </c>
      <c r="BK61" t="str">
        <f t="shared" si="10"/>
        <v/>
      </c>
      <c r="BM61" t="s">
        <v>24</v>
      </c>
      <c r="BN61" t="s">
        <v>143</v>
      </c>
      <c r="BO61">
        <v>403</v>
      </c>
      <c r="BP61">
        <v>481.70001000000002</v>
      </c>
      <c r="BQ61">
        <v>476.60001</v>
      </c>
      <c r="BR61">
        <v>485.54998999999998</v>
      </c>
      <c r="BS61">
        <v>471.79998999999998</v>
      </c>
      <c r="BT61">
        <v>485</v>
      </c>
      <c r="BU61">
        <v>495.5</v>
      </c>
      <c r="BV61">
        <v>517.40002000000004</v>
      </c>
      <c r="BW61" s="5" t="str">
        <f t="shared" si="11"/>
        <v>-</v>
      </c>
      <c r="BX61" t="str">
        <f t="shared" si="13"/>
        <v>Pivot sell</v>
      </c>
      <c r="BZ61" t="str">
        <f t="shared" si="1"/>
        <v/>
      </c>
    </row>
    <row r="62" spans="2:78" x14ac:dyDescent="0.3">
      <c r="B62" s="11" t="s">
        <v>821</v>
      </c>
      <c r="C62" s="11" t="s">
        <v>821</v>
      </c>
      <c r="D62" s="11" t="s">
        <v>821</v>
      </c>
      <c r="E62" s="15" t="s">
        <v>821</v>
      </c>
      <c r="F62" s="11"/>
      <c r="G62" s="11"/>
      <c r="H62" s="36"/>
      <c r="I62" s="11">
        <v>175</v>
      </c>
      <c r="J62" s="11">
        <v>149.80000000000001</v>
      </c>
      <c r="K62" s="15">
        <v>162.05000000000001</v>
      </c>
      <c r="L62" s="10">
        <v>1</v>
      </c>
      <c r="M62" s="12" t="str">
        <f>IFERROR(IF(AND(#REF!="sell",B62&gt;=AI62),"sell",""),"")</f>
        <v/>
      </c>
      <c r="O62" s="10" t="str">
        <f>IFERROR(IF(AND(#REF!="equal",C62&gt;AI62,#REF!="overbought"),"sell",""),"")</f>
        <v/>
      </c>
      <c r="S62" t="str">
        <f>IFERROR(IF(AND(#REF!="sell",C62&gt;=#REF!),"sell",""),"")</f>
        <v/>
      </c>
      <c r="W62" s="40" t="e">
        <f t="shared" si="2"/>
        <v>#VALUE!</v>
      </c>
      <c r="X62" s="12" t="str">
        <f>IF(S62="sell",#REF!-E62,"")</f>
        <v/>
      </c>
      <c r="AA62" s="12" t="s">
        <v>145</v>
      </c>
      <c r="AB62" s="12">
        <v>160.375</v>
      </c>
      <c r="AC62">
        <v>160.1</v>
      </c>
      <c r="AD62" s="12">
        <v>160.19999999999999</v>
      </c>
      <c r="AE62" s="12">
        <v>160.47500000000002</v>
      </c>
      <c r="AF62" s="12">
        <f t="shared" si="3"/>
        <v>162.4</v>
      </c>
      <c r="AG62" s="12">
        <f t="shared" si="4"/>
        <v>0.8550730962906069</v>
      </c>
      <c r="AH62" s="12">
        <f t="shared" si="5"/>
        <v>160.71</v>
      </c>
      <c r="AI62" s="12">
        <f t="shared" si="6"/>
        <v>162.42014619258123</v>
      </c>
      <c r="AJ62" s="12">
        <f t="shared" si="7"/>
        <v>158.99985380741879</v>
      </c>
      <c r="AK62" t="str">
        <f t="shared" si="8"/>
        <v>sell</v>
      </c>
      <c r="BA62" t="s">
        <v>145</v>
      </c>
      <c r="BB62" s="5">
        <v>163.85001</v>
      </c>
      <c r="BC62" s="5">
        <v>164.14999</v>
      </c>
      <c r="BD62" s="5">
        <v>164.45</v>
      </c>
      <c r="BE62" s="5">
        <v>165.2</v>
      </c>
      <c r="BF62" s="5">
        <v>164.3</v>
      </c>
      <c r="BG62" s="5">
        <v>160.89999</v>
      </c>
      <c r="BH62" s="5">
        <v>162</v>
      </c>
      <c r="BI62" s="5">
        <v>162.75</v>
      </c>
      <c r="BJ62" s="5" t="str">
        <f t="shared" si="9"/>
        <v>-</v>
      </c>
      <c r="BK62" t="str">
        <f t="shared" si="10"/>
        <v/>
      </c>
      <c r="BM62" t="s">
        <v>24</v>
      </c>
      <c r="BN62" t="s">
        <v>145</v>
      </c>
      <c r="BO62">
        <v>160.19999999999999</v>
      </c>
      <c r="BP62">
        <v>156</v>
      </c>
      <c r="BQ62">
        <v>158.55000000000001</v>
      </c>
      <c r="BR62">
        <v>170.3</v>
      </c>
      <c r="BS62">
        <v>167.7</v>
      </c>
      <c r="BT62">
        <v>164.89999</v>
      </c>
      <c r="BU62">
        <v>165.2</v>
      </c>
      <c r="BV62">
        <v>165.2</v>
      </c>
      <c r="BW62" s="5" t="str">
        <f t="shared" si="11"/>
        <v>-</v>
      </c>
      <c r="BX62" t="str">
        <f t="shared" si="13"/>
        <v/>
      </c>
      <c r="BZ62" t="str">
        <f t="shared" si="1"/>
        <v/>
      </c>
    </row>
    <row r="63" spans="2:78" x14ac:dyDescent="0.3">
      <c r="B63" s="11" t="s">
        <v>821</v>
      </c>
      <c r="C63" s="11" t="s">
        <v>821</v>
      </c>
      <c r="D63" s="11" t="s">
        <v>821</v>
      </c>
      <c r="E63" s="15" t="s">
        <v>821</v>
      </c>
      <c r="F63" s="11"/>
      <c r="G63" s="11"/>
      <c r="H63" s="36"/>
      <c r="I63" s="11">
        <v>224.7</v>
      </c>
      <c r="J63" s="11">
        <v>180.25</v>
      </c>
      <c r="K63" s="15">
        <v>204.3</v>
      </c>
      <c r="L63" s="10">
        <v>1</v>
      </c>
      <c r="M63" s="12" t="str">
        <f>IFERROR(IF(AND(#REF!="sell",B63&gt;=AI63),"sell",""),"")</f>
        <v/>
      </c>
      <c r="O63" s="10" t="str">
        <f>IFERROR(IF(AND(#REF!="equal",C63&gt;AI63,#REF!="overbought"),"sell",""),"")</f>
        <v/>
      </c>
      <c r="S63" t="str">
        <f>IFERROR(IF(AND(#REF!="sell",C63&gt;=#REF!),"sell",""),"")</f>
        <v/>
      </c>
      <c r="W63" s="40" t="e">
        <f t="shared" si="2"/>
        <v>#VALUE!</v>
      </c>
      <c r="X63" s="12" t="str">
        <f>IF(S63="sell",#REF!-E63,"")</f>
        <v/>
      </c>
      <c r="AA63" s="12" t="s">
        <v>147</v>
      </c>
      <c r="AB63" s="12">
        <v>199.57499999999999</v>
      </c>
      <c r="AC63">
        <v>199.3</v>
      </c>
      <c r="AD63" s="12">
        <v>199.67500000000001</v>
      </c>
      <c r="AE63" s="12">
        <v>199.72499999999999</v>
      </c>
      <c r="AF63" s="12">
        <f t="shared" si="3"/>
        <v>202.47499999999999</v>
      </c>
      <c r="AG63" s="12">
        <f t="shared" si="4"/>
        <v>1.1717508267545589</v>
      </c>
      <c r="AH63" s="12">
        <f t="shared" si="5"/>
        <v>200.15</v>
      </c>
      <c r="AI63" s="12">
        <f t="shared" si="6"/>
        <v>202.49350165350913</v>
      </c>
      <c r="AJ63" s="12">
        <f t="shared" si="7"/>
        <v>197.80649834649088</v>
      </c>
      <c r="AK63" t="str">
        <f t="shared" si="8"/>
        <v>sell</v>
      </c>
      <c r="BA63" t="s">
        <v>147</v>
      </c>
      <c r="BB63" s="5">
        <v>206.60001</v>
      </c>
      <c r="BC63" s="5">
        <v>203.25</v>
      </c>
      <c r="BD63" s="5">
        <v>206.85001</v>
      </c>
      <c r="BE63" s="5">
        <v>207.14999</v>
      </c>
      <c r="BF63" s="5">
        <v>203.55</v>
      </c>
      <c r="BG63" s="5">
        <v>201.3</v>
      </c>
      <c r="BH63" s="5">
        <v>203.14999</v>
      </c>
      <c r="BI63" s="5">
        <v>205.14999</v>
      </c>
      <c r="BJ63" s="5" t="str">
        <f t="shared" si="9"/>
        <v>-</v>
      </c>
      <c r="BK63" t="str">
        <f t="shared" si="10"/>
        <v/>
      </c>
      <c r="BM63" t="s">
        <v>24</v>
      </c>
      <c r="BN63" t="s">
        <v>147</v>
      </c>
      <c r="BO63">
        <v>209.89999</v>
      </c>
      <c r="BP63">
        <v>213.64999</v>
      </c>
      <c r="BQ63">
        <v>211.7</v>
      </c>
      <c r="BR63">
        <v>212.25</v>
      </c>
      <c r="BS63">
        <v>204.5</v>
      </c>
      <c r="BT63">
        <v>210.35001</v>
      </c>
      <c r="BU63">
        <v>211.3</v>
      </c>
      <c r="BV63">
        <v>207.14999</v>
      </c>
      <c r="BW63" s="5" t="str">
        <f t="shared" si="11"/>
        <v>-</v>
      </c>
      <c r="BX63" t="str">
        <f t="shared" si="13"/>
        <v/>
      </c>
      <c r="BZ63" t="str">
        <f t="shared" si="1"/>
        <v/>
      </c>
    </row>
    <row r="64" spans="2:78" x14ac:dyDescent="0.3">
      <c r="B64" s="11" t="s">
        <v>821</v>
      </c>
      <c r="C64" s="11" t="s">
        <v>821</v>
      </c>
      <c r="D64" s="11" t="s">
        <v>821</v>
      </c>
      <c r="E64" s="15" t="s">
        <v>821</v>
      </c>
      <c r="F64" s="11"/>
      <c r="G64" s="11"/>
      <c r="H64" s="36"/>
      <c r="I64" s="11">
        <v>1221</v>
      </c>
      <c r="J64" s="11">
        <v>1160</v>
      </c>
      <c r="K64" s="15">
        <v>1160.3399999999999</v>
      </c>
      <c r="L64" s="10">
        <v>1</v>
      </c>
      <c r="M64" s="12" t="str">
        <f>IFERROR(IF(AND(#REF!="sell",B64&gt;=AI64),"sell",""),"")</f>
        <v/>
      </c>
      <c r="O64" s="10" t="str">
        <f>IFERROR(IF(AND(#REF!="equal",C64&gt;AI64,#REF!="overbought"),"sell",""),"")</f>
        <v/>
      </c>
      <c r="S64" t="str">
        <f>IFERROR(IF(AND(#REF!="sell",C64&gt;=#REF!),"sell",""),"")</f>
        <v/>
      </c>
      <c r="W64" s="40" t="e">
        <f t="shared" si="2"/>
        <v>#VALUE!</v>
      </c>
      <c r="X64" s="12" t="str">
        <f>IF(S64="sell",#REF!-E64,"")</f>
        <v/>
      </c>
      <c r="AA64" s="12" t="s">
        <v>149</v>
      </c>
      <c r="AB64" s="12">
        <v>1154.375</v>
      </c>
      <c r="AC64">
        <v>1154.4250000000002</v>
      </c>
      <c r="AD64" s="12">
        <v>1157.5</v>
      </c>
      <c r="AE64" s="12">
        <v>1159.7249999999999</v>
      </c>
      <c r="AF64" s="12">
        <f t="shared" si="3"/>
        <v>1190.5</v>
      </c>
      <c r="AG64" s="12">
        <f t="shared" si="4"/>
        <v>13.745411961814732</v>
      </c>
      <c r="AH64" s="12">
        <f t="shared" si="5"/>
        <v>1163.3049999999998</v>
      </c>
      <c r="AI64" s="12">
        <f t="shared" si="6"/>
        <v>1190.7958239236293</v>
      </c>
      <c r="AJ64" s="12">
        <f t="shared" si="7"/>
        <v>1135.8141760763704</v>
      </c>
      <c r="AK64" t="str">
        <f t="shared" si="8"/>
        <v>sell</v>
      </c>
      <c r="BA64" t="s">
        <v>149</v>
      </c>
      <c r="BB64" s="5">
        <v>1043</v>
      </c>
      <c r="BC64" s="5">
        <v>1036.45</v>
      </c>
      <c r="BD64" s="5">
        <v>1042.5999999999999</v>
      </c>
      <c r="BE64" s="5">
        <v>1124.5</v>
      </c>
      <c r="BF64" s="5">
        <v>1176.45</v>
      </c>
      <c r="BG64" s="5">
        <v>1183.9000000000001</v>
      </c>
      <c r="BH64" s="5">
        <v>1180.75</v>
      </c>
      <c r="BI64" s="5">
        <v>1182</v>
      </c>
      <c r="BJ64" s="5" t="str">
        <f t="shared" si="9"/>
        <v>-</v>
      </c>
      <c r="BK64" t="str">
        <f t="shared" si="10"/>
        <v/>
      </c>
      <c r="BM64" t="s">
        <v>24</v>
      </c>
      <c r="BN64" t="s">
        <v>149</v>
      </c>
      <c r="BO64">
        <v>1070</v>
      </c>
      <c r="BP64">
        <v>1063.95</v>
      </c>
      <c r="BQ64">
        <v>1096</v>
      </c>
      <c r="BR64">
        <v>1098</v>
      </c>
      <c r="BS64">
        <v>1062.3</v>
      </c>
      <c r="BT64">
        <v>1048</v>
      </c>
      <c r="BU64">
        <v>1053</v>
      </c>
      <c r="BV64">
        <v>1183.9000000000001</v>
      </c>
      <c r="BW64" s="5" t="str">
        <f t="shared" si="11"/>
        <v>-</v>
      </c>
      <c r="BX64" t="str">
        <f t="shared" si="13"/>
        <v/>
      </c>
      <c r="BZ64" t="str">
        <f t="shared" si="1"/>
        <v/>
      </c>
    </row>
    <row r="65" spans="2:78" x14ac:dyDescent="0.3">
      <c r="B65" s="11" t="s">
        <v>821</v>
      </c>
      <c r="C65" s="11" t="s">
        <v>821</v>
      </c>
      <c r="D65" s="11" t="s">
        <v>821</v>
      </c>
      <c r="E65" s="15" t="s">
        <v>821</v>
      </c>
      <c r="F65" s="11"/>
      <c r="G65" s="11"/>
      <c r="H65" s="36"/>
      <c r="I65" s="11">
        <v>92</v>
      </c>
      <c r="J65" s="11">
        <v>76.150000000000006</v>
      </c>
      <c r="K65" s="15">
        <v>84.6</v>
      </c>
      <c r="L65" s="10">
        <v>1</v>
      </c>
      <c r="M65" s="12" t="str">
        <f>IFERROR(IF(AND(#REF!="sell",B65&gt;=AI65),"sell",""),"")</f>
        <v/>
      </c>
      <c r="O65" s="10" t="str">
        <f>IFERROR(IF(AND(#REF!="equal",C65&gt;AI65,#REF!="overbought"),"sell",""),"")</f>
        <v/>
      </c>
      <c r="S65" t="str">
        <f>IFERROR(IF(AND(#REF!="sell",C65&gt;=#REF!),"sell",""),"")</f>
        <v/>
      </c>
      <c r="W65" s="40" t="e">
        <f t="shared" si="2"/>
        <v>#VALUE!</v>
      </c>
      <c r="X65" s="12" t="str">
        <f>IF(S65="sell",#REF!-E65,"")</f>
        <v/>
      </c>
      <c r="AA65" s="12" t="s">
        <v>151</v>
      </c>
      <c r="AB65" s="12">
        <v>81.075000000000003</v>
      </c>
      <c r="AC65">
        <v>80.55</v>
      </c>
      <c r="AD65" s="12">
        <v>80.924999999999997</v>
      </c>
      <c r="AE65" s="12">
        <v>81.275000000000006</v>
      </c>
      <c r="AF65" s="12">
        <f t="shared" si="3"/>
        <v>84.075000000000003</v>
      </c>
      <c r="AG65" s="12">
        <f t="shared" si="4"/>
        <v>1.269881884271133</v>
      </c>
      <c r="AH65" s="12">
        <f t="shared" si="5"/>
        <v>81.580000000000013</v>
      </c>
      <c r="AI65" s="12">
        <f t="shared" si="6"/>
        <v>84.119763768542285</v>
      </c>
      <c r="AJ65" s="12">
        <f t="shared" si="7"/>
        <v>79.04023623145774</v>
      </c>
      <c r="AK65" t="str">
        <f t="shared" si="8"/>
        <v>sell</v>
      </c>
      <c r="BA65" t="s">
        <v>151</v>
      </c>
      <c r="BB65" s="5">
        <v>87.849997999999999</v>
      </c>
      <c r="BC65" s="5">
        <v>88.199996999999996</v>
      </c>
      <c r="BD65" s="5">
        <v>88.150002000000001</v>
      </c>
      <c r="BE65" s="5">
        <v>89.75</v>
      </c>
      <c r="BF65" s="5">
        <v>89.099997999999999</v>
      </c>
      <c r="BG65" s="5">
        <v>87.900002000000001</v>
      </c>
      <c r="BH65" s="5">
        <v>88.800003000000004</v>
      </c>
      <c r="BI65" s="5">
        <v>85.099997999999999</v>
      </c>
      <c r="BJ65" s="5" t="str">
        <f t="shared" si="9"/>
        <v>-</v>
      </c>
      <c r="BK65" t="str">
        <f t="shared" si="10"/>
        <v/>
      </c>
      <c r="BM65" t="s">
        <v>24</v>
      </c>
      <c r="BN65" t="s">
        <v>151</v>
      </c>
      <c r="BO65">
        <v>86.5</v>
      </c>
      <c r="BP65">
        <v>83.150002000000001</v>
      </c>
      <c r="BQ65">
        <v>92.400002000000001</v>
      </c>
      <c r="BR65">
        <v>91.900002000000001</v>
      </c>
      <c r="BS65">
        <v>85.949996999999996</v>
      </c>
      <c r="BT65">
        <v>86.900002000000001</v>
      </c>
      <c r="BU65">
        <v>88.199996999999996</v>
      </c>
      <c r="BV65">
        <v>89.75</v>
      </c>
      <c r="BW65" s="5" t="str">
        <f t="shared" si="11"/>
        <v>-</v>
      </c>
      <c r="BX65" t="str">
        <f t="shared" si="13"/>
        <v/>
      </c>
      <c r="BZ65" t="str">
        <f t="shared" si="1"/>
        <v/>
      </c>
    </row>
    <row r="66" spans="2:78" x14ac:dyDescent="0.3">
      <c r="B66" s="11" t="s">
        <v>821</v>
      </c>
      <c r="C66" s="11" t="s">
        <v>821</v>
      </c>
      <c r="D66" s="11" t="s">
        <v>821</v>
      </c>
      <c r="E66" s="15" t="s">
        <v>821</v>
      </c>
      <c r="F66" s="11"/>
      <c r="G66" s="11"/>
      <c r="H66" s="36"/>
      <c r="I66" s="11">
        <v>651</v>
      </c>
      <c r="J66" s="11">
        <v>602</v>
      </c>
      <c r="K66" s="15">
        <v>633.65</v>
      </c>
      <c r="L66" s="10">
        <v>1</v>
      </c>
      <c r="M66" s="12" t="str">
        <f>IFERROR(IF(AND(#REF!="sell",B66&gt;=AI66),"sell",""),"")</f>
        <v/>
      </c>
      <c r="O66" s="10" t="str">
        <f>IFERROR(IF(AND(#REF!="equal",C66&gt;AI66,#REF!="overbought"),"sell",""),"")</f>
        <v/>
      </c>
      <c r="S66" t="str">
        <f>IFERROR(IF(AND(#REF!="sell",C66&gt;=#REF!),"sell",""),"")</f>
        <v/>
      </c>
      <c r="W66" s="40" t="e">
        <f t="shared" si="2"/>
        <v>#VALUE!</v>
      </c>
      <c r="X66" s="12" t="str">
        <f>IF(S66="sell",#REF!-E66,"")</f>
        <v/>
      </c>
      <c r="AA66" s="12" t="s">
        <v>153</v>
      </c>
      <c r="AB66" s="12">
        <v>640.95000000000005</v>
      </c>
      <c r="AC66">
        <v>639.42499999999995</v>
      </c>
      <c r="AD66" s="12">
        <v>640.17499999999995</v>
      </c>
      <c r="AE66" s="12">
        <v>641.72499999999991</v>
      </c>
      <c r="AF66" s="12">
        <f t="shared" si="3"/>
        <v>626.5</v>
      </c>
      <c r="AG66" s="12">
        <f t="shared" si="4"/>
        <v>5.6795994577082487</v>
      </c>
      <c r="AH66" s="12">
        <f t="shared" si="5"/>
        <v>637.75499999999988</v>
      </c>
      <c r="AI66" s="12">
        <f t="shared" si="6"/>
        <v>649.11419891541641</v>
      </c>
      <c r="AJ66" s="12">
        <f t="shared" si="7"/>
        <v>626.39580108458335</v>
      </c>
      <c r="AK66" t="str">
        <f t="shared" si="8"/>
        <v>sell</v>
      </c>
      <c r="BA66" t="s">
        <v>153</v>
      </c>
      <c r="BB66" s="5">
        <v>676.84997999999996</v>
      </c>
      <c r="BC66" s="5">
        <v>667.90002000000004</v>
      </c>
      <c r="BD66" s="5">
        <v>681.75</v>
      </c>
      <c r="BE66" s="5">
        <v>669.79998999999998</v>
      </c>
      <c r="BF66" s="5">
        <v>672.95001000000002</v>
      </c>
      <c r="BG66" s="5">
        <v>673.54998999999998</v>
      </c>
      <c r="BH66" s="5">
        <v>669.5</v>
      </c>
      <c r="BI66" s="5">
        <v>651.70001000000002</v>
      </c>
      <c r="BJ66" s="5" t="str">
        <f t="shared" si="9"/>
        <v>-</v>
      </c>
      <c r="BK66" t="str">
        <f t="shared" si="10"/>
        <v/>
      </c>
      <c r="BM66" t="s">
        <v>24</v>
      </c>
      <c r="BN66" t="s">
        <v>153</v>
      </c>
      <c r="BO66">
        <v>719</v>
      </c>
      <c r="BP66">
        <v>694</v>
      </c>
      <c r="BQ66">
        <v>728.84997999999996</v>
      </c>
      <c r="BR66">
        <v>729</v>
      </c>
      <c r="BS66">
        <v>690.15002000000004</v>
      </c>
      <c r="BT66">
        <v>673.04998999999998</v>
      </c>
      <c r="BU66">
        <v>681.75</v>
      </c>
      <c r="BV66">
        <v>673.54998999999998</v>
      </c>
      <c r="BW66" s="5" t="str">
        <f t="shared" si="11"/>
        <v>-</v>
      </c>
      <c r="BX66" t="str">
        <f t="shared" ref="BX66:BX97" si="14">IF(AND(BU66&gt;MAX(BO66:BT66), BU66&gt;MAX(BW66)), "Pivot sell", "")</f>
        <v/>
      </c>
      <c r="BZ66" t="str">
        <f t="shared" ref="BZ66:BZ129" si="15">IF(AND(BK66="Pivot sell",BX66="Pivot sell"), "ok", "")</f>
        <v/>
      </c>
    </row>
    <row r="67" spans="2:78" x14ac:dyDescent="0.3">
      <c r="B67" s="11" t="s">
        <v>821</v>
      </c>
      <c r="C67" s="11" t="s">
        <v>821</v>
      </c>
      <c r="D67" s="11" t="s">
        <v>821</v>
      </c>
      <c r="E67" s="15" t="s">
        <v>821</v>
      </c>
      <c r="F67" s="11"/>
      <c r="G67" s="11"/>
      <c r="H67" s="36"/>
      <c r="I67" s="11">
        <v>1286.8</v>
      </c>
      <c r="J67" s="11">
        <v>1143.3499999999999</v>
      </c>
      <c r="K67" s="15">
        <v>1270.3399999999999</v>
      </c>
      <c r="L67" s="10">
        <v>1</v>
      </c>
      <c r="M67" s="12" t="str">
        <f>IFERROR(IF(AND(#REF!="sell",B67&gt;=AI67),"sell",""),"")</f>
        <v/>
      </c>
      <c r="O67" s="10" t="str">
        <f>IFERROR(IF(AND(#REF!="equal",C67&gt;AI67,#REF!="overbought"),"sell",""),"")</f>
        <v/>
      </c>
      <c r="S67" t="str">
        <f>IFERROR(IF(AND(#REF!="sell",C67&gt;=#REF!),"sell",""),"")</f>
        <v/>
      </c>
      <c r="W67" s="40" t="e">
        <f t="shared" ref="W67:W130" si="16">IF(AND(N67&lt;&gt;"", OR(P67&lt;&gt;"", N67-E67)), IF(P67&gt;1, N67-P67, N67-E67), "")</f>
        <v>#VALUE!</v>
      </c>
      <c r="X67" s="12" t="str">
        <f>IF(S67="sell",#REF!-E67,"")</f>
        <v/>
      </c>
      <c r="AA67" s="12" t="s">
        <v>155</v>
      </c>
      <c r="AB67" s="12">
        <v>1273.8499999999999</v>
      </c>
      <c r="AC67">
        <v>1272.25</v>
      </c>
      <c r="AD67" s="12">
        <v>1275.2</v>
      </c>
      <c r="AE67" s="12">
        <v>1277.7249999999999</v>
      </c>
      <c r="AF67" s="12">
        <f t="shared" ref="AF67:AF130" si="17">IF(I67="",(C67+D67)/2,(I67+J67)/2)</f>
        <v>1215.0749999999998</v>
      </c>
      <c r="AG67" s="12">
        <f t="shared" ref="AG67:AG130" si="18">STDEVP(AB67:AF67)</f>
        <v>23.939900793445297</v>
      </c>
      <c r="AH67" s="12">
        <f t="shared" ref="AH67:AH130" si="19">AVERAGE(AB67:AF67)</f>
        <v>1262.82</v>
      </c>
      <c r="AI67" s="12">
        <f t="shared" ref="AI67:AI130" si="20">AH67+(AG67*2)</f>
        <v>1310.6998015868905</v>
      </c>
      <c r="AJ67" s="12">
        <f t="shared" ref="AJ67:AJ130" si="21">AH67-(AG67*2)</f>
        <v>1214.9401984131093</v>
      </c>
      <c r="AK67" t="str">
        <f t="shared" ref="AK67:AK130" si="22">IF(AND(AC67&gt;1,B67&gt;=AI67),"sell","")</f>
        <v>sell</v>
      </c>
      <c r="BA67" t="s">
        <v>155</v>
      </c>
      <c r="BB67" s="5">
        <v>1327.45</v>
      </c>
      <c r="BC67" s="5">
        <v>1329</v>
      </c>
      <c r="BD67" s="5">
        <v>1326.45</v>
      </c>
      <c r="BE67" s="5">
        <v>1335.9</v>
      </c>
      <c r="BF67" s="5">
        <v>1344.25</v>
      </c>
      <c r="BG67" s="5">
        <v>1324.95</v>
      </c>
      <c r="BH67" s="5">
        <v>1303.2</v>
      </c>
      <c r="BI67" s="5">
        <v>1289.8</v>
      </c>
      <c r="BJ67" s="5" t="str">
        <f t="shared" ref="BJ67:BJ130" si="23">C67</f>
        <v>-</v>
      </c>
      <c r="BK67" t="str">
        <f t="shared" ref="BK67:BK130" si="24">IF(AND(BH67&gt;MAX(BB67:BG67), BH67&gt;MAX(BJ67)), "Pivot sell", "")</f>
        <v/>
      </c>
      <c r="BM67" t="s">
        <v>24</v>
      </c>
      <c r="BN67" t="s">
        <v>155</v>
      </c>
      <c r="BO67">
        <v>1279.4000000000001</v>
      </c>
      <c r="BP67">
        <v>1199.6500000000001</v>
      </c>
      <c r="BQ67">
        <v>1230</v>
      </c>
      <c r="BR67">
        <v>1255</v>
      </c>
      <c r="BS67">
        <v>1372.95</v>
      </c>
      <c r="BT67">
        <v>1349.5</v>
      </c>
      <c r="BU67">
        <v>1329</v>
      </c>
      <c r="BV67">
        <v>1344.25</v>
      </c>
      <c r="BW67" s="5" t="str">
        <f t="shared" ref="BW67:BW130" si="25">IF(C67&gt;BV67,C67,BV67)</f>
        <v>-</v>
      </c>
      <c r="BX67" t="str">
        <f t="shared" si="14"/>
        <v/>
      </c>
      <c r="BZ67" t="str">
        <f t="shared" si="15"/>
        <v/>
      </c>
    </row>
    <row r="68" spans="2:78" x14ac:dyDescent="0.3">
      <c r="B68" s="11" t="s">
        <v>821</v>
      </c>
      <c r="C68" s="11" t="s">
        <v>821</v>
      </c>
      <c r="D68" s="11" t="s">
        <v>821</v>
      </c>
      <c r="E68" s="15" t="s">
        <v>821</v>
      </c>
      <c r="F68" s="11"/>
      <c r="G68" s="11"/>
      <c r="H68" s="36"/>
      <c r="I68" s="11">
        <v>2786</v>
      </c>
      <c r="J68" s="11">
        <v>2500.85</v>
      </c>
      <c r="K68" s="15">
        <v>2778.7</v>
      </c>
      <c r="L68" s="10">
        <v>1</v>
      </c>
      <c r="M68" s="12" t="str">
        <f>IFERROR(IF(AND(#REF!="sell",B68&gt;=AI68),"sell",""),"")</f>
        <v/>
      </c>
      <c r="O68" s="10" t="str">
        <f>IFERROR(IF(AND(#REF!="equal",C68&gt;AI68,#REF!="overbought"),"sell",""),"")</f>
        <v/>
      </c>
      <c r="S68" t="str">
        <f>IFERROR(IF(AND(#REF!="sell",C68&gt;=#REF!),"sell",""),"")</f>
        <v/>
      </c>
      <c r="W68" s="40" t="e">
        <f t="shared" si="16"/>
        <v>#VALUE!</v>
      </c>
      <c r="X68" s="12" t="str">
        <f>IF(S68="sell",#REF!-E68,"")</f>
        <v/>
      </c>
      <c r="AA68" s="12" t="s">
        <v>157</v>
      </c>
      <c r="AB68" s="12">
        <v>2720.125</v>
      </c>
      <c r="AC68">
        <v>2717.5249999999996</v>
      </c>
      <c r="AD68" s="12">
        <v>2724.625</v>
      </c>
      <c r="AE68" s="12">
        <v>2730.35</v>
      </c>
      <c r="AF68" s="12">
        <f t="shared" si="17"/>
        <v>2643.4250000000002</v>
      </c>
      <c r="AG68" s="12">
        <f t="shared" si="18"/>
        <v>32.188396977792991</v>
      </c>
      <c r="AH68" s="12">
        <f t="shared" si="19"/>
        <v>2707.21</v>
      </c>
      <c r="AI68" s="12">
        <f t="shared" si="20"/>
        <v>2771.586793955586</v>
      </c>
      <c r="AJ68" s="12">
        <f t="shared" si="21"/>
        <v>2642.8332060444141</v>
      </c>
      <c r="AK68" t="str">
        <f t="shared" si="22"/>
        <v>sell</v>
      </c>
      <c r="BA68" t="s">
        <v>157</v>
      </c>
      <c r="BB68" s="5">
        <v>2837.95</v>
      </c>
      <c r="BC68" s="5">
        <v>2861.55</v>
      </c>
      <c r="BD68" s="5">
        <v>2783.95</v>
      </c>
      <c r="BE68" s="5">
        <v>2889</v>
      </c>
      <c r="BF68" s="5">
        <v>2851.95</v>
      </c>
      <c r="BG68" s="5">
        <v>2772</v>
      </c>
      <c r="BH68" s="5">
        <v>2775</v>
      </c>
      <c r="BI68" s="5">
        <v>2787</v>
      </c>
      <c r="BJ68" s="5" t="str">
        <f t="shared" si="23"/>
        <v>-</v>
      </c>
      <c r="BK68" t="str">
        <f t="shared" si="24"/>
        <v/>
      </c>
      <c r="BM68" t="s">
        <v>24</v>
      </c>
      <c r="BN68" t="s">
        <v>157</v>
      </c>
      <c r="BO68">
        <v>2791.8</v>
      </c>
      <c r="BP68">
        <v>2668</v>
      </c>
      <c r="BQ68">
        <v>2644.3501000000001</v>
      </c>
      <c r="BR68">
        <v>2680.1001000000001</v>
      </c>
      <c r="BS68">
        <v>2912.45</v>
      </c>
      <c r="BT68">
        <v>2926</v>
      </c>
      <c r="BU68">
        <v>2868.95</v>
      </c>
      <c r="BV68">
        <v>2889</v>
      </c>
      <c r="BW68" s="5" t="str">
        <f t="shared" si="25"/>
        <v>-</v>
      </c>
      <c r="BX68" t="str">
        <f t="shared" si="14"/>
        <v/>
      </c>
      <c r="BZ68" t="str">
        <f t="shared" si="15"/>
        <v/>
      </c>
    </row>
    <row r="69" spans="2:78" x14ac:dyDescent="0.3">
      <c r="B69" s="11" t="s">
        <v>821</v>
      </c>
      <c r="C69" s="11" t="s">
        <v>821</v>
      </c>
      <c r="D69" s="11" t="s">
        <v>821</v>
      </c>
      <c r="E69" s="15" t="s">
        <v>821</v>
      </c>
      <c r="F69" s="11"/>
      <c r="G69" s="11"/>
      <c r="H69" s="36"/>
      <c r="I69" s="11">
        <v>428.8</v>
      </c>
      <c r="J69" s="11">
        <v>421.05</v>
      </c>
      <c r="K69" s="15">
        <v>418.5</v>
      </c>
      <c r="L69" s="10">
        <v>1</v>
      </c>
      <c r="M69" s="12" t="str">
        <f>IFERROR(IF(AND(#REF!="sell",B69&gt;=AI69),"sell",""),"")</f>
        <v/>
      </c>
      <c r="O69" s="10" t="str">
        <f>IFERROR(IF(AND(#REF!="equal",C69&gt;AI69,#REF!="overbought"),"sell",""),"")</f>
        <v/>
      </c>
      <c r="S69" t="str">
        <f>IFERROR(IF(AND(#REF!="sell",C69&gt;=#REF!),"sell",""),"")</f>
        <v/>
      </c>
      <c r="W69" s="40" t="e">
        <f t="shared" si="16"/>
        <v>#VALUE!</v>
      </c>
      <c r="X69" s="12" t="str">
        <f>IF(S69="sell",#REF!-E69,"")</f>
        <v/>
      </c>
      <c r="AA69" s="12" t="s">
        <v>159</v>
      </c>
      <c r="AB69" s="12">
        <v>424.8</v>
      </c>
      <c r="AC69">
        <v>423.625</v>
      </c>
      <c r="AD69" s="12">
        <v>424.875</v>
      </c>
      <c r="AE69" s="12">
        <v>427.02499999999998</v>
      </c>
      <c r="AF69" s="12">
        <f t="shared" si="17"/>
        <v>424.92500000000001</v>
      </c>
      <c r="AG69" s="12">
        <f t="shared" si="18"/>
        <v>1.0990905331227179</v>
      </c>
      <c r="AH69" s="12">
        <f t="shared" si="19"/>
        <v>425.05</v>
      </c>
      <c r="AI69" s="12">
        <f t="shared" si="20"/>
        <v>427.24818106624542</v>
      </c>
      <c r="AJ69" s="12">
        <f t="shared" si="21"/>
        <v>422.8518189337546</v>
      </c>
      <c r="AK69" t="str">
        <f t="shared" si="22"/>
        <v>sell</v>
      </c>
      <c r="BA69" t="s">
        <v>159</v>
      </c>
      <c r="BB69" s="5">
        <v>428.85001</v>
      </c>
      <c r="BC69" s="5">
        <v>435.5</v>
      </c>
      <c r="BD69" s="5">
        <v>431.95001000000002</v>
      </c>
      <c r="BE69" s="5">
        <v>441.35001</v>
      </c>
      <c r="BF69" s="5">
        <v>445.5</v>
      </c>
      <c r="BG69" s="5">
        <v>433.79998999999998</v>
      </c>
      <c r="BH69" s="5">
        <v>433</v>
      </c>
      <c r="BI69" s="5">
        <v>429</v>
      </c>
      <c r="BJ69" s="5" t="str">
        <f t="shared" si="23"/>
        <v>-</v>
      </c>
      <c r="BK69" t="str">
        <f t="shared" si="24"/>
        <v/>
      </c>
      <c r="BM69" t="s">
        <v>24</v>
      </c>
      <c r="BN69" t="s">
        <v>159</v>
      </c>
      <c r="BO69">
        <v>452.14999</v>
      </c>
      <c r="BP69">
        <v>424.45001000000002</v>
      </c>
      <c r="BQ69">
        <v>428.04998999999998</v>
      </c>
      <c r="BR69">
        <v>428.54998999999998</v>
      </c>
      <c r="BS69">
        <v>426</v>
      </c>
      <c r="BT69">
        <v>410.20001000000002</v>
      </c>
      <c r="BU69">
        <v>435.5</v>
      </c>
      <c r="BV69">
        <v>445.5</v>
      </c>
      <c r="BW69" s="5" t="str">
        <f t="shared" si="25"/>
        <v>-</v>
      </c>
      <c r="BX69" t="str">
        <f t="shared" si="14"/>
        <v/>
      </c>
      <c r="BZ69" t="str">
        <f t="shared" si="15"/>
        <v/>
      </c>
    </row>
    <row r="70" spans="2:78" x14ac:dyDescent="0.3">
      <c r="B70" s="11" t="s">
        <v>821</v>
      </c>
      <c r="C70" s="11" t="s">
        <v>821</v>
      </c>
      <c r="D70" s="11" t="s">
        <v>821</v>
      </c>
      <c r="E70" s="15" t="s">
        <v>821</v>
      </c>
      <c r="F70" s="11"/>
      <c r="G70" s="11"/>
      <c r="H70" s="36"/>
      <c r="I70" s="11">
        <v>2547.85</v>
      </c>
      <c r="J70" s="11">
        <v>2084.65</v>
      </c>
      <c r="K70" s="15">
        <v>2316.25</v>
      </c>
      <c r="L70" s="10">
        <v>1</v>
      </c>
      <c r="M70" s="12" t="str">
        <f>IFERROR(IF(AND(#REF!="sell",B70&gt;=AI70),"sell",""),"")</f>
        <v/>
      </c>
      <c r="O70" s="10" t="str">
        <f>IFERROR(IF(AND(#REF!="equal",C70&gt;AI70,#REF!="overbought"),"sell",""),"")</f>
        <v/>
      </c>
      <c r="S70" t="str">
        <f>IFERROR(IF(AND(#REF!="sell",C70&gt;=#REF!),"sell",""),"")</f>
        <v/>
      </c>
      <c r="W70" s="40" t="e">
        <f t="shared" si="16"/>
        <v>#VALUE!</v>
      </c>
      <c r="X70" s="12" t="str">
        <f>IF(S70="sell",#REF!-E70,"")</f>
        <v/>
      </c>
      <c r="AA70" s="12" t="s">
        <v>161</v>
      </c>
      <c r="AB70" s="12">
        <v>2346.3249999999998</v>
      </c>
      <c r="AC70">
        <v>2346.1750000000002</v>
      </c>
      <c r="AD70" s="12">
        <v>2348.375</v>
      </c>
      <c r="AE70" s="12">
        <v>2339.0500000000002</v>
      </c>
      <c r="AF70" s="12">
        <f t="shared" si="17"/>
        <v>2316.25</v>
      </c>
      <c r="AG70" s="12">
        <f t="shared" si="18"/>
        <v>11.919024708423084</v>
      </c>
      <c r="AH70" s="12">
        <f t="shared" si="19"/>
        <v>2339.2349999999997</v>
      </c>
      <c r="AI70" s="12">
        <f t="shared" si="20"/>
        <v>2363.0730494168461</v>
      </c>
      <c r="AJ70" s="12">
        <f t="shared" si="21"/>
        <v>2315.3969505831533</v>
      </c>
      <c r="AK70" t="str">
        <f t="shared" si="22"/>
        <v>sell</v>
      </c>
      <c r="BA70" t="s">
        <v>161</v>
      </c>
      <c r="BB70" s="5">
        <v>2463.0500000000002</v>
      </c>
      <c r="BC70" s="5">
        <v>2461.8998999999999</v>
      </c>
      <c r="BD70" s="5">
        <v>2474.8000000000002</v>
      </c>
      <c r="BE70" s="5">
        <v>2455.6999999999998</v>
      </c>
      <c r="BF70" s="5">
        <v>2469.9499999999998</v>
      </c>
      <c r="BG70" s="5">
        <v>2460</v>
      </c>
      <c r="BH70" s="5">
        <v>2406.6001000000001</v>
      </c>
      <c r="BI70" s="5">
        <v>2362</v>
      </c>
      <c r="BJ70" s="5" t="str">
        <f t="shared" si="23"/>
        <v>-</v>
      </c>
      <c r="BK70" t="str">
        <f t="shared" si="24"/>
        <v/>
      </c>
      <c r="BM70" t="s">
        <v>24</v>
      </c>
      <c r="BN70" t="s">
        <v>161</v>
      </c>
      <c r="BO70">
        <v>2314.8998999999999</v>
      </c>
      <c r="BP70">
        <v>2300.8501000000001</v>
      </c>
      <c r="BQ70">
        <v>2384.3000000000002</v>
      </c>
      <c r="BR70">
        <v>2487</v>
      </c>
      <c r="BS70">
        <v>2489.75</v>
      </c>
      <c r="BT70">
        <v>2448.5</v>
      </c>
      <c r="BU70">
        <v>2474.8000000000002</v>
      </c>
      <c r="BV70">
        <v>2469.9499999999998</v>
      </c>
      <c r="BW70" s="5" t="str">
        <f t="shared" si="25"/>
        <v>-</v>
      </c>
      <c r="BX70" t="str">
        <f t="shared" si="14"/>
        <v/>
      </c>
      <c r="BZ70" t="str">
        <f t="shared" si="15"/>
        <v/>
      </c>
    </row>
    <row r="71" spans="2:78" x14ac:dyDescent="0.3">
      <c r="B71" s="11" t="s">
        <v>821</v>
      </c>
      <c r="C71" s="11" t="s">
        <v>821</v>
      </c>
      <c r="D71" s="11" t="s">
        <v>821</v>
      </c>
      <c r="E71" s="15" t="s">
        <v>821</v>
      </c>
      <c r="F71" s="11"/>
      <c r="G71" s="11"/>
      <c r="H71" s="36"/>
      <c r="I71" s="11">
        <v>606</v>
      </c>
      <c r="J71" s="11">
        <v>538.29999999999995</v>
      </c>
      <c r="K71" s="15">
        <v>551.35</v>
      </c>
      <c r="L71" s="10">
        <v>1</v>
      </c>
      <c r="M71" s="12" t="str">
        <f>IFERROR(IF(AND(#REF!="sell",B71&gt;=AI71),"sell",""),"")</f>
        <v/>
      </c>
      <c r="O71" s="10" t="str">
        <f>IFERROR(IF(AND(#REF!="equal",C71&gt;AI71,#REF!="overbought"),"sell",""),"")</f>
        <v/>
      </c>
      <c r="S71" t="str">
        <f>IFERROR(IF(AND(#REF!="sell",C71&gt;=#REF!),"sell",""),"")</f>
        <v/>
      </c>
      <c r="W71" s="40" t="e">
        <f t="shared" si="16"/>
        <v>#VALUE!</v>
      </c>
      <c r="X71" s="12" t="str">
        <f>IF(S71="sell",#REF!-E71,"")</f>
        <v/>
      </c>
      <c r="AA71" s="12" t="s">
        <v>163</v>
      </c>
      <c r="AB71" s="12">
        <v>539.79999999999995</v>
      </c>
      <c r="AC71">
        <v>539.42499999999995</v>
      </c>
      <c r="AD71" s="12">
        <v>539.54999999999995</v>
      </c>
      <c r="AE71" s="12">
        <v>539.72499999999991</v>
      </c>
      <c r="AF71" s="12">
        <f t="shared" si="17"/>
        <v>572.15</v>
      </c>
      <c r="AG71" s="12">
        <f t="shared" si="18"/>
        <v>13.010662934685548</v>
      </c>
      <c r="AH71" s="12">
        <f t="shared" si="19"/>
        <v>546.13</v>
      </c>
      <c r="AI71" s="12">
        <f t="shared" si="20"/>
        <v>572.15132586937114</v>
      </c>
      <c r="AJ71" s="12">
        <f t="shared" si="21"/>
        <v>520.10867413062886</v>
      </c>
      <c r="AK71" t="str">
        <f t="shared" si="22"/>
        <v>sell</v>
      </c>
      <c r="BA71" t="s">
        <v>163</v>
      </c>
      <c r="BB71" s="5">
        <v>568.45001000000002</v>
      </c>
      <c r="BC71" s="5">
        <v>563.54998999999998</v>
      </c>
      <c r="BD71" s="5">
        <v>567</v>
      </c>
      <c r="BE71" s="5">
        <v>562.79998999999998</v>
      </c>
      <c r="BF71" s="5">
        <v>559.95001000000002</v>
      </c>
      <c r="BG71" s="5">
        <v>557.54998999999998</v>
      </c>
      <c r="BH71" s="5">
        <v>555.04998999999998</v>
      </c>
      <c r="BI71" s="5">
        <v>558</v>
      </c>
      <c r="BJ71" s="5" t="str">
        <f t="shared" si="23"/>
        <v>-</v>
      </c>
      <c r="BK71" t="str">
        <f t="shared" si="24"/>
        <v/>
      </c>
      <c r="BM71" t="s">
        <v>24</v>
      </c>
      <c r="BN71" t="s">
        <v>163</v>
      </c>
      <c r="BO71">
        <v>571.90002000000004</v>
      </c>
      <c r="BP71">
        <v>584</v>
      </c>
      <c r="BQ71">
        <v>557.09997999999996</v>
      </c>
      <c r="BR71">
        <v>558</v>
      </c>
      <c r="BS71">
        <v>567</v>
      </c>
      <c r="BT71">
        <v>558.20001000000002</v>
      </c>
      <c r="BU71">
        <v>568.45001000000002</v>
      </c>
      <c r="BV71">
        <v>562.79998999999998</v>
      </c>
      <c r="BW71" s="5" t="str">
        <f t="shared" si="25"/>
        <v>-</v>
      </c>
      <c r="BX71" t="str">
        <f t="shared" si="14"/>
        <v/>
      </c>
      <c r="BZ71" t="str">
        <f t="shared" si="15"/>
        <v/>
      </c>
    </row>
    <row r="72" spans="2:78" x14ac:dyDescent="0.3">
      <c r="B72" s="11" t="s">
        <v>821</v>
      </c>
      <c r="C72" s="11" t="s">
        <v>821</v>
      </c>
      <c r="D72" s="11" t="s">
        <v>821</v>
      </c>
      <c r="E72" s="15" t="s">
        <v>821</v>
      </c>
      <c r="F72" s="11"/>
      <c r="G72" s="11"/>
      <c r="H72" s="36"/>
      <c r="I72" s="11">
        <v>5470.5</v>
      </c>
      <c r="J72" s="11">
        <v>4500</v>
      </c>
      <c r="K72" s="15">
        <v>4973.8500000000004</v>
      </c>
      <c r="L72" s="10">
        <v>1</v>
      </c>
      <c r="M72" s="12" t="str">
        <f>IFERROR(IF(AND(#REF!="sell",B72&gt;=AI72),"sell",""),"")</f>
        <v/>
      </c>
      <c r="O72" s="10" t="str">
        <f>IFERROR(IF(AND(#REF!="equal",C72&gt;AI72,#REF!="overbought"),"sell",""),"")</f>
        <v/>
      </c>
      <c r="S72" t="str">
        <f>IFERROR(IF(AND(#REF!="sell",C72&gt;=#REF!),"sell",""),"")</f>
        <v/>
      </c>
      <c r="W72" s="40" t="e">
        <f t="shared" si="16"/>
        <v>#VALUE!</v>
      </c>
      <c r="X72" s="12" t="str">
        <f>IF(S72="sell",#REF!-E72,"")</f>
        <v/>
      </c>
      <c r="AA72" s="12" t="s">
        <v>165</v>
      </c>
      <c r="AB72" s="12">
        <v>4983.3500000000004</v>
      </c>
      <c r="AC72">
        <v>4970.75</v>
      </c>
      <c r="AD72" s="12">
        <v>4965.6750000000002</v>
      </c>
      <c r="AE72" s="12">
        <v>4978</v>
      </c>
      <c r="AF72" s="12">
        <f t="shared" si="17"/>
        <v>4985.25</v>
      </c>
      <c r="AG72" s="12">
        <f t="shared" si="18"/>
        <v>7.428633790947039</v>
      </c>
      <c r="AH72" s="12">
        <f t="shared" si="19"/>
        <v>4976.6050000000005</v>
      </c>
      <c r="AI72" s="12">
        <f t="shared" si="20"/>
        <v>4991.4622675818946</v>
      </c>
      <c r="AJ72" s="12">
        <f t="shared" si="21"/>
        <v>4961.7477324181064</v>
      </c>
      <c r="AK72" t="str">
        <f t="shared" si="22"/>
        <v>sell</v>
      </c>
      <c r="BA72" t="s">
        <v>165</v>
      </c>
      <c r="BB72" s="5">
        <v>4960.6000999999997</v>
      </c>
      <c r="BC72" s="5">
        <v>4993</v>
      </c>
      <c r="BD72" s="5">
        <v>5378</v>
      </c>
      <c r="BE72" s="5">
        <v>5223.2002000000002</v>
      </c>
      <c r="BF72" s="5">
        <v>5207.8999000000003</v>
      </c>
      <c r="BG72" s="5">
        <v>5152</v>
      </c>
      <c r="BH72" s="5">
        <v>5090</v>
      </c>
      <c r="BI72" s="5">
        <v>5042.7997999999998</v>
      </c>
      <c r="BJ72" s="5" t="str">
        <f t="shared" si="23"/>
        <v>-</v>
      </c>
      <c r="BK72" t="str">
        <f t="shared" si="24"/>
        <v/>
      </c>
      <c r="BM72" t="s">
        <v>24</v>
      </c>
      <c r="BN72" t="s">
        <v>165</v>
      </c>
      <c r="BO72">
        <v>3677.55</v>
      </c>
      <c r="BP72">
        <v>3768</v>
      </c>
      <c r="BQ72">
        <v>4039.95</v>
      </c>
      <c r="BR72">
        <v>4044.75</v>
      </c>
      <c r="BS72">
        <v>3954</v>
      </c>
      <c r="BT72">
        <v>4755</v>
      </c>
      <c r="BU72">
        <v>5378</v>
      </c>
      <c r="BV72">
        <v>5223.2002000000002</v>
      </c>
      <c r="BW72" s="5" t="str">
        <f t="shared" si="25"/>
        <v>-</v>
      </c>
      <c r="BX72" t="str">
        <f t="shared" si="14"/>
        <v>Pivot sell</v>
      </c>
      <c r="BZ72" t="str">
        <f t="shared" si="15"/>
        <v/>
      </c>
    </row>
    <row r="73" spans="2:78" x14ac:dyDescent="0.3">
      <c r="B73" s="11" t="s">
        <v>821</v>
      </c>
      <c r="C73" s="11" t="s">
        <v>821</v>
      </c>
      <c r="D73" s="11" t="s">
        <v>821</v>
      </c>
      <c r="E73" s="15" t="s">
        <v>821</v>
      </c>
      <c r="F73" s="11"/>
      <c r="G73" s="11"/>
      <c r="H73" s="36"/>
      <c r="I73" s="11">
        <v>2065.35</v>
      </c>
      <c r="J73" s="11">
        <v>1716.6</v>
      </c>
      <c r="K73" s="15">
        <v>1907.3</v>
      </c>
      <c r="L73" s="10">
        <v>1</v>
      </c>
      <c r="M73" s="12" t="str">
        <f>IFERROR(IF(AND(#REF!="sell",B73&gt;=AI73),"sell",""),"")</f>
        <v/>
      </c>
      <c r="O73" s="10" t="str">
        <f>IFERROR(IF(AND(#REF!="equal",C73&gt;AI73,#REF!="overbought"),"sell",""),"")</f>
        <v/>
      </c>
      <c r="S73" t="str">
        <f>IFERROR(IF(AND(#REF!="sell",C73&gt;=#REF!),"sell",""),"")</f>
        <v/>
      </c>
      <c r="W73" s="40" t="e">
        <f t="shared" si="16"/>
        <v>#VALUE!</v>
      </c>
      <c r="X73" s="12" t="str">
        <f>IF(S73="sell",#REF!-E73,"")</f>
        <v/>
      </c>
      <c r="AA73" s="12" t="s">
        <v>167</v>
      </c>
      <c r="AB73" s="12">
        <v>1859.35</v>
      </c>
      <c r="AC73">
        <v>1856.9</v>
      </c>
      <c r="AD73" s="12">
        <v>1859.425</v>
      </c>
      <c r="AE73" s="12">
        <v>1862.15</v>
      </c>
      <c r="AF73" s="12">
        <f t="shared" si="17"/>
        <v>1890.9749999999999</v>
      </c>
      <c r="AG73" s="12">
        <f t="shared" si="18"/>
        <v>12.716510920846133</v>
      </c>
      <c r="AH73" s="12">
        <f t="shared" si="19"/>
        <v>1865.7600000000002</v>
      </c>
      <c r="AI73" s="12">
        <f t="shared" si="20"/>
        <v>1891.1930218416924</v>
      </c>
      <c r="AJ73" s="12">
        <f t="shared" si="21"/>
        <v>1840.3269781583081</v>
      </c>
      <c r="AK73" t="str">
        <f t="shared" si="22"/>
        <v>sell</v>
      </c>
      <c r="BA73" t="s">
        <v>167</v>
      </c>
      <c r="BB73" s="5">
        <v>1876.4</v>
      </c>
      <c r="BC73" s="5">
        <v>1857.45</v>
      </c>
      <c r="BD73" s="5">
        <v>1925</v>
      </c>
      <c r="BE73" s="5">
        <v>1919.5</v>
      </c>
      <c r="BF73" s="5">
        <v>1907</v>
      </c>
      <c r="BG73" s="5">
        <v>1909.8</v>
      </c>
      <c r="BH73" s="5">
        <v>1904.8</v>
      </c>
      <c r="BI73" s="5">
        <v>1950.05</v>
      </c>
      <c r="BJ73" s="5" t="str">
        <f t="shared" si="23"/>
        <v>-</v>
      </c>
      <c r="BK73" t="str">
        <f t="shared" si="24"/>
        <v/>
      </c>
      <c r="BM73" t="s">
        <v>24</v>
      </c>
      <c r="BN73" t="s">
        <v>167</v>
      </c>
      <c r="BO73">
        <v>1582</v>
      </c>
      <c r="BP73">
        <v>1530</v>
      </c>
      <c r="BQ73">
        <v>1652.7</v>
      </c>
      <c r="BR73">
        <v>1706.85</v>
      </c>
      <c r="BS73">
        <v>1705</v>
      </c>
      <c r="BT73">
        <v>1839.6</v>
      </c>
      <c r="BU73">
        <v>1925</v>
      </c>
      <c r="BV73">
        <v>1950.05</v>
      </c>
      <c r="BW73" s="5" t="str">
        <f t="shared" si="25"/>
        <v>-</v>
      </c>
      <c r="BX73" t="str">
        <f t="shared" si="14"/>
        <v>Pivot sell</v>
      </c>
      <c r="BZ73" t="str">
        <f t="shared" si="15"/>
        <v/>
      </c>
    </row>
    <row r="74" spans="2:78" x14ac:dyDescent="0.3">
      <c r="B74" s="11" t="s">
        <v>821</v>
      </c>
      <c r="C74" s="11" t="s">
        <v>821</v>
      </c>
      <c r="D74" s="11" t="s">
        <v>821</v>
      </c>
      <c r="E74" s="15" t="s">
        <v>821</v>
      </c>
      <c r="F74" s="11"/>
      <c r="G74" s="11"/>
      <c r="H74" s="36"/>
      <c r="I74" s="11">
        <v>1456</v>
      </c>
      <c r="J74" s="11">
        <v>1191.7</v>
      </c>
      <c r="K74" s="15">
        <v>1324.1</v>
      </c>
      <c r="L74" s="10">
        <v>1</v>
      </c>
      <c r="M74" s="12" t="str">
        <f>IFERROR(IF(AND(#REF!="sell",B74&gt;=AI74),"sell",""),"")</f>
        <v/>
      </c>
      <c r="O74" s="10" t="str">
        <f>IFERROR(IF(AND(#REF!="equal",C74&gt;AI74,#REF!="overbought"),"sell",""),"")</f>
        <v/>
      </c>
      <c r="S74" t="str">
        <f>IFERROR(IF(AND(#REF!="sell",C74&gt;=#REF!),"sell",""),"")</f>
        <v/>
      </c>
      <c r="W74" s="40" t="e">
        <f t="shared" si="16"/>
        <v>#VALUE!</v>
      </c>
      <c r="X74" s="12" t="str">
        <f>IF(S74="sell",#REF!-E74,"")</f>
        <v/>
      </c>
      <c r="AA74" s="12" t="s">
        <v>169</v>
      </c>
      <c r="AB74" s="12">
        <v>1331.875</v>
      </c>
      <c r="AC74">
        <v>1331.8249999999998</v>
      </c>
      <c r="AD74" s="12">
        <v>1332.45</v>
      </c>
      <c r="AE74" s="12">
        <v>1335.05</v>
      </c>
      <c r="AF74" s="12">
        <f t="shared" si="17"/>
        <v>1323.85</v>
      </c>
      <c r="AG74" s="12">
        <f t="shared" si="18"/>
        <v>3.7702320883468374</v>
      </c>
      <c r="AH74" s="12">
        <f t="shared" si="19"/>
        <v>1331.0099999999998</v>
      </c>
      <c r="AI74" s="12">
        <f t="shared" si="20"/>
        <v>1338.5504641766934</v>
      </c>
      <c r="AJ74" s="12">
        <f t="shared" si="21"/>
        <v>1323.4695358233062</v>
      </c>
      <c r="AK74" t="str">
        <f t="shared" si="22"/>
        <v>sell</v>
      </c>
      <c r="BA74" t="s">
        <v>169</v>
      </c>
      <c r="BB74" s="5">
        <v>1352.9</v>
      </c>
      <c r="BC74" s="5">
        <v>1358.45</v>
      </c>
      <c r="BD74" s="5">
        <v>1360</v>
      </c>
      <c r="BE74" s="5">
        <v>1359.6</v>
      </c>
      <c r="BF74" s="5">
        <v>1363.3</v>
      </c>
      <c r="BG74" s="5">
        <v>1366.6</v>
      </c>
      <c r="BH74" s="5">
        <v>1351.55</v>
      </c>
      <c r="BI74" s="5">
        <v>1340.9</v>
      </c>
      <c r="BJ74" s="5" t="str">
        <f t="shared" si="23"/>
        <v>-</v>
      </c>
      <c r="BK74" t="str">
        <f t="shared" si="24"/>
        <v/>
      </c>
      <c r="BM74" t="s">
        <v>24</v>
      </c>
      <c r="BN74" t="s">
        <v>169</v>
      </c>
      <c r="BO74">
        <v>1561.8</v>
      </c>
      <c r="BP74">
        <v>1530.5</v>
      </c>
      <c r="BQ74">
        <v>1531.45</v>
      </c>
      <c r="BR74">
        <v>1436</v>
      </c>
      <c r="BS74">
        <v>1365</v>
      </c>
      <c r="BT74">
        <v>1357.8</v>
      </c>
      <c r="BU74">
        <v>1360</v>
      </c>
      <c r="BV74">
        <v>1366.6</v>
      </c>
      <c r="BW74" s="5" t="str">
        <f t="shared" si="25"/>
        <v>-</v>
      </c>
      <c r="BX74" t="str">
        <f t="shared" si="14"/>
        <v/>
      </c>
      <c r="BZ74" t="str">
        <f t="shared" si="15"/>
        <v/>
      </c>
    </row>
    <row r="75" spans="2:78" x14ac:dyDescent="0.3">
      <c r="B75" s="11" t="s">
        <v>821</v>
      </c>
      <c r="C75" s="11" t="s">
        <v>821</v>
      </c>
      <c r="D75" s="11" t="s">
        <v>821</v>
      </c>
      <c r="E75" s="15" t="s">
        <v>821</v>
      </c>
      <c r="F75" s="11"/>
      <c r="G75" s="11"/>
      <c r="H75" s="36"/>
      <c r="I75" s="11">
        <v>3801.55</v>
      </c>
      <c r="J75" s="11">
        <v>3495.9</v>
      </c>
      <c r="K75" s="15">
        <v>3884.3</v>
      </c>
      <c r="L75" s="10">
        <v>1</v>
      </c>
      <c r="M75" s="12" t="str">
        <f>IFERROR(IF(AND(#REF!="sell",B75&gt;=AI75),"sell",""),"")</f>
        <v/>
      </c>
      <c r="O75" s="10" t="str">
        <f>IFERROR(IF(AND(#REF!="equal",C75&gt;AI75,#REF!="overbought"),"sell",""),"")</f>
        <v/>
      </c>
      <c r="S75" t="str">
        <f>IFERROR(IF(AND(#REF!="sell",C75&gt;=#REF!),"sell",""),"")</f>
        <v/>
      </c>
      <c r="W75" s="40" t="e">
        <f t="shared" si="16"/>
        <v>#VALUE!</v>
      </c>
      <c r="X75" s="12" t="str">
        <f>IF(S75="sell",#REF!-E75,"")</f>
        <v/>
      </c>
      <c r="AA75" s="12" t="s">
        <v>171</v>
      </c>
      <c r="AB75" s="12">
        <v>3747.375</v>
      </c>
      <c r="AC75">
        <v>3737.05</v>
      </c>
      <c r="AD75" s="12">
        <v>3754.05</v>
      </c>
      <c r="AE75" s="12">
        <v>3761.7249999999999</v>
      </c>
      <c r="AF75" s="12">
        <f t="shared" si="17"/>
        <v>3648.7250000000004</v>
      </c>
      <c r="AG75" s="12">
        <f t="shared" si="18"/>
        <v>41.332470891539856</v>
      </c>
      <c r="AH75" s="12">
        <f t="shared" si="19"/>
        <v>3729.7850000000008</v>
      </c>
      <c r="AI75" s="12">
        <f t="shared" si="20"/>
        <v>3812.4499417830802</v>
      </c>
      <c r="AJ75" s="12">
        <f t="shared" si="21"/>
        <v>3647.1200582169213</v>
      </c>
      <c r="AK75" t="str">
        <f t="shared" si="22"/>
        <v>sell</v>
      </c>
      <c r="BA75" t="s">
        <v>171</v>
      </c>
      <c r="BB75" s="5">
        <v>3825</v>
      </c>
      <c r="BC75" s="5">
        <v>3835</v>
      </c>
      <c r="BD75" s="5">
        <v>3845</v>
      </c>
      <c r="BE75" s="5">
        <v>4020</v>
      </c>
      <c r="BF75" s="5">
        <v>4041</v>
      </c>
      <c r="BG75" s="5">
        <v>3998.8501000000001</v>
      </c>
      <c r="BH75" s="5">
        <v>3872</v>
      </c>
      <c r="BI75" s="5">
        <v>3904.95</v>
      </c>
      <c r="BJ75" s="5" t="str">
        <f t="shared" si="23"/>
        <v>-</v>
      </c>
      <c r="BK75" t="str">
        <f t="shared" si="24"/>
        <v/>
      </c>
      <c r="BM75" t="s">
        <v>24</v>
      </c>
      <c r="BN75" t="s">
        <v>171</v>
      </c>
      <c r="BO75">
        <v>3755.45</v>
      </c>
      <c r="BP75">
        <v>3825</v>
      </c>
      <c r="BQ75">
        <v>3786.2</v>
      </c>
      <c r="BR75">
        <v>3983.8501000000001</v>
      </c>
      <c r="BS75">
        <v>3949.8998999999999</v>
      </c>
      <c r="BT75">
        <v>3874.8501000000001</v>
      </c>
      <c r="BU75">
        <v>3845</v>
      </c>
      <c r="BV75">
        <v>4041</v>
      </c>
      <c r="BW75" s="5" t="str">
        <f t="shared" si="25"/>
        <v>-</v>
      </c>
      <c r="BX75" t="str">
        <f t="shared" si="14"/>
        <v/>
      </c>
      <c r="BZ75" t="str">
        <f t="shared" si="15"/>
        <v/>
      </c>
    </row>
    <row r="76" spans="2:78" x14ac:dyDescent="0.3">
      <c r="B76" s="28" t="s">
        <v>821</v>
      </c>
      <c r="C76" s="28" t="s">
        <v>821</v>
      </c>
      <c r="D76" s="28" t="s">
        <v>821</v>
      </c>
      <c r="E76" s="30" t="s">
        <v>821</v>
      </c>
      <c r="F76" s="11"/>
      <c r="G76" s="11"/>
      <c r="H76" s="36"/>
      <c r="I76" s="28">
        <v>1684.7</v>
      </c>
      <c r="J76" s="28">
        <v>1169.45</v>
      </c>
      <c r="K76" s="30">
        <v>1531.55</v>
      </c>
      <c r="L76" s="10">
        <v>1</v>
      </c>
      <c r="M76" s="12" t="str">
        <f>IFERROR(IF(AND(#REF!="sell",B76&gt;=AI76),"sell",""),"")</f>
        <v/>
      </c>
      <c r="O76" s="10" t="str">
        <f>IFERROR(IF(AND(#REF!="equal",C76&gt;AI76,#REF!="overbought"),"sell",""),"")</f>
        <v/>
      </c>
      <c r="S76" t="str">
        <f>IFERROR(IF(AND(#REF!="sell",C76&gt;=#REF!),"sell",""),"")</f>
        <v/>
      </c>
      <c r="W76" s="40" t="e">
        <f t="shared" si="16"/>
        <v>#VALUE!</v>
      </c>
      <c r="X76" s="12" t="str">
        <f>IF(S76="sell",#REF!-E76,"")</f>
        <v/>
      </c>
      <c r="AA76" s="12" t="s">
        <v>173</v>
      </c>
      <c r="AB76" s="12">
        <v>1515.2249999999999</v>
      </c>
      <c r="AC76">
        <v>1515.25</v>
      </c>
      <c r="AD76" s="12">
        <v>1517.625</v>
      </c>
      <c r="AE76" s="12">
        <v>1517.175</v>
      </c>
      <c r="AF76" s="12">
        <f t="shared" si="17"/>
        <v>1427.075</v>
      </c>
      <c r="AG76" s="12">
        <f t="shared" si="18"/>
        <v>35.71088209495808</v>
      </c>
      <c r="AH76" s="12">
        <f t="shared" si="19"/>
        <v>1498.47</v>
      </c>
      <c r="AI76" s="12">
        <f t="shared" si="20"/>
        <v>1569.8917641899161</v>
      </c>
      <c r="AJ76" s="12">
        <f t="shared" si="21"/>
        <v>1427.048235810084</v>
      </c>
      <c r="AK76" t="str">
        <f t="shared" si="22"/>
        <v>sell</v>
      </c>
      <c r="BA76" t="s">
        <v>173</v>
      </c>
      <c r="BB76" s="5">
        <v>1465.6</v>
      </c>
      <c r="BC76" s="5">
        <v>1495.65</v>
      </c>
      <c r="BD76" s="5">
        <v>1519.9</v>
      </c>
      <c r="BE76" s="5">
        <v>1545</v>
      </c>
      <c r="BF76" s="5">
        <v>1536.05</v>
      </c>
      <c r="BG76" s="5">
        <v>1523.85</v>
      </c>
      <c r="BH76" s="5">
        <v>1523.6</v>
      </c>
      <c r="BI76" s="5">
        <v>1536</v>
      </c>
      <c r="BJ76" s="5" t="str">
        <f t="shared" si="23"/>
        <v>-</v>
      </c>
      <c r="BK76" t="str">
        <f t="shared" si="24"/>
        <v/>
      </c>
      <c r="BM76" t="s">
        <v>24</v>
      </c>
      <c r="BN76" t="s">
        <v>173</v>
      </c>
      <c r="BO76">
        <v>1557.25</v>
      </c>
      <c r="BP76">
        <v>1534.95</v>
      </c>
      <c r="BQ76">
        <v>1557.4</v>
      </c>
      <c r="BR76">
        <v>1540.6</v>
      </c>
      <c r="BS76">
        <v>1534.5</v>
      </c>
      <c r="BT76">
        <v>1468</v>
      </c>
      <c r="BU76">
        <v>1519.9</v>
      </c>
      <c r="BV76">
        <v>1545</v>
      </c>
      <c r="BW76" s="5" t="str">
        <f t="shared" si="25"/>
        <v>-</v>
      </c>
      <c r="BX76" t="str">
        <f t="shared" si="14"/>
        <v/>
      </c>
      <c r="BZ76" t="str">
        <f t="shared" si="15"/>
        <v/>
      </c>
    </row>
    <row r="77" spans="2:78" x14ac:dyDescent="0.3">
      <c r="B77" s="28" t="s">
        <v>821</v>
      </c>
      <c r="C77" s="28" t="s">
        <v>821</v>
      </c>
      <c r="D77" s="28" t="s">
        <v>821</v>
      </c>
      <c r="E77" s="30" t="s">
        <v>821</v>
      </c>
      <c r="F77" s="11"/>
      <c r="G77" s="11"/>
      <c r="H77" s="36"/>
      <c r="I77" s="28">
        <v>604.79999999999995</v>
      </c>
      <c r="J77" s="28">
        <v>467.4</v>
      </c>
      <c r="K77" s="30">
        <v>549.85</v>
      </c>
      <c r="L77" s="10">
        <v>1</v>
      </c>
      <c r="M77" s="12" t="str">
        <f>IFERROR(IF(AND(#REF!="sell",B77&gt;=AI77),"sell",""),"")</f>
        <v/>
      </c>
      <c r="O77" s="10" t="str">
        <f>IFERROR(IF(AND(#REF!="equal",C77&gt;AI77,#REF!="overbought"),"sell",""),"")</f>
        <v/>
      </c>
      <c r="S77" t="str">
        <f>IFERROR(IF(AND(#REF!="sell",C77&gt;=#REF!),"sell",""),"")</f>
        <v/>
      </c>
      <c r="W77" s="40" t="e">
        <f t="shared" si="16"/>
        <v>#VALUE!</v>
      </c>
      <c r="X77" s="12" t="str">
        <f>IF(S77="sell",#REF!-E77,"")</f>
        <v/>
      </c>
      <c r="AA77" s="12" t="s">
        <v>175</v>
      </c>
      <c r="AB77" s="12">
        <v>550.65</v>
      </c>
      <c r="AC77">
        <v>551.20000000000005</v>
      </c>
      <c r="AD77" s="12">
        <v>551.82500000000005</v>
      </c>
      <c r="AE77" s="12">
        <v>551.5</v>
      </c>
      <c r="AF77" s="12">
        <f t="shared" si="17"/>
        <v>536.09999999999991</v>
      </c>
      <c r="AG77" s="12">
        <f t="shared" si="18"/>
        <v>6.0897947420254273</v>
      </c>
      <c r="AH77" s="12">
        <f t="shared" si="19"/>
        <v>548.255</v>
      </c>
      <c r="AI77" s="12">
        <f t="shared" si="20"/>
        <v>560.43458948405089</v>
      </c>
      <c r="AJ77" s="12">
        <f t="shared" si="21"/>
        <v>536.0754105159491</v>
      </c>
      <c r="AK77" t="str">
        <f t="shared" si="22"/>
        <v>sell</v>
      </c>
      <c r="BA77" t="s">
        <v>175</v>
      </c>
      <c r="BB77" s="5">
        <v>566.79998999999998</v>
      </c>
      <c r="BC77" s="5">
        <v>569.20001000000002</v>
      </c>
      <c r="BD77" s="5">
        <v>571.79998999999998</v>
      </c>
      <c r="BE77" s="5">
        <v>569.29998999999998</v>
      </c>
      <c r="BF77" s="5">
        <v>579.95001000000002</v>
      </c>
      <c r="BG77" s="5">
        <v>578.45001000000002</v>
      </c>
      <c r="BH77" s="5">
        <v>563.84997999999996</v>
      </c>
      <c r="BI77" s="5">
        <v>556.29998999999998</v>
      </c>
      <c r="BJ77" s="5" t="str">
        <f t="shared" si="23"/>
        <v>-</v>
      </c>
      <c r="BK77" t="str">
        <f t="shared" si="24"/>
        <v/>
      </c>
      <c r="BM77" t="s">
        <v>24</v>
      </c>
      <c r="BN77" t="s">
        <v>175</v>
      </c>
      <c r="BO77">
        <v>639.15002000000004</v>
      </c>
      <c r="BP77">
        <v>624</v>
      </c>
      <c r="BQ77">
        <v>609.15002000000004</v>
      </c>
      <c r="BR77">
        <v>591.95001000000002</v>
      </c>
      <c r="BS77">
        <v>569.90002000000004</v>
      </c>
      <c r="BT77">
        <v>572</v>
      </c>
      <c r="BU77">
        <v>571.79998999999998</v>
      </c>
      <c r="BV77">
        <v>579.95001000000002</v>
      </c>
      <c r="BW77" s="5" t="str">
        <f t="shared" si="25"/>
        <v>-</v>
      </c>
      <c r="BX77" t="str">
        <f t="shared" si="14"/>
        <v/>
      </c>
      <c r="BZ77" t="str">
        <f t="shared" si="15"/>
        <v/>
      </c>
    </row>
    <row r="78" spans="2:78" x14ac:dyDescent="0.3">
      <c r="B78" s="28" t="s">
        <v>821</v>
      </c>
      <c r="C78" s="28" t="s">
        <v>821</v>
      </c>
      <c r="D78" s="28" t="s">
        <v>821</v>
      </c>
      <c r="E78" s="30" t="s">
        <v>821</v>
      </c>
      <c r="F78" s="11"/>
      <c r="G78" s="11"/>
      <c r="H78" s="36"/>
      <c r="I78" s="28">
        <v>5631.55</v>
      </c>
      <c r="J78" s="28">
        <v>4607.6499999999996</v>
      </c>
      <c r="K78" s="30">
        <v>5119.6000000000004</v>
      </c>
      <c r="L78" s="10">
        <v>1</v>
      </c>
      <c r="M78" s="12" t="str">
        <f>IFERROR(IF(AND(#REF!="sell",B78&gt;=AI78),"sell",""),"")</f>
        <v/>
      </c>
      <c r="O78" s="10" t="str">
        <f>IFERROR(IF(AND(#REF!="equal",C78&gt;AI78,#REF!="overbought"),"sell",""),"")</f>
        <v/>
      </c>
      <c r="S78" t="str">
        <f>IFERROR(IF(AND(#REF!="sell",C78&gt;=#REF!),"sell",""),"")</f>
        <v/>
      </c>
      <c r="W78" s="40" t="e">
        <f t="shared" si="16"/>
        <v>#VALUE!</v>
      </c>
      <c r="X78" s="12" t="str">
        <f>IF(S78="sell",#REF!-E78,"")</f>
        <v/>
      </c>
      <c r="AA78" s="12" t="s">
        <v>177</v>
      </c>
      <c r="AB78" s="12">
        <v>5140.6000000000004</v>
      </c>
      <c r="AC78">
        <v>5136.5249999999996</v>
      </c>
      <c r="AD78" s="12">
        <v>5146.7250000000004</v>
      </c>
      <c r="AE78" s="12">
        <v>5154.05</v>
      </c>
      <c r="AF78" s="12">
        <f t="shared" si="17"/>
        <v>5119.6000000000004</v>
      </c>
      <c r="AG78" s="12">
        <f t="shared" si="18"/>
        <v>11.57561013510734</v>
      </c>
      <c r="AH78" s="12">
        <f t="shared" si="19"/>
        <v>5139.5</v>
      </c>
      <c r="AI78" s="12">
        <f t="shared" si="20"/>
        <v>5162.6512202702143</v>
      </c>
      <c r="AJ78" s="12">
        <f t="shared" si="21"/>
        <v>5116.3487797297857</v>
      </c>
      <c r="AK78" t="str">
        <f t="shared" si="22"/>
        <v>sell</v>
      </c>
      <c r="BA78" t="s">
        <v>177</v>
      </c>
      <c r="BB78" s="5">
        <v>5067.9502000000002</v>
      </c>
      <c r="BC78" s="5">
        <v>5155.4502000000002</v>
      </c>
      <c r="BD78" s="5">
        <v>5198.1499000000003</v>
      </c>
      <c r="BE78" s="5">
        <v>5128.7997999999998</v>
      </c>
      <c r="BF78" s="5">
        <v>5225</v>
      </c>
      <c r="BG78" s="5">
        <v>5202.1499000000003</v>
      </c>
      <c r="BH78" s="5">
        <v>5186.9502000000002</v>
      </c>
      <c r="BI78" s="5">
        <v>5189.9502000000002</v>
      </c>
      <c r="BJ78" s="5" t="str">
        <f t="shared" si="23"/>
        <v>-</v>
      </c>
      <c r="BK78" t="str">
        <f t="shared" si="24"/>
        <v/>
      </c>
      <c r="BM78" t="s">
        <v>24</v>
      </c>
      <c r="BN78" t="s">
        <v>177</v>
      </c>
      <c r="BO78">
        <v>4673.25</v>
      </c>
      <c r="BP78">
        <v>4446.4502000000002</v>
      </c>
      <c r="BQ78">
        <v>4540.7997999999998</v>
      </c>
      <c r="BR78">
        <v>4625</v>
      </c>
      <c r="BS78">
        <v>4954.3500999999997</v>
      </c>
      <c r="BT78">
        <v>5168.6000999999997</v>
      </c>
      <c r="BU78">
        <v>5198.1499000000003</v>
      </c>
      <c r="BV78">
        <v>5225</v>
      </c>
      <c r="BW78" s="5" t="str">
        <f t="shared" si="25"/>
        <v>-</v>
      </c>
      <c r="BX78" t="str">
        <f t="shared" si="14"/>
        <v>Pivot sell</v>
      </c>
      <c r="BZ78" t="str">
        <f t="shared" si="15"/>
        <v/>
      </c>
    </row>
    <row r="79" spans="2:78" x14ac:dyDescent="0.3">
      <c r="B79" s="28" t="s">
        <v>821</v>
      </c>
      <c r="C79" s="28" t="s">
        <v>821</v>
      </c>
      <c r="D79" s="28" t="s">
        <v>821</v>
      </c>
      <c r="E79" s="30" t="s">
        <v>821</v>
      </c>
      <c r="F79" s="11"/>
      <c r="G79" s="11"/>
      <c r="H79" s="36"/>
      <c r="I79" s="28">
        <v>758.25</v>
      </c>
      <c r="J79" s="28">
        <v>620.45000000000005</v>
      </c>
      <c r="K79" s="30">
        <v>689.35</v>
      </c>
      <c r="L79" s="10">
        <v>1</v>
      </c>
      <c r="M79" s="12" t="str">
        <f>IFERROR(IF(AND(#REF!="sell",B79&gt;=AI79),"sell",""),"")</f>
        <v/>
      </c>
      <c r="O79" s="10" t="str">
        <f>IFERROR(IF(AND(#REF!="equal",C79&gt;AI79,#REF!="overbought"),"sell",""),"")</f>
        <v/>
      </c>
      <c r="S79" t="str">
        <f>IFERROR(IF(AND(#REF!="sell",C79&gt;=#REF!),"sell",""),"")</f>
        <v/>
      </c>
      <c r="W79" s="40" t="e">
        <f t="shared" si="16"/>
        <v>#VALUE!</v>
      </c>
      <c r="X79" s="12" t="str">
        <f>IF(S79="sell",#REF!-E79,"")</f>
        <v/>
      </c>
      <c r="AA79" s="12" t="s">
        <v>179</v>
      </c>
      <c r="AB79" s="12">
        <v>694.95</v>
      </c>
      <c r="AC79">
        <v>695.07500000000005</v>
      </c>
      <c r="AD79" s="12">
        <v>695.55</v>
      </c>
      <c r="AE79" s="12">
        <v>696.45</v>
      </c>
      <c r="AF79" s="12">
        <f t="shared" si="17"/>
        <v>689.35</v>
      </c>
      <c r="AG79" s="12">
        <f t="shared" si="18"/>
        <v>2.5182335078383811</v>
      </c>
      <c r="AH79" s="12">
        <f t="shared" si="19"/>
        <v>694.27499999999986</v>
      </c>
      <c r="AI79" s="12">
        <f t="shared" si="20"/>
        <v>699.31146701567661</v>
      </c>
      <c r="AJ79" s="12">
        <f t="shared" si="21"/>
        <v>689.23853298432311</v>
      </c>
      <c r="AK79" t="str">
        <f t="shared" si="22"/>
        <v>sell</v>
      </c>
      <c r="BA79" t="s">
        <v>179</v>
      </c>
      <c r="BB79" s="5">
        <v>698.70001000000002</v>
      </c>
      <c r="BC79" s="5">
        <v>678.54998999999998</v>
      </c>
      <c r="BD79" s="5">
        <v>690.45001000000002</v>
      </c>
      <c r="BE79" s="5">
        <v>689.5</v>
      </c>
      <c r="BF79" s="5">
        <v>698</v>
      </c>
      <c r="BG79" s="5">
        <v>713.5</v>
      </c>
      <c r="BH79" s="5">
        <v>713.04998999999998</v>
      </c>
      <c r="BI79" s="5">
        <v>703.45001000000002</v>
      </c>
      <c r="BJ79" s="5" t="str">
        <f t="shared" si="23"/>
        <v>-</v>
      </c>
      <c r="BK79" t="str">
        <f t="shared" si="24"/>
        <v/>
      </c>
      <c r="BM79" t="s">
        <v>24</v>
      </c>
      <c r="BN79" t="s">
        <v>179</v>
      </c>
      <c r="BO79">
        <v>609.04998999999998</v>
      </c>
      <c r="BP79">
        <v>625.40002000000004</v>
      </c>
      <c r="BQ79">
        <v>661.59997999999996</v>
      </c>
      <c r="BR79">
        <v>655.40002000000004</v>
      </c>
      <c r="BS79">
        <v>655</v>
      </c>
      <c r="BT79">
        <v>666</v>
      </c>
      <c r="BU79">
        <v>698.70001000000002</v>
      </c>
      <c r="BV79">
        <v>713.5</v>
      </c>
      <c r="BW79" s="5" t="str">
        <f t="shared" si="25"/>
        <v>-</v>
      </c>
      <c r="BX79" t="str">
        <f t="shared" si="14"/>
        <v>Pivot sell</v>
      </c>
      <c r="BZ79" t="str">
        <f t="shared" si="15"/>
        <v/>
      </c>
    </row>
    <row r="80" spans="2:78" x14ac:dyDescent="0.3">
      <c r="B80" s="28" t="s">
        <v>821</v>
      </c>
      <c r="C80" s="28" t="s">
        <v>821</v>
      </c>
      <c r="D80" s="28" t="s">
        <v>821</v>
      </c>
      <c r="E80" s="30" t="s">
        <v>821</v>
      </c>
      <c r="F80" s="11"/>
      <c r="G80" s="11"/>
      <c r="H80" s="36"/>
      <c r="I80" s="28">
        <v>390</v>
      </c>
      <c r="J80" s="28">
        <v>340</v>
      </c>
      <c r="K80" s="30">
        <v>355.9</v>
      </c>
      <c r="L80" s="10">
        <v>1</v>
      </c>
      <c r="M80" s="12" t="str">
        <f>IFERROR(IF(AND(#REF!="sell",B80&gt;=AI80),"sell",""),"")</f>
        <v/>
      </c>
      <c r="O80" s="10" t="str">
        <f>IFERROR(IF(AND(#REF!="equal",C80&gt;AI80,#REF!="overbought"),"sell",""),"")</f>
        <v/>
      </c>
      <c r="S80" t="str">
        <f>IFERROR(IF(AND(#REF!="sell",C80&gt;=#REF!),"sell",""),"")</f>
        <v/>
      </c>
      <c r="W80" s="40" t="e">
        <f t="shared" si="16"/>
        <v>#VALUE!</v>
      </c>
      <c r="X80" s="12" t="str">
        <f>IF(S80="sell",#REF!-E80,"")</f>
        <v/>
      </c>
      <c r="AA80" s="12" t="s">
        <v>181</v>
      </c>
      <c r="AB80" s="12">
        <v>353.79999999999995</v>
      </c>
      <c r="AC80">
        <v>352.45000000000005</v>
      </c>
      <c r="AD80" s="12">
        <v>354.52499999999998</v>
      </c>
      <c r="AE80" s="12">
        <v>355.72500000000002</v>
      </c>
      <c r="AF80" s="12">
        <f t="shared" si="17"/>
        <v>365</v>
      </c>
      <c r="AG80" s="12">
        <f t="shared" si="18"/>
        <v>4.477583053389405</v>
      </c>
      <c r="AH80" s="12">
        <f t="shared" si="19"/>
        <v>356.3</v>
      </c>
      <c r="AI80" s="12">
        <f t="shared" si="20"/>
        <v>365.2551661067788</v>
      </c>
      <c r="AJ80" s="12">
        <f t="shared" si="21"/>
        <v>347.34483389322122</v>
      </c>
      <c r="AK80" t="str">
        <f t="shared" si="22"/>
        <v>sell</v>
      </c>
      <c r="BA80" t="s">
        <v>181</v>
      </c>
      <c r="BB80" s="5">
        <v>415.79998999999998</v>
      </c>
      <c r="BC80" s="5">
        <v>380.89999</v>
      </c>
      <c r="BD80" s="5">
        <v>381.89999</v>
      </c>
      <c r="BE80" s="5">
        <v>379.5</v>
      </c>
      <c r="BF80" s="5">
        <v>377.35001</v>
      </c>
      <c r="BG80" s="5">
        <v>381</v>
      </c>
      <c r="BH80" s="5">
        <v>375.25</v>
      </c>
      <c r="BI80" s="5">
        <v>364.39999</v>
      </c>
      <c r="BJ80" s="5" t="str">
        <f t="shared" si="23"/>
        <v>-</v>
      </c>
      <c r="BK80" t="str">
        <f t="shared" si="24"/>
        <v/>
      </c>
      <c r="BM80" t="s">
        <v>24</v>
      </c>
      <c r="BN80" t="s">
        <v>181</v>
      </c>
      <c r="BO80">
        <v>377</v>
      </c>
      <c r="BP80">
        <v>367.89999</v>
      </c>
      <c r="BQ80">
        <v>397</v>
      </c>
      <c r="BR80">
        <v>401.64999</v>
      </c>
      <c r="BS80">
        <v>392.5</v>
      </c>
      <c r="BT80">
        <v>389.79998999999998</v>
      </c>
      <c r="BU80">
        <v>415.79998999999998</v>
      </c>
      <c r="BV80">
        <v>381</v>
      </c>
      <c r="BW80" s="5" t="str">
        <f t="shared" si="25"/>
        <v>-</v>
      </c>
      <c r="BX80" t="str">
        <f t="shared" si="14"/>
        <v>Pivot sell</v>
      </c>
      <c r="BZ80" t="str">
        <f t="shared" si="15"/>
        <v/>
      </c>
    </row>
    <row r="81" spans="2:78" x14ac:dyDescent="0.3">
      <c r="B81" s="28" t="s">
        <v>821</v>
      </c>
      <c r="C81" s="28" t="s">
        <v>821</v>
      </c>
      <c r="D81" s="28" t="s">
        <v>821</v>
      </c>
      <c r="E81" s="30" t="s">
        <v>821</v>
      </c>
      <c r="F81" s="11"/>
      <c r="G81" s="11"/>
      <c r="H81" s="36"/>
      <c r="I81" s="28">
        <v>591.04999999999995</v>
      </c>
      <c r="J81" s="28">
        <v>483.65</v>
      </c>
      <c r="K81" s="30">
        <v>537.35</v>
      </c>
      <c r="L81" s="10">
        <v>1</v>
      </c>
      <c r="M81" s="12" t="str">
        <f>IFERROR(IF(AND(#REF!="sell",B81&gt;=AI81),"sell",""),"")</f>
        <v/>
      </c>
      <c r="O81" s="10" t="str">
        <f>IFERROR(IF(AND(#REF!="equal",C81&gt;AI81,#REF!="overbought"),"sell",""),"")</f>
        <v/>
      </c>
      <c r="S81" t="str">
        <f>IFERROR(IF(AND(#REF!="sell",C81&gt;=#REF!),"sell",""),"")</f>
        <v/>
      </c>
      <c r="W81" s="40" t="e">
        <f t="shared" si="16"/>
        <v>#VALUE!</v>
      </c>
      <c r="X81" s="12" t="str">
        <f>IF(S81="sell",#REF!-E81,"")</f>
        <v/>
      </c>
      <c r="AA81" s="12" t="s">
        <v>183</v>
      </c>
      <c r="AB81" s="12">
        <v>533.625</v>
      </c>
      <c r="AC81">
        <v>532.6</v>
      </c>
      <c r="AD81" s="12">
        <v>533.625</v>
      </c>
      <c r="AE81" s="12">
        <v>534.875</v>
      </c>
      <c r="AF81" s="12">
        <f t="shared" si="17"/>
        <v>537.34999999999991</v>
      </c>
      <c r="AG81" s="12">
        <f t="shared" si="18"/>
        <v>1.6351299642535686</v>
      </c>
      <c r="AH81" s="12">
        <f t="shared" si="19"/>
        <v>534.41499999999996</v>
      </c>
      <c r="AI81" s="12">
        <f t="shared" si="20"/>
        <v>537.68525992850709</v>
      </c>
      <c r="AJ81" s="12">
        <f t="shared" si="21"/>
        <v>531.14474007149283</v>
      </c>
      <c r="AK81" t="str">
        <f t="shared" si="22"/>
        <v>sell</v>
      </c>
      <c r="BA81" t="s">
        <v>183</v>
      </c>
      <c r="BB81" s="5">
        <v>536</v>
      </c>
      <c r="BC81" s="5">
        <v>544.70001000000002</v>
      </c>
      <c r="BD81" s="5">
        <v>550.34997999999996</v>
      </c>
      <c r="BE81" s="5">
        <v>564</v>
      </c>
      <c r="BF81" s="5">
        <v>559.5</v>
      </c>
      <c r="BG81" s="5">
        <v>546.34997999999996</v>
      </c>
      <c r="BH81" s="5">
        <v>542.65002000000004</v>
      </c>
      <c r="BI81" s="5">
        <v>544.70001000000002</v>
      </c>
      <c r="BJ81" s="5" t="str">
        <f t="shared" si="23"/>
        <v>-</v>
      </c>
      <c r="BK81" t="str">
        <f t="shared" si="24"/>
        <v/>
      </c>
      <c r="BM81" t="s">
        <v>24</v>
      </c>
      <c r="BN81" t="s">
        <v>183</v>
      </c>
      <c r="BO81">
        <v>489</v>
      </c>
      <c r="BP81">
        <v>494</v>
      </c>
      <c r="BQ81">
        <v>501</v>
      </c>
      <c r="BR81">
        <v>540.90002000000004</v>
      </c>
      <c r="BS81">
        <v>538.09997999999996</v>
      </c>
      <c r="BT81">
        <v>513</v>
      </c>
      <c r="BU81">
        <v>550.34997999999996</v>
      </c>
      <c r="BV81">
        <v>564</v>
      </c>
      <c r="BW81" s="5" t="str">
        <f t="shared" si="25"/>
        <v>-</v>
      </c>
      <c r="BX81" t="str">
        <f t="shared" si="14"/>
        <v>Pivot sell</v>
      </c>
      <c r="BZ81" t="str">
        <f t="shared" si="15"/>
        <v/>
      </c>
    </row>
    <row r="82" spans="2:78" x14ac:dyDescent="0.3">
      <c r="B82" s="28" t="s">
        <v>821</v>
      </c>
      <c r="C82" s="28" t="s">
        <v>821</v>
      </c>
      <c r="D82" s="28" t="s">
        <v>821</v>
      </c>
      <c r="E82" s="30" t="s">
        <v>821</v>
      </c>
      <c r="F82" s="11"/>
      <c r="G82" s="11"/>
      <c r="H82" s="36"/>
      <c r="I82" s="28">
        <v>2561.9499999999998</v>
      </c>
      <c r="J82" s="28">
        <v>2096.15</v>
      </c>
      <c r="K82" s="30">
        <v>2329.0500000000002</v>
      </c>
      <c r="L82" s="10">
        <v>1</v>
      </c>
      <c r="M82" s="12" t="str">
        <f>IFERROR(IF(AND(#REF!="sell",B82&gt;=AI82),"sell",""),"")</f>
        <v/>
      </c>
      <c r="O82" s="10" t="str">
        <f>IFERROR(IF(AND(#REF!="equal",C82&gt;AI82,#REF!="overbought"),"sell",""),"")</f>
        <v/>
      </c>
      <c r="S82" t="str">
        <f>IFERROR(IF(AND(#REF!="sell",C82&gt;=#REF!),"sell",""),"")</f>
        <v/>
      </c>
      <c r="W82" s="40" t="e">
        <f t="shared" si="16"/>
        <v>#VALUE!</v>
      </c>
      <c r="X82" s="12" t="str">
        <f>IF(S82="sell",#REF!-E82,"")</f>
        <v/>
      </c>
      <c r="AA82" s="12" t="s">
        <v>185</v>
      </c>
      <c r="AB82" s="12">
        <v>2351.3000000000002</v>
      </c>
      <c r="AC82">
        <v>2354.8500000000004</v>
      </c>
      <c r="AD82" s="12">
        <v>2351.25</v>
      </c>
      <c r="AE82" s="12">
        <v>2351.7749999999996</v>
      </c>
      <c r="AF82" s="12">
        <f t="shared" si="17"/>
        <v>2329.0500000000002</v>
      </c>
      <c r="AG82" s="12">
        <f t="shared" si="18"/>
        <v>9.3925289459228907</v>
      </c>
      <c r="AH82" s="12">
        <f t="shared" si="19"/>
        <v>2347.6449999999995</v>
      </c>
      <c r="AI82" s="12">
        <f t="shared" si="20"/>
        <v>2366.4300578918455</v>
      </c>
      <c r="AJ82" s="12">
        <f t="shared" si="21"/>
        <v>2328.8599421081535</v>
      </c>
      <c r="AK82" t="str">
        <f t="shared" si="22"/>
        <v>sell</v>
      </c>
      <c r="BA82" t="s">
        <v>185</v>
      </c>
      <c r="BB82" s="5">
        <v>2374</v>
      </c>
      <c r="BC82" s="5">
        <v>2386.8000000000002</v>
      </c>
      <c r="BD82" s="5">
        <v>2383.25</v>
      </c>
      <c r="BE82" s="5">
        <v>2399.9499999999998</v>
      </c>
      <c r="BF82" s="5">
        <v>2409</v>
      </c>
      <c r="BG82" s="5">
        <v>2395</v>
      </c>
      <c r="BH82" s="5">
        <v>2372.4499999999998</v>
      </c>
      <c r="BI82" s="5">
        <v>2377.4499999999998</v>
      </c>
      <c r="BJ82" s="5" t="str">
        <f t="shared" si="23"/>
        <v>-</v>
      </c>
      <c r="BK82" t="str">
        <f t="shared" si="24"/>
        <v/>
      </c>
      <c r="BM82" t="s">
        <v>24</v>
      </c>
      <c r="BN82" t="s">
        <v>185</v>
      </c>
      <c r="BO82">
        <v>2288.9499999999998</v>
      </c>
      <c r="BP82">
        <v>2243.75</v>
      </c>
      <c r="BQ82">
        <v>2273.5</v>
      </c>
      <c r="BR82">
        <v>2243.1999999999998</v>
      </c>
      <c r="BS82">
        <v>2389.6001000000001</v>
      </c>
      <c r="BT82">
        <v>2381.6498999999999</v>
      </c>
      <c r="BU82">
        <v>2386.8000000000002</v>
      </c>
      <c r="BV82">
        <v>2409</v>
      </c>
      <c r="BW82" s="5" t="str">
        <f t="shared" si="25"/>
        <v>-</v>
      </c>
      <c r="BX82" t="str">
        <f t="shared" si="14"/>
        <v/>
      </c>
      <c r="BZ82" t="str">
        <f t="shared" si="15"/>
        <v/>
      </c>
    </row>
    <row r="83" spans="2:78" x14ac:dyDescent="0.3">
      <c r="B83" s="28" t="s">
        <v>821</v>
      </c>
      <c r="C83" s="28" t="s">
        <v>821</v>
      </c>
      <c r="D83" s="28" t="s">
        <v>821</v>
      </c>
      <c r="E83" s="30" t="s">
        <v>821</v>
      </c>
      <c r="F83" s="11"/>
      <c r="G83" s="11"/>
      <c r="H83" s="36"/>
      <c r="I83" s="28">
        <v>1289.2</v>
      </c>
      <c r="J83" s="28">
        <v>840.8</v>
      </c>
      <c r="K83" s="30">
        <v>1121.05</v>
      </c>
      <c r="L83" s="10">
        <v>1</v>
      </c>
      <c r="M83" s="12" t="str">
        <f>IFERROR(IF(AND(#REF!="sell",B83&gt;=AI83),"sell",""),"")</f>
        <v/>
      </c>
      <c r="O83" s="10" t="str">
        <f>IFERROR(IF(AND(#REF!="equal",C83&gt;AI83,#REF!="overbought"),"sell",""),"")</f>
        <v/>
      </c>
      <c r="S83" t="str">
        <f>IFERROR(IF(AND(#REF!="sell",C83&gt;=#REF!),"sell",""),"")</f>
        <v/>
      </c>
      <c r="W83" s="40" t="e">
        <f t="shared" si="16"/>
        <v>#VALUE!</v>
      </c>
      <c r="X83" s="12" t="str">
        <f>IF(S83="sell",#REF!-E83,"")</f>
        <v/>
      </c>
      <c r="AA83" s="12" t="s">
        <v>187</v>
      </c>
      <c r="AB83" s="12">
        <v>1113</v>
      </c>
      <c r="AC83">
        <v>1114.25</v>
      </c>
      <c r="AD83" s="12">
        <v>1116.0999999999999</v>
      </c>
      <c r="AE83" s="12">
        <v>1117.2750000000001</v>
      </c>
      <c r="AF83" s="12">
        <f t="shared" si="17"/>
        <v>1065</v>
      </c>
      <c r="AG83" s="12">
        <f t="shared" si="18"/>
        <v>20.116510631816844</v>
      </c>
      <c r="AH83" s="12">
        <f t="shared" si="19"/>
        <v>1105.125</v>
      </c>
      <c r="AI83" s="12">
        <f t="shared" si="20"/>
        <v>1145.3580212636336</v>
      </c>
      <c r="AJ83" s="12">
        <f t="shared" si="21"/>
        <v>1064.8919787363664</v>
      </c>
      <c r="AK83" t="str">
        <f t="shared" si="22"/>
        <v>sell</v>
      </c>
      <c r="BA83" t="s">
        <v>187</v>
      </c>
      <c r="BB83" s="5">
        <v>1125.9000000000001</v>
      </c>
      <c r="BC83" s="5">
        <v>1137</v>
      </c>
      <c r="BD83" s="5">
        <v>1135</v>
      </c>
      <c r="BE83" s="5">
        <v>1147.8</v>
      </c>
      <c r="BF83" s="5">
        <v>1135.2</v>
      </c>
      <c r="BG83" s="5">
        <v>1123.55</v>
      </c>
      <c r="BH83" s="5">
        <v>1121</v>
      </c>
      <c r="BI83" s="5">
        <v>1130.5999999999999</v>
      </c>
      <c r="BJ83" s="5" t="str">
        <f t="shared" si="23"/>
        <v>-</v>
      </c>
      <c r="BK83" t="str">
        <f t="shared" si="24"/>
        <v/>
      </c>
      <c r="BM83" t="s">
        <v>24</v>
      </c>
      <c r="BN83" t="s">
        <v>187</v>
      </c>
      <c r="BO83">
        <v>1116.55</v>
      </c>
      <c r="BP83">
        <v>1106.1500000000001</v>
      </c>
      <c r="BQ83">
        <v>1125.6500000000001</v>
      </c>
      <c r="BR83">
        <v>1169.55</v>
      </c>
      <c r="BS83">
        <v>1158.45</v>
      </c>
      <c r="BT83">
        <v>1144</v>
      </c>
      <c r="BU83">
        <v>1137</v>
      </c>
      <c r="BV83">
        <v>1147.8</v>
      </c>
      <c r="BW83" s="5" t="str">
        <f t="shared" si="25"/>
        <v>-</v>
      </c>
      <c r="BX83" t="str">
        <f t="shared" si="14"/>
        <v/>
      </c>
      <c r="BZ83" t="str">
        <f t="shared" si="15"/>
        <v/>
      </c>
    </row>
    <row r="84" spans="2:78" x14ac:dyDescent="0.3">
      <c r="B84" s="28" t="s">
        <v>821</v>
      </c>
      <c r="C84" s="28" t="s">
        <v>821</v>
      </c>
      <c r="D84" s="28" t="s">
        <v>821</v>
      </c>
      <c r="E84" s="30" t="s">
        <v>821</v>
      </c>
      <c r="F84" s="11"/>
      <c r="G84" s="11"/>
      <c r="H84" s="36"/>
      <c r="I84" s="28">
        <v>1597.3</v>
      </c>
      <c r="J84" s="28">
        <v>1422.7</v>
      </c>
      <c r="K84" s="30">
        <v>1580.75</v>
      </c>
      <c r="L84" s="10">
        <v>1</v>
      </c>
      <c r="M84" s="12" t="str">
        <f>IFERROR(IF(AND(#REF!="sell",B84&gt;=AI84),"sell",""),"")</f>
        <v/>
      </c>
      <c r="O84" s="10" t="str">
        <f>IFERROR(IF(AND(#REF!="equal",C84&gt;AI84,#REF!="overbought"),"sell",""),"")</f>
        <v/>
      </c>
      <c r="S84" t="str">
        <f>IFERROR(IF(AND(#REF!="sell",C84&gt;=#REF!),"sell",""),"")</f>
        <v/>
      </c>
      <c r="W84" s="40" t="e">
        <f t="shared" si="16"/>
        <v>#VALUE!</v>
      </c>
      <c r="X84" s="12" t="str">
        <f>IF(S84="sell",#REF!-E84,"")</f>
        <v/>
      </c>
      <c r="AA84" s="12" t="s">
        <v>189</v>
      </c>
      <c r="AB84" s="12">
        <v>1586.2249999999999</v>
      </c>
      <c r="AC84">
        <v>1585.0500000000002</v>
      </c>
      <c r="AD84" s="12">
        <v>1586.8</v>
      </c>
      <c r="AE84" s="12">
        <v>1590.9749999999999</v>
      </c>
      <c r="AF84" s="12">
        <f t="shared" si="17"/>
        <v>1510</v>
      </c>
      <c r="AG84" s="12">
        <f t="shared" si="18"/>
        <v>30.969543910106257</v>
      </c>
      <c r="AH84" s="12">
        <f t="shared" si="19"/>
        <v>1571.81</v>
      </c>
      <c r="AI84" s="12">
        <f t="shared" si="20"/>
        <v>1633.7490878202125</v>
      </c>
      <c r="AJ84" s="12">
        <f t="shared" si="21"/>
        <v>1509.8709121797874</v>
      </c>
      <c r="AK84" t="str">
        <f t="shared" si="22"/>
        <v>sell</v>
      </c>
      <c r="BA84" t="s">
        <v>189</v>
      </c>
      <c r="BB84" s="5">
        <v>1651.35</v>
      </c>
      <c r="BC84" s="5">
        <v>1664.95</v>
      </c>
      <c r="BD84" s="5">
        <v>1673.1</v>
      </c>
      <c r="BE84" s="5">
        <v>1666.95</v>
      </c>
      <c r="BF84" s="5">
        <v>1643.55</v>
      </c>
      <c r="BG84" s="5">
        <v>1640.25</v>
      </c>
      <c r="BH84" s="5">
        <v>1608.9</v>
      </c>
      <c r="BI84" s="5">
        <v>1598.25</v>
      </c>
      <c r="BJ84" s="5" t="str">
        <f t="shared" si="23"/>
        <v>-</v>
      </c>
      <c r="BK84" t="str">
        <f t="shared" si="24"/>
        <v/>
      </c>
      <c r="BM84" t="s">
        <v>24</v>
      </c>
      <c r="BN84" t="s">
        <v>189</v>
      </c>
      <c r="BO84">
        <v>1728</v>
      </c>
      <c r="BP84">
        <v>1747</v>
      </c>
      <c r="BQ84">
        <v>1723.95</v>
      </c>
      <c r="BR84">
        <v>1735.3</v>
      </c>
      <c r="BS84">
        <v>1731</v>
      </c>
      <c r="BT84">
        <v>1700.25</v>
      </c>
      <c r="BU84">
        <v>1675.9</v>
      </c>
      <c r="BV84">
        <v>1666.95</v>
      </c>
      <c r="BW84" s="5" t="str">
        <f t="shared" si="25"/>
        <v>-</v>
      </c>
      <c r="BX84" t="str">
        <f t="shared" si="14"/>
        <v/>
      </c>
      <c r="BZ84" t="str">
        <f t="shared" si="15"/>
        <v/>
      </c>
    </row>
    <row r="85" spans="2:78" x14ac:dyDescent="0.3">
      <c r="B85" s="28" t="s">
        <v>821</v>
      </c>
      <c r="C85" s="28" t="s">
        <v>821</v>
      </c>
      <c r="D85" s="28" t="s">
        <v>821</v>
      </c>
      <c r="E85" s="30" t="s">
        <v>821</v>
      </c>
      <c r="F85" s="11"/>
      <c r="G85" s="11"/>
      <c r="H85" s="36"/>
      <c r="I85" s="28">
        <v>599.95000000000005</v>
      </c>
      <c r="J85" s="28">
        <v>492.65</v>
      </c>
      <c r="K85" s="30">
        <v>545.45000000000005</v>
      </c>
      <c r="L85" s="10">
        <v>1</v>
      </c>
      <c r="M85" s="12" t="str">
        <f>IFERROR(IF(AND(#REF!="sell",B85&gt;=AI85),"sell",""),"")</f>
        <v/>
      </c>
      <c r="O85" s="10" t="str">
        <f>IFERROR(IF(AND(#REF!="equal",C85&gt;AI85,#REF!="overbought"),"sell",""),"")</f>
        <v/>
      </c>
      <c r="S85" t="str">
        <f>IFERROR(IF(AND(#REF!="sell",C85&gt;=#REF!),"sell",""),"")</f>
        <v/>
      </c>
      <c r="W85" s="40" t="e">
        <f t="shared" si="16"/>
        <v>#VALUE!</v>
      </c>
      <c r="X85" s="12" t="str">
        <f>IF(S85="sell",#REF!-E85,"")</f>
        <v/>
      </c>
      <c r="AA85" s="12" t="s">
        <v>191</v>
      </c>
      <c r="AB85" s="12">
        <v>547.79999999999995</v>
      </c>
      <c r="AC85">
        <v>548.75</v>
      </c>
      <c r="AD85" s="12">
        <v>550.4</v>
      </c>
      <c r="AE85" s="12">
        <v>550.92499999999995</v>
      </c>
      <c r="AF85" s="12">
        <f t="shared" si="17"/>
        <v>546.29999999999995</v>
      </c>
      <c r="AG85" s="12">
        <f t="shared" si="18"/>
        <v>1.6924538398432061</v>
      </c>
      <c r="AH85" s="12">
        <f t="shared" si="19"/>
        <v>548.83500000000004</v>
      </c>
      <c r="AI85" s="12">
        <f t="shared" si="20"/>
        <v>552.21990767968646</v>
      </c>
      <c r="AJ85" s="12">
        <f t="shared" si="21"/>
        <v>545.45009232031362</v>
      </c>
      <c r="AK85" t="str">
        <f t="shared" si="22"/>
        <v>sell</v>
      </c>
      <c r="BA85" t="s">
        <v>191</v>
      </c>
      <c r="BB85" s="5">
        <v>582.25</v>
      </c>
      <c r="BC85" s="5">
        <v>585.90002000000004</v>
      </c>
      <c r="BD85" s="5">
        <v>588.84997999999996</v>
      </c>
      <c r="BE85" s="5">
        <v>583.5</v>
      </c>
      <c r="BF85" s="5">
        <v>586.95001000000002</v>
      </c>
      <c r="BG85" s="5">
        <v>580</v>
      </c>
      <c r="BH85" s="5">
        <v>562.95001000000002</v>
      </c>
      <c r="BI85" s="5">
        <v>554.20001000000002</v>
      </c>
      <c r="BJ85" s="5" t="str">
        <f t="shared" si="23"/>
        <v>-</v>
      </c>
      <c r="BK85" t="str">
        <f t="shared" si="24"/>
        <v/>
      </c>
      <c r="BM85" t="s">
        <v>24</v>
      </c>
      <c r="BN85" t="s">
        <v>191</v>
      </c>
      <c r="BO85">
        <v>640.84997999999996</v>
      </c>
      <c r="BP85">
        <v>624.75</v>
      </c>
      <c r="BQ85">
        <v>599</v>
      </c>
      <c r="BR85">
        <v>585</v>
      </c>
      <c r="BS85">
        <v>593.84997999999996</v>
      </c>
      <c r="BT85">
        <v>604.65002000000004</v>
      </c>
      <c r="BU85">
        <v>592.70001000000002</v>
      </c>
      <c r="BV85">
        <v>586.95001000000002</v>
      </c>
      <c r="BW85" s="5" t="str">
        <f t="shared" si="25"/>
        <v>-</v>
      </c>
      <c r="BX85" t="str">
        <f t="shared" si="14"/>
        <v/>
      </c>
      <c r="BZ85" t="str">
        <f t="shared" si="15"/>
        <v/>
      </c>
    </row>
    <row r="86" spans="2:78" x14ac:dyDescent="0.3">
      <c r="B86" s="28" t="s">
        <v>821</v>
      </c>
      <c r="C86" s="28" t="s">
        <v>821</v>
      </c>
      <c r="D86" s="28" t="s">
        <v>821</v>
      </c>
      <c r="E86" s="30" t="s">
        <v>821</v>
      </c>
      <c r="F86" s="11"/>
      <c r="G86" s="11"/>
      <c r="H86" s="36"/>
      <c r="I86" s="28">
        <v>18.3</v>
      </c>
      <c r="J86" s="28">
        <v>13.75</v>
      </c>
      <c r="K86" s="30">
        <v>15.25</v>
      </c>
      <c r="L86" s="10">
        <v>1</v>
      </c>
      <c r="M86" s="12" t="str">
        <f>IFERROR(IF(AND(#REF!="sell",B86&gt;=AI86),"sell",""),"")</f>
        <v/>
      </c>
      <c r="O86" s="10" t="str">
        <f>IFERROR(IF(AND(#REF!="equal",C86&gt;AI86,#REF!="overbought"),"sell",""),"")</f>
        <v/>
      </c>
      <c r="S86" t="str">
        <f>IFERROR(IF(AND(#REF!="sell",C86&gt;=#REF!),"sell",""),"")</f>
        <v/>
      </c>
      <c r="W86" s="40" t="e">
        <f t="shared" si="16"/>
        <v>#VALUE!</v>
      </c>
      <c r="X86" s="12" t="str">
        <f>IF(S86="sell",#REF!-E86,"")</f>
        <v/>
      </c>
      <c r="AA86" s="12" t="s">
        <v>193</v>
      </c>
      <c r="AB86" s="12">
        <v>14.600000000000001</v>
      </c>
      <c r="AC86">
        <v>14.574999999999999</v>
      </c>
      <c r="AD86" s="12">
        <v>14.55</v>
      </c>
      <c r="AE86" s="12">
        <v>14.574999999999999</v>
      </c>
      <c r="AF86" s="12">
        <f t="shared" si="17"/>
        <v>16.024999999999999</v>
      </c>
      <c r="AG86" s="12">
        <f t="shared" si="18"/>
        <v>0.58021547721514577</v>
      </c>
      <c r="AH86" s="12">
        <f t="shared" si="19"/>
        <v>14.864999999999998</v>
      </c>
      <c r="AI86" s="12">
        <f t="shared" si="20"/>
        <v>16.025430954430291</v>
      </c>
      <c r="AJ86" s="12">
        <f t="shared" si="21"/>
        <v>13.704569045569707</v>
      </c>
      <c r="AK86" t="str">
        <f t="shared" si="22"/>
        <v>sell</v>
      </c>
      <c r="BA86" t="s">
        <v>193</v>
      </c>
      <c r="BB86" s="5">
        <v>13.8</v>
      </c>
      <c r="BC86" s="5">
        <v>14.1</v>
      </c>
      <c r="BD86" s="5">
        <v>15.7</v>
      </c>
      <c r="BE86" s="5">
        <v>15.45</v>
      </c>
      <c r="BF86" s="5">
        <v>15.1</v>
      </c>
      <c r="BG86" s="5">
        <v>14.9</v>
      </c>
      <c r="BH86" s="5">
        <v>15.05</v>
      </c>
      <c r="BI86" s="5">
        <v>15.45</v>
      </c>
      <c r="BJ86" s="5" t="str">
        <f t="shared" si="23"/>
        <v>-</v>
      </c>
      <c r="BK86" t="str">
        <f t="shared" si="24"/>
        <v/>
      </c>
      <c r="BM86" t="s">
        <v>24</v>
      </c>
      <c r="BN86" t="s">
        <v>193</v>
      </c>
      <c r="BO86">
        <v>13.9</v>
      </c>
      <c r="BP86">
        <v>13.55</v>
      </c>
      <c r="BQ86">
        <v>14.75</v>
      </c>
      <c r="BR86">
        <v>14.3</v>
      </c>
      <c r="BS86">
        <v>13.3</v>
      </c>
      <c r="BT86">
        <v>13.65</v>
      </c>
      <c r="BU86">
        <v>15.7</v>
      </c>
      <c r="BV86">
        <v>15.45</v>
      </c>
      <c r="BW86" s="5" t="str">
        <f t="shared" si="25"/>
        <v>-</v>
      </c>
      <c r="BX86" t="str">
        <f t="shared" si="14"/>
        <v>Pivot sell</v>
      </c>
      <c r="BZ86" t="str">
        <f t="shared" si="15"/>
        <v/>
      </c>
    </row>
    <row r="87" spans="2:78" x14ac:dyDescent="0.3">
      <c r="B87" s="28" t="s">
        <v>821</v>
      </c>
      <c r="C87" s="28" t="s">
        <v>821</v>
      </c>
      <c r="D87" s="28" t="s">
        <v>821</v>
      </c>
      <c r="E87" s="30" t="s">
        <v>821</v>
      </c>
      <c r="F87" s="11"/>
      <c r="G87" s="11"/>
      <c r="H87" s="36"/>
      <c r="I87" s="28">
        <v>124.65</v>
      </c>
      <c r="J87" s="28">
        <v>104</v>
      </c>
      <c r="K87" s="30">
        <v>113.35</v>
      </c>
      <c r="L87" s="10">
        <v>1</v>
      </c>
      <c r="M87" s="12" t="str">
        <f>IFERROR(IF(AND(#REF!="sell",B87&gt;=AI87),"sell",""),"")</f>
        <v/>
      </c>
      <c r="O87" s="10" t="str">
        <f>IFERROR(IF(AND(#REF!="equal",C87&gt;AI87,#REF!="overbought"),"sell",""),"")</f>
        <v/>
      </c>
      <c r="S87" t="str">
        <f>IFERROR(IF(AND(#REF!="sell",C87&gt;=#REF!),"sell",""),"")</f>
        <v/>
      </c>
      <c r="W87" s="40" t="e">
        <f t="shared" si="16"/>
        <v>#VALUE!</v>
      </c>
      <c r="X87" s="12" t="str">
        <f>IF(S87="sell",#REF!-E87,"")</f>
        <v/>
      </c>
      <c r="AA87" s="12" t="s">
        <v>195</v>
      </c>
      <c r="AB87" s="12">
        <v>113.575</v>
      </c>
      <c r="AC87">
        <v>113.825</v>
      </c>
      <c r="AD87" s="12">
        <v>114.1</v>
      </c>
      <c r="AE87" s="12">
        <v>114.2</v>
      </c>
      <c r="AF87" s="12">
        <f t="shared" si="17"/>
        <v>114.325</v>
      </c>
      <c r="AG87" s="12">
        <f t="shared" si="18"/>
        <v>0.27083205127901622</v>
      </c>
      <c r="AH87" s="12">
        <f t="shared" si="19"/>
        <v>114.005</v>
      </c>
      <c r="AI87" s="12">
        <f t="shared" si="20"/>
        <v>114.54666410255803</v>
      </c>
      <c r="AJ87" s="12">
        <f t="shared" si="21"/>
        <v>113.46333589744197</v>
      </c>
      <c r="AK87" t="str">
        <f t="shared" si="22"/>
        <v>sell</v>
      </c>
      <c r="BA87" t="s">
        <v>195</v>
      </c>
      <c r="BB87" s="5">
        <v>115.4</v>
      </c>
      <c r="BC87" s="5">
        <v>115.6</v>
      </c>
      <c r="BD87" s="5">
        <v>116.55</v>
      </c>
      <c r="BE87" s="5">
        <v>117.4</v>
      </c>
      <c r="BF87" s="5">
        <v>117.55</v>
      </c>
      <c r="BG87" s="5">
        <v>115.9</v>
      </c>
      <c r="BH87" s="5">
        <v>114.95</v>
      </c>
      <c r="BI87" s="5">
        <v>115.55</v>
      </c>
      <c r="BJ87" s="5" t="str">
        <f t="shared" si="23"/>
        <v>-</v>
      </c>
      <c r="BK87" t="str">
        <f t="shared" si="24"/>
        <v/>
      </c>
      <c r="BM87" t="s">
        <v>24</v>
      </c>
      <c r="BN87" t="s">
        <v>195</v>
      </c>
      <c r="BO87">
        <v>125.5</v>
      </c>
      <c r="BP87">
        <v>125.2</v>
      </c>
      <c r="BQ87">
        <v>128.69999999999999</v>
      </c>
      <c r="BR87">
        <v>123</v>
      </c>
      <c r="BS87">
        <v>120.1</v>
      </c>
      <c r="BT87">
        <v>114.85</v>
      </c>
      <c r="BU87">
        <v>116.55</v>
      </c>
      <c r="BV87">
        <v>117.55</v>
      </c>
      <c r="BW87" s="5" t="str">
        <f t="shared" si="25"/>
        <v>-</v>
      </c>
      <c r="BX87" t="str">
        <f t="shared" si="14"/>
        <v/>
      </c>
      <c r="BZ87" t="str">
        <f t="shared" si="15"/>
        <v/>
      </c>
    </row>
    <row r="88" spans="2:78" x14ac:dyDescent="0.3">
      <c r="B88" s="28" t="s">
        <v>821</v>
      </c>
      <c r="C88" s="28" t="s">
        <v>821</v>
      </c>
      <c r="D88" s="28" t="s">
        <v>821</v>
      </c>
      <c r="E88" s="30" t="s">
        <v>821</v>
      </c>
      <c r="F88" s="11"/>
      <c r="G88" s="11"/>
      <c r="H88" s="36"/>
      <c r="I88" s="28">
        <v>84</v>
      </c>
      <c r="J88" s="28">
        <v>65</v>
      </c>
      <c r="K88" s="30">
        <v>76.400000000000006</v>
      </c>
      <c r="L88" s="10">
        <v>1</v>
      </c>
      <c r="M88" s="12" t="str">
        <f>IFERROR(IF(AND(#REF!="sell",B88&gt;=AI88),"sell",""),"")</f>
        <v/>
      </c>
      <c r="O88" s="10" t="str">
        <f>IFERROR(IF(AND(#REF!="equal",C88&gt;AI88,#REF!="overbought"),"sell",""),"")</f>
        <v/>
      </c>
      <c r="S88" t="str">
        <f>IFERROR(IF(AND(#REF!="sell",C88&gt;=#REF!),"sell",""),"")</f>
        <v/>
      </c>
      <c r="W88" s="40" t="e">
        <f t="shared" si="16"/>
        <v>#VALUE!</v>
      </c>
      <c r="X88" s="12" t="str">
        <f>IF(S88="sell",#REF!-E88,"")</f>
        <v/>
      </c>
      <c r="AA88" s="12" t="s">
        <v>197</v>
      </c>
      <c r="AB88" s="12">
        <v>77.400000000000006</v>
      </c>
      <c r="AC88">
        <v>77.575000000000003</v>
      </c>
      <c r="AD88" s="12">
        <v>77.8</v>
      </c>
      <c r="AE88" s="12">
        <v>78.025000000000006</v>
      </c>
      <c r="AF88" s="12">
        <f t="shared" si="17"/>
        <v>74.5</v>
      </c>
      <c r="AG88" s="12">
        <f t="shared" si="18"/>
        <v>1.2971699965694561</v>
      </c>
      <c r="AH88" s="12">
        <f t="shared" si="19"/>
        <v>77.060000000000016</v>
      </c>
      <c r="AI88" s="12">
        <f t="shared" si="20"/>
        <v>79.654339993138933</v>
      </c>
      <c r="AJ88" s="12">
        <f t="shared" si="21"/>
        <v>74.4656600068611</v>
      </c>
      <c r="AK88" t="str">
        <f t="shared" si="22"/>
        <v>sell</v>
      </c>
      <c r="BA88" t="s">
        <v>197</v>
      </c>
      <c r="BB88" s="5">
        <v>77.699996999999996</v>
      </c>
      <c r="BC88" s="5">
        <v>78.349997999999999</v>
      </c>
      <c r="BD88" s="5">
        <v>78.900002000000001</v>
      </c>
      <c r="BE88" s="5">
        <v>79.349997999999999</v>
      </c>
      <c r="BF88" s="5">
        <v>79.599997999999999</v>
      </c>
      <c r="BG88" s="5">
        <v>78.550003000000004</v>
      </c>
      <c r="BH88" s="5">
        <v>78.150002000000001</v>
      </c>
      <c r="BI88" s="5">
        <v>78.699996999999996</v>
      </c>
      <c r="BJ88" s="5" t="str">
        <f t="shared" si="23"/>
        <v>-</v>
      </c>
      <c r="BK88" t="str">
        <f t="shared" si="24"/>
        <v/>
      </c>
      <c r="BM88" t="s">
        <v>24</v>
      </c>
      <c r="BN88" t="s">
        <v>197</v>
      </c>
      <c r="BO88">
        <v>85.349997999999999</v>
      </c>
      <c r="BP88">
        <v>84.599997999999999</v>
      </c>
      <c r="BQ88">
        <v>86.099997999999999</v>
      </c>
      <c r="BR88">
        <v>83.5</v>
      </c>
      <c r="BS88">
        <v>81.449996999999996</v>
      </c>
      <c r="BT88">
        <v>77.900002000000001</v>
      </c>
      <c r="BU88">
        <v>78.900002000000001</v>
      </c>
      <c r="BV88">
        <v>79.599997999999999</v>
      </c>
      <c r="BW88" s="5" t="str">
        <f t="shared" si="25"/>
        <v>-</v>
      </c>
      <c r="BX88" t="str">
        <f t="shared" si="14"/>
        <v/>
      </c>
      <c r="BZ88" t="str">
        <f t="shared" si="15"/>
        <v/>
      </c>
    </row>
    <row r="89" spans="2:78" x14ac:dyDescent="0.3">
      <c r="B89" s="28" t="s">
        <v>821</v>
      </c>
      <c r="C89" s="28" t="s">
        <v>821</v>
      </c>
      <c r="D89" s="28" t="s">
        <v>821</v>
      </c>
      <c r="E89" s="30" t="s">
        <v>821</v>
      </c>
      <c r="F89" s="11"/>
      <c r="G89" s="11"/>
      <c r="H89" s="36"/>
      <c r="I89" s="28">
        <v>165</v>
      </c>
      <c r="J89" s="28">
        <v>137.85</v>
      </c>
      <c r="K89" s="30">
        <v>153.15</v>
      </c>
      <c r="L89" s="10">
        <v>1</v>
      </c>
      <c r="M89" s="12" t="str">
        <f>IFERROR(IF(AND(#REF!="sell",B89&gt;=AI89),"sell",""),"")</f>
        <v/>
      </c>
      <c r="O89" s="10" t="str">
        <f>IFERROR(IF(AND(#REF!="equal",C89&gt;AI89,#REF!="overbought"),"sell",""),"")</f>
        <v/>
      </c>
      <c r="S89" t="str">
        <f>IFERROR(IF(AND(#REF!="sell",C89&gt;=#REF!),"sell",""),"")</f>
        <v/>
      </c>
      <c r="W89" s="40" t="e">
        <f t="shared" si="16"/>
        <v>#VALUE!</v>
      </c>
      <c r="X89" s="12" t="str">
        <f>IF(S89="sell",#REF!-E89,"")</f>
        <v/>
      </c>
      <c r="AA89" s="12" t="s">
        <v>199</v>
      </c>
      <c r="AB89" s="12">
        <v>154.19999999999999</v>
      </c>
      <c r="AC89">
        <v>153.92500000000001</v>
      </c>
      <c r="AD89" s="12">
        <v>154.69999999999999</v>
      </c>
      <c r="AE89" s="12">
        <v>155.05000000000001</v>
      </c>
      <c r="AF89" s="12">
        <f t="shared" si="17"/>
        <v>151.42500000000001</v>
      </c>
      <c r="AG89" s="12">
        <f t="shared" si="18"/>
        <v>1.278338765742473</v>
      </c>
      <c r="AH89" s="12">
        <f t="shared" si="19"/>
        <v>153.85999999999999</v>
      </c>
      <c r="AI89" s="12">
        <f t="shared" si="20"/>
        <v>156.41667753148494</v>
      </c>
      <c r="AJ89" s="12">
        <f t="shared" si="21"/>
        <v>151.30332246851503</v>
      </c>
      <c r="AK89" t="str">
        <f t="shared" si="22"/>
        <v>sell</v>
      </c>
      <c r="BA89" t="s">
        <v>199</v>
      </c>
      <c r="BB89" s="5">
        <v>161.89999</v>
      </c>
      <c r="BC89" s="5">
        <v>156.60001</v>
      </c>
      <c r="BD89" s="5">
        <v>159.14999</v>
      </c>
      <c r="BE89" s="5">
        <v>163.95</v>
      </c>
      <c r="BF89" s="5">
        <v>162</v>
      </c>
      <c r="BG89" s="5">
        <v>158.30000000000001</v>
      </c>
      <c r="BH89" s="5">
        <v>157.5</v>
      </c>
      <c r="BI89" s="5">
        <v>155.64999</v>
      </c>
      <c r="BJ89" s="5" t="str">
        <f t="shared" si="23"/>
        <v>-</v>
      </c>
      <c r="BK89" t="str">
        <f t="shared" si="24"/>
        <v/>
      </c>
      <c r="BM89" t="s">
        <v>24</v>
      </c>
      <c r="BN89" t="s">
        <v>199</v>
      </c>
      <c r="BO89">
        <v>154.60001</v>
      </c>
      <c r="BP89">
        <v>150</v>
      </c>
      <c r="BQ89">
        <v>160.5</v>
      </c>
      <c r="BR89">
        <v>161.35001</v>
      </c>
      <c r="BS89">
        <v>159.75</v>
      </c>
      <c r="BT89">
        <v>158.94999999999999</v>
      </c>
      <c r="BU89">
        <v>166.39999</v>
      </c>
      <c r="BV89">
        <v>163.95</v>
      </c>
      <c r="BW89" s="5" t="str">
        <f t="shared" si="25"/>
        <v>-</v>
      </c>
      <c r="BX89" t="str">
        <f t="shared" si="14"/>
        <v>Pivot sell</v>
      </c>
      <c r="BZ89" t="str">
        <f t="shared" si="15"/>
        <v/>
      </c>
    </row>
    <row r="90" spans="2:78" x14ac:dyDescent="0.3">
      <c r="B90" s="28" t="s">
        <v>821</v>
      </c>
      <c r="C90" s="28" t="s">
        <v>821</v>
      </c>
      <c r="D90" s="28" t="s">
        <v>821</v>
      </c>
      <c r="E90" s="30" t="s">
        <v>821</v>
      </c>
      <c r="F90" s="11"/>
      <c r="G90" s="11"/>
      <c r="H90" s="36"/>
      <c r="I90" s="28">
        <v>455.25</v>
      </c>
      <c r="J90" s="28">
        <v>397.75</v>
      </c>
      <c r="K90" s="30">
        <v>441.95</v>
      </c>
      <c r="L90" s="10">
        <v>1</v>
      </c>
      <c r="M90" s="12" t="str">
        <f>IFERROR(IF(AND(#REF!="sell",B90&gt;=AI90),"sell",""),"")</f>
        <v/>
      </c>
      <c r="O90" s="10" t="str">
        <f>IFERROR(IF(AND(#REF!="equal",C90&gt;AI90,#REF!="overbought"),"sell",""),"")</f>
        <v/>
      </c>
      <c r="S90" t="str">
        <f>IFERROR(IF(AND(#REF!="sell",C90&gt;=#REF!),"sell",""),"")</f>
        <v/>
      </c>
      <c r="W90" s="40" t="e">
        <f t="shared" si="16"/>
        <v>#VALUE!</v>
      </c>
      <c r="X90" s="12" t="str">
        <f>IF(S90="sell",#REF!-E90,"")</f>
        <v/>
      </c>
      <c r="AA90" s="12" t="s">
        <v>201</v>
      </c>
      <c r="AB90" s="12">
        <v>455.52499999999998</v>
      </c>
      <c r="AC90">
        <v>455.45</v>
      </c>
      <c r="AD90" s="12">
        <v>456.5</v>
      </c>
      <c r="AE90" s="12">
        <v>457.97500000000002</v>
      </c>
      <c r="AF90" s="12">
        <f t="shared" si="17"/>
        <v>426.5</v>
      </c>
      <c r="AG90" s="12">
        <f t="shared" si="18"/>
        <v>11.979718277154936</v>
      </c>
      <c r="AH90" s="12">
        <f t="shared" si="19"/>
        <v>450.39</v>
      </c>
      <c r="AI90" s="12">
        <f t="shared" si="20"/>
        <v>474.34943655430988</v>
      </c>
      <c r="AJ90" s="12">
        <f t="shared" si="21"/>
        <v>426.4305634456901</v>
      </c>
      <c r="AK90" t="str">
        <f t="shared" si="22"/>
        <v>sell</v>
      </c>
      <c r="BA90" t="s">
        <v>201</v>
      </c>
      <c r="BB90" s="5">
        <v>443.79998999999998</v>
      </c>
      <c r="BC90" s="5">
        <v>455.25</v>
      </c>
      <c r="BD90" s="5">
        <v>465.89999</v>
      </c>
      <c r="BE90" s="5">
        <v>469.20001000000002</v>
      </c>
      <c r="BF90" s="5">
        <v>477</v>
      </c>
      <c r="BG90" s="5">
        <v>473.45001000000002</v>
      </c>
      <c r="BH90" s="5">
        <v>463.25</v>
      </c>
      <c r="BI90" s="5">
        <v>455.39999</v>
      </c>
      <c r="BJ90" s="5" t="str">
        <f t="shared" si="23"/>
        <v>-</v>
      </c>
      <c r="BK90" t="str">
        <f t="shared" si="24"/>
        <v/>
      </c>
      <c r="BM90" t="s">
        <v>24</v>
      </c>
      <c r="BN90" t="s">
        <v>201</v>
      </c>
      <c r="BO90">
        <v>482.70001000000002</v>
      </c>
      <c r="BP90">
        <v>489</v>
      </c>
      <c r="BQ90">
        <v>463.64999</v>
      </c>
      <c r="BR90">
        <v>477.75</v>
      </c>
      <c r="BS90">
        <v>468.39999</v>
      </c>
      <c r="BT90">
        <v>450.89999</v>
      </c>
      <c r="BU90">
        <v>465.89999</v>
      </c>
      <c r="BV90">
        <v>477</v>
      </c>
      <c r="BW90" s="5" t="str">
        <f t="shared" si="25"/>
        <v>-</v>
      </c>
      <c r="BX90" t="str">
        <f t="shared" si="14"/>
        <v/>
      </c>
      <c r="BZ90" t="str">
        <f t="shared" si="15"/>
        <v/>
      </c>
    </row>
    <row r="91" spans="2:78" x14ac:dyDescent="0.3">
      <c r="B91" s="28" t="s">
        <v>821</v>
      </c>
      <c r="C91" s="28" t="s">
        <v>821</v>
      </c>
      <c r="D91" s="28" t="s">
        <v>821</v>
      </c>
      <c r="E91" s="30" t="s">
        <v>821</v>
      </c>
      <c r="F91" s="11"/>
      <c r="G91" s="11"/>
      <c r="H91" s="36"/>
      <c r="I91" s="28">
        <v>613.1</v>
      </c>
      <c r="J91" s="28">
        <v>524.15</v>
      </c>
      <c r="K91" s="30">
        <v>557.4</v>
      </c>
      <c r="L91" s="10">
        <v>1</v>
      </c>
      <c r="M91" s="12" t="str">
        <f>IFERROR(IF(AND(#REF!="sell",B91&gt;=AI91),"sell",""),"")</f>
        <v/>
      </c>
      <c r="O91" s="10" t="str">
        <f>IFERROR(IF(AND(#REF!="equal",C91&gt;AI91,#REF!="overbought"),"sell",""),"")</f>
        <v/>
      </c>
      <c r="S91" t="str">
        <f>IFERROR(IF(AND(#REF!="sell",C91&gt;=#REF!),"sell",""),"")</f>
        <v/>
      </c>
      <c r="W91" s="40" t="e">
        <f t="shared" si="16"/>
        <v>#VALUE!</v>
      </c>
      <c r="X91" s="12" t="str">
        <f>IF(S91="sell",#REF!-E91,"")</f>
        <v/>
      </c>
      <c r="AA91" s="12" t="s">
        <v>203</v>
      </c>
      <c r="AB91" s="12">
        <v>557.04999999999995</v>
      </c>
      <c r="AC91">
        <v>555.95000000000005</v>
      </c>
      <c r="AD91" s="12">
        <v>555.52499999999998</v>
      </c>
      <c r="AE91" s="12">
        <v>558.57500000000005</v>
      </c>
      <c r="AF91" s="12">
        <f t="shared" si="17"/>
        <v>568.625</v>
      </c>
      <c r="AG91" s="12">
        <f t="shared" si="18"/>
        <v>4.8558572878535049</v>
      </c>
      <c r="AH91" s="12">
        <f t="shared" si="19"/>
        <v>559.1450000000001</v>
      </c>
      <c r="AI91" s="12">
        <f t="shared" si="20"/>
        <v>568.85671457570709</v>
      </c>
      <c r="AJ91" s="12">
        <f t="shared" si="21"/>
        <v>549.4332854242931</v>
      </c>
      <c r="AK91" t="str">
        <f t="shared" si="22"/>
        <v>sell</v>
      </c>
      <c r="BA91" t="s">
        <v>203</v>
      </c>
      <c r="BB91" s="5">
        <v>575.70001000000002</v>
      </c>
      <c r="BC91" s="5">
        <v>576.70001000000002</v>
      </c>
      <c r="BD91" s="5">
        <v>573.25</v>
      </c>
      <c r="BE91" s="5">
        <v>586.5</v>
      </c>
      <c r="BF91" s="5">
        <v>586.5</v>
      </c>
      <c r="BG91" s="5">
        <v>573.04998999999998</v>
      </c>
      <c r="BH91" s="5">
        <v>567.04998999999998</v>
      </c>
      <c r="BI91" s="5">
        <v>562</v>
      </c>
      <c r="BJ91" s="5" t="str">
        <f t="shared" si="23"/>
        <v>-</v>
      </c>
      <c r="BK91" t="str">
        <f t="shared" si="24"/>
        <v/>
      </c>
      <c r="BM91" t="s">
        <v>24</v>
      </c>
      <c r="BN91" t="s">
        <v>203</v>
      </c>
      <c r="BO91">
        <v>618.95001000000002</v>
      </c>
      <c r="BP91">
        <v>607.90002000000004</v>
      </c>
      <c r="BQ91">
        <v>615.5</v>
      </c>
      <c r="BR91">
        <v>591.20001000000002</v>
      </c>
      <c r="BS91">
        <v>584.90002000000004</v>
      </c>
      <c r="BT91">
        <v>574.79998999999998</v>
      </c>
      <c r="BU91">
        <v>576.70001000000002</v>
      </c>
      <c r="BV91">
        <v>586.5</v>
      </c>
      <c r="BW91" s="5" t="str">
        <f t="shared" si="25"/>
        <v>-</v>
      </c>
      <c r="BX91" t="str">
        <f t="shared" si="14"/>
        <v/>
      </c>
      <c r="BZ91" t="str">
        <f t="shared" si="15"/>
        <v/>
      </c>
    </row>
    <row r="92" spans="2:78" x14ac:dyDescent="0.3">
      <c r="B92" s="28" t="s">
        <v>821</v>
      </c>
      <c r="C92" s="28" t="s">
        <v>821</v>
      </c>
      <c r="D92" s="28" t="s">
        <v>821</v>
      </c>
      <c r="E92" s="30" t="s">
        <v>821</v>
      </c>
      <c r="F92" s="11"/>
      <c r="G92" s="11"/>
      <c r="H92" s="36"/>
      <c r="I92" s="28">
        <v>224.4</v>
      </c>
      <c r="J92" s="28">
        <v>200</v>
      </c>
      <c r="K92" s="30">
        <v>204.5</v>
      </c>
      <c r="L92" s="10">
        <v>1</v>
      </c>
      <c r="M92" s="12" t="str">
        <f>IFERROR(IF(AND(#REF!="sell",B92&gt;=AI92),"sell",""),"")</f>
        <v/>
      </c>
      <c r="O92" s="10" t="str">
        <f>IFERROR(IF(AND(#REF!="equal",C92&gt;AI92,#REF!="overbought"),"sell",""),"")</f>
        <v/>
      </c>
      <c r="S92" t="str">
        <f>IFERROR(IF(AND(#REF!="sell",C92&gt;=#REF!),"sell",""),"")</f>
        <v/>
      </c>
      <c r="W92" s="40" t="e">
        <f t="shared" si="16"/>
        <v>#VALUE!</v>
      </c>
      <c r="X92" s="12" t="str">
        <f>IF(S92="sell",#REF!-E92,"")</f>
        <v/>
      </c>
      <c r="AA92" s="12" t="s">
        <v>205</v>
      </c>
      <c r="AB92" s="12">
        <v>204.82499999999999</v>
      </c>
      <c r="AC92">
        <v>204.625</v>
      </c>
      <c r="AD92" s="12">
        <v>204.92500000000001</v>
      </c>
      <c r="AE92" s="12">
        <v>205.375</v>
      </c>
      <c r="AF92" s="12">
        <f t="shared" si="17"/>
        <v>212.2</v>
      </c>
      <c r="AG92" s="12">
        <f t="shared" si="18"/>
        <v>2.9153730464556289</v>
      </c>
      <c r="AH92" s="12">
        <f t="shared" si="19"/>
        <v>206.39000000000001</v>
      </c>
      <c r="AI92" s="12">
        <f t="shared" si="20"/>
        <v>212.22074609291127</v>
      </c>
      <c r="AJ92" s="12">
        <f t="shared" si="21"/>
        <v>200.55925390708876</v>
      </c>
      <c r="AK92" t="str">
        <f t="shared" si="22"/>
        <v>sell</v>
      </c>
      <c r="BA92" t="s">
        <v>205</v>
      </c>
      <c r="BB92" s="5">
        <v>210.95</v>
      </c>
      <c r="BC92" s="5">
        <v>210.8</v>
      </c>
      <c r="BD92" s="5">
        <v>211.5</v>
      </c>
      <c r="BE92" s="5">
        <v>214.7</v>
      </c>
      <c r="BF92" s="5">
        <v>218.14999</v>
      </c>
      <c r="BG92" s="5">
        <v>219.5</v>
      </c>
      <c r="BH92" s="5">
        <v>214.05</v>
      </c>
      <c r="BI92" s="5">
        <v>207.3</v>
      </c>
      <c r="BJ92" s="5" t="str">
        <f t="shared" si="23"/>
        <v>-</v>
      </c>
      <c r="BK92" t="str">
        <f t="shared" si="24"/>
        <v/>
      </c>
      <c r="BM92" t="s">
        <v>24</v>
      </c>
      <c r="BN92" t="s">
        <v>205</v>
      </c>
      <c r="BO92">
        <v>232.85001</v>
      </c>
      <c r="BP92">
        <v>230.85001</v>
      </c>
      <c r="BQ92">
        <v>232.7</v>
      </c>
      <c r="BR92">
        <v>230.89999</v>
      </c>
      <c r="BS92">
        <v>224.7</v>
      </c>
      <c r="BT92">
        <v>214.89999</v>
      </c>
      <c r="BU92">
        <v>212.89999</v>
      </c>
      <c r="BV92">
        <v>219.5</v>
      </c>
      <c r="BW92" s="5" t="str">
        <f t="shared" si="25"/>
        <v>-</v>
      </c>
      <c r="BX92" t="str">
        <f t="shared" si="14"/>
        <v/>
      </c>
      <c r="BZ92" t="str">
        <f t="shared" si="15"/>
        <v/>
      </c>
    </row>
    <row r="93" spans="2:78" x14ac:dyDescent="0.3">
      <c r="B93" s="28" t="s">
        <v>821</v>
      </c>
      <c r="C93" s="28" t="s">
        <v>821</v>
      </c>
      <c r="D93" s="28" t="s">
        <v>821</v>
      </c>
      <c r="E93" s="30" t="s">
        <v>821</v>
      </c>
      <c r="F93" s="11"/>
      <c r="G93" s="11"/>
      <c r="H93" s="36"/>
      <c r="I93" s="28">
        <v>2467.8000000000002</v>
      </c>
      <c r="J93" s="28">
        <v>2408.0500000000002</v>
      </c>
      <c r="K93" s="30">
        <v>2417.69</v>
      </c>
      <c r="L93" s="10">
        <v>1</v>
      </c>
      <c r="M93" s="12" t="str">
        <f>IFERROR(IF(AND(#REF!="sell",B93&gt;=AI93),"sell",""),"")</f>
        <v/>
      </c>
      <c r="O93" s="10" t="str">
        <f>IFERROR(IF(AND(#REF!="equal",C93&gt;AI93,#REF!="overbought"),"sell",""),"")</f>
        <v/>
      </c>
      <c r="S93" t="str">
        <f>IFERROR(IF(AND(#REF!="sell",C93&gt;=#REF!),"sell",""),"")</f>
        <v/>
      </c>
      <c r="W93" s="40" t="e">
        <f t="shared" si="16"/>
        <v>#VALUE!</v>
      </c>
      <c r="X93" s="12" t="str">
        <f>IF(S93="sell",#REF!-E93,"")</f>
        <v/>
      </c>
      <c r="AA93" s="12" t="s">
        <v>207</v>
      </c>
      <c r="AB93" s="12">
        <v>2444.125</v>
      </c>
      <c r="AC93">
        <v>2440.4499999999998</v>
      </c>
      <c r="AD93" s="12">
        <v>2443.0500000000002</v>
      </c>
      <c r="AE93" s="12">
        <v>2447</v>
      </c>
      <c r="AF93" s="12">
        <f t="shared" si="17"/>
        <v>2437.9250000000002</v>
      </c>
      <c r="AG93" s="12">
        <f t="shared" si="18"/>
        <v>3.1088824358601683</v>
      </c>
      <c r="AH93" s="12">
        <f t="shared" si="19"/>
        <v>2442.5099999999998</v>
      </c>
      <c r="AI93" s="12">
        <f t="shared" si="20"/>
        <v>2448.72776487172</v>
      </c>
      <c r="AJ93" s="12">
        <f t="shared" si="21"/>
        <v>2436.2922351282796</v>
      </c>
      <c r="AK93" t="str">
        <f t="shared" si="22"/>
        <v>sell</v>
      </c>
      <c r="BA93" t="s">
        <v>207</v>
      </c>
      <c r="BB93" s="5">
        <v>2689</v>
      </c>
      <c r="BC93" s="5">
        <v>2634.2</v>
      </c>
      <c r="BD93" s="5">
        <v>2598</v>
      </c>
      <c r="BE93" s="5">
        <v>2577.8501000000001</v>
      </c>
      <c r="BF93" s="5">
        <v>2559.75</v>
      </c>
      <c r="BG93" s="5">
        <v>2536.6001000000001</v>
      </c>
      <c r="BH93" s="5">
        <v>2516.8998999999999</v>
      </c>
      <c r="BI93" s="5">
        <v>2467.8000000000002</v>
      </c>
      <c r="BJ93" s="5" t="str">
        <f t="shared" si="23"/>
        <v>-</v>
      </c>
      <c r="BK93" t="str">
        <f t="shared" si="24"/>
        <v/>
      </c>
      <c r="BM93" t="s">
        <v>24</v>
      </c>
      <c r="BN93" t="s">
        <v>207</v>
      </c>
      <c r="BO93">
        <v>2607</v>
      </c>
      <c r="BP93">
        <v>2615.5500000000002</v>
      </c>
      <c r="BQ93">
        <v>2684.95</v>
      </c>
      <c r="BR93">
        <v>2908.25</v>
      </c>
      <c r="BS93">
        <v>2821.3998999999999</v>
      </c>
      <c r="BT93">
        <v>2729.45</v>
      </c>
      <c r="BU93">
        <v>2689</v>
      </c>
      <c r="BV93">
        <v>2577.8501000000001</v>
      </c>
      <c r="BW93" s="5" t="str">
        <f t="shared" si="25"/>
        <v>-</v>
      </c>
      <c r="BX93" t="str">
        <f t="shared" si="14"/>
        <v/>
      </c>
      <c r="BZ93" t="str">
        <f t="shared" si="15"/>
        <v/>
      </c>
    </row>
    <row r="94" spans="2:78" x14ac:dyDescent="0.3">
      <c r="B94" s="28" t="s">
        <v>821</v>
      </c>
      <c r="C94" s="28" t="s">
        <v>821</v>
      </c>
      <c r="D94" s="28" t="s">
        <v>821</v>
      </c>
      <c r="E94" s="30" t="s">
        <v>821</v>
      </c>
      <c r="F94" s="11"/>
      <c r="G94" s="11"/>
      <c r="H94" s="36"/>
      <c r="I94" s="28">
        <v>4189</v>
      </c>
      <c r="J94" s="28">
        <v>3770.15</v>
      </c>
      <c r="K94" s="30">
        <v>4189.05</v>
      </c>
      <c r="L94" s="10">
        <v>1</v>
      </c>
      <c r="M94" s="12" t="str">
        <f>IFERROR(IF(AND(#REF!="sell",B94&gt;=AI94),"sell",""),"")</f>
        <v/>
      </c>
      <c r="O94" s="10" t="str">
        <f>IFERROR(IF(AND(#REF!="equal",C94&gt;AI94,#REF!="overbought"),"sell",""),"")</f>
        <v/>
      </c>
      <c r="S94" t="str">
        <f>IFERROR(IF(AND(#REF!="sell",C94&gt;=#REF!),"sell",""),"")</f>
        <v/>
      </c>
      <c r="W94" s="40" t="e">
        <f t="shared" si="16"/>
        <v>#VALUE!</v>
      </c>
      <c r="X94" s="12" t="str">
        <f>IF(S94="sell",#REF!-E94,"")</f>
        <v/>
      </c>
      <c r="AA94" s="12" t="s">
        <v>209</v>
      </c>
      <c r="AB94" s="12">
        <v>4163.8500000000004</v>
      </c>
      <c r="AC94">
        <v>4158.55</v>
      </c>
      <c r="AD94" s="12">
        <v>4158.5</v>
      </c>
      <c r="AE94" s="12">
        <v>4160.7749999999996</v>
      </c>
      <c r="AF94" s="12">
        <f t="shared" si="17"/>
        <v>3979.5749999999998</v>
      </c>
      <c r="AG94" s="12">
        <f t="shared" si="18"/>
        <v>72.363863564627437</v>
      </c>
      <c r="AH94" s="12">
        <f t="shared" si="19"/>
        <v>4124.2500000000009</v>
      </c>
      <c r="AI94" s="12">
        <f t="shared" si="20"/>
        <v>4268.977727129256</v>
      </c>
      <c r="AJ94" s="12">
        <f t="shared" si="21"/>
        <v>3979.5222728707458</v>
      </c>
      <c r="AK94" t="str">
        <f t="shared" si="22"/>
        <v>sell</v>
      </c>
      <c r="BA94" t="s">
        <v>209</v>
      </c>
      <c r="BB94" s="5">
        <v>4407.5</v>
      </c>
      <c r="BC94" s="5">
        <v>4438.8999000000003</v>
      </c>
      <c r="BD94" s="5">
        <v>4529</v>
      </c>
      <c r="BE94" s="5">
        <v>4298</v>
      </c>
      <c r="BF94" s="5">
        <v>4266.1499000000003</v>
      </c>
      <c r="BG94" s="5">
        <v>4185</v>
      </c>
      <c r="BH94" s="5">
        <v>4197.8999000000003</v>
      </c>
      <c r="BI94" s="5">
        <v>4217.7997999999998</v>
      </c>
      <c r="BJ94" s="5" t="str">
        <f t="shared" si="23"/>
        <v>-</v>
      </c>
      <c r="BK94" t="str">
        <f t="shared" si="24"/>
        <v/>
      </c>
      <c r="BM94" t="s">
        <v>24</v>
      </c>
      <c r="BN94" t="s">
        <v>209</v>
      </c>
      <c r="BO94">
        <v>3830.45</v>
      </c>
      <c r="BP94">
        <v>3693.25</v>
      </c>
      <c r="BQ94">
        <v>3972</v>
      </c>
      <c r="BR94">
        <v>4179.1000999999997</v>
      </c>
      <c r="BS94">
        <v>4124.3500999999997</v>
      </c>
      <c r="BT94">
        <v>4391.8500999999997</v>
      </c>
      <c r="BU94">
        <v>4529</v>
      </c>
      <c r="BV94">
        <v>4298</v>
      </c>
      <c r="BW94" s="5" t="str">
        <f t="shared" si="25"/>
        <v>-</v>
      </c>
      <c r="BX94" t="str">
        <f t="shared" si="14"/>
        <v>Pivot sell</v>
      </c>
      <c r="BZ94" t="str">
        <f t="shared" si="15"/>
        <v/>
      </c>
    </row>
    <row r="95" spans="2:78" x14ac:dyDescent="0.3">
      <c r="B95" s="28" t="s">
        <v>821</v>
      </c>
      <c r="C95" s="28" t="s">
        <v>821</v>
      </c>
      <c r="D95" s="28" t="s">
        <v>821</v>
      </c>
      <c r="E95" s="30" t="s">
        <v>821</v>
      </c>
      <c r="F95" s="11"/>
      <c r="G95" s="11"/>
      <c r="H95" s="36"/>
      <c r="I95" s="28">
        <v>1608</v>
      </c>
      <c r="J95" s="28">
        <v>1315.7</v>
      </c>
      <c r="K95" s="30">
        <v>1461.85</v>
      </c>
      <c r="L95" s="10">
        <v>1</v>
      </c>
      <c r="M95" s="12" t="str">
        <f>IFERROR(IF(AND(#REF!="sell",B95&gt;=AI95),"sell",""),"")</f>
        <v/>
      </c>
      <c r="O95" s="10" t="str">
        <f>IFERROR(IF(AND(#REF!="equal",C95&gt;AI95,#REF!="overbought"),"sell",""),"")</f>
        <v/>
      </c>
      <c r="S95" t="str">
        <f>IFERROR(IF(AND(#REF!="sell",C95&gt;=#REF!),"sell",""),"")</f>
        <v/>
      </c>
      <c r="W95" s="40" t="e">
        <f t="shared" si="16"/>
        <v>#VALUE!</v>
      </c>
      <c r="X95" s="12" t="str">
        <f>IF(S95="sell",#REF!-E95,"")</f>
        <v/>
      </c>
      <c r="AA95" s="12" t="s">
        <v>211</v>
      </c>
      <c r="AB95" s="12">
        <v>1445.55</v>
      </c>
      <c r="AC95">
        <v>1445.85</v>
      </c>
      <c r="AD95" s="12">
        <v>1446.95</v>
      </c>
      <c r="AE95" s="12">
        <v>1449.2750000000001</v>
      </c>
      <c r="AF95" s="12">
        <f t="shared" si="17"/>
        <v>1461.85</v>
      </c>
      <c r="AG95" s="12">
        <f t="shared" si="18"/>
        <v>6.1191584388704721</v>
      </c>
      <c r="AH95" s="12">
        <f t="shared" si="19"/>
        <v>1449.895</v>
      </c>
      <c r="AI95" s="12">
        <f t="shared" si="20"/>
        <v>1462.133316877741</v>
      </c>
      <c r="AJ95" s="12">
        <f t="shared" si="21"/>
        <v>1437.656683122259</v>
      </c>
      <c r="AK95" t="str">
        <f t="shared" si="22"/>
        <v>sell</v>
      </c>
      <c r="BA95" t="s">
        <v>211</v>
      </c>
      <c r="BB95" s="5">
        <v>1413.15</v>
      </c>
      <c r="BC95" s="5">
        <v>1451</v>
      </c>
      <c r="BD95" s="5">
        <v>1448.75</v>
      </c>
      <c r="BE95" s="5">
        <v>1475.6</v>
      </c>
      <c r="BF95" s="5">
        <v>1478.8</v>
      </c>
      <c r="BG95" s="5">
        <v>1471.65</v>
      </c>
      <c r="BH95" s="5">
        <v>1477.7</v>
      </c>
      <c r="BI95" s="5">
        <v>1469.9</v>
      </c>
      <c r="BJ95" s="5" t="str">
        <f t="shared" si="23"/>
        <v>-</v>
      </c>
      <c r="BK95" t="str">
        <f t="shared" si="24"/>
        <v/>
      </c>
      <c r="BM95" t="s">
        <v>24</v>
      </c>
      <c r="BN95" t="s">
        <v>211</v>
      </c>
      <c r="BO95">
        <v>1576.35</v>
      </c>
      <c r="BP95">
        <v>1557.9</v>
      </c>
      <c r="BQ95">
        <v>1519</v>
      </c>
      <c r="BR95">
        <v>1537</v>
      </c>
      <c r="BS95">
        <v>1510</v>
      </c>
      <c r="BT95">
        <v>1429.85</v>
      </c>
      <c r="BU95">
        <v>1451</v>
      </c>
      <c r="BV95">
        <v>1478.8</v>
      </c>
      <c r="BW95" s="5" t="str">
        <f t="shared" si="25"/>
        <v>-</v>
      </c>
      <c r="BX95" t="str">
        <f t="shared" si="14"/>
        <v/>
      </c>
      <c r="BZ95" t="str">
        <f t="shared" si="15"/>
        <v/>
      </c>
    </row>
    <row r="96" spans="2:78" x14ac:dyDescent="0.3">
      <c r="B96" s="28" t="s">
        <v>821</v>
      </c>
      <c r="C96" s="28" t="s">
        <v>821</v>
      </c>
      <c r="D96" s="28" t="s">
        <v>821</v>
      </c>
      <c r="E96" s="30" t="s">
        <v>821</v>
      </c>
      <c r="F96" s="11"/>
      <c r="G96" s="11"/>
      <c r="H96" s="36"/>
      <c r="I96" s="28">
        <v>382.95</v>
      </c>
      <c r="J96" s="28">
        <v>345.45</v>
      </c>
      <c r="K96" s="30">
        <v>348.15</v>
      </c>
      <c r="L96" s="10">
        <v>1</v>
      </c>
      <c r="M96" s="12" t="str">
        <f>IFERROR(IF(AND(#REF!="sell",B96&gt;=AI96),"sell",""),"")</f>
        <v/>
      </c>
      <c r="S96" t="str">
        <f>IFERROR(IF(AND(#REF!="sell",C96&gt;=#REF!),"sell",""),"")</f>
        <v/>
      </c>
      <c r="W96" s="40" t="e">
        <f t="shared" si="16"/>
        <v>#VALUE!</v>
      </c>
      <c r="X96" s="12" t="str">
        <f>IF(S96="sell",#REF!-E96,"")</f>
        <v/>
      </c>
      <c r="AA96" s="12" t="s">
        <v>213</v>
      </c>
      <c r="AB96" s="12">
        <v>343.22500000000002</v>
      </c>
      <c r="AC96">
        <v>343.625</v>
      </c>
      <c r="AD96" s="12">
        <v>343.77499999999998</v>
      </c>
      <c r="AE96" s="12">
        <v>345</v>
      </c>
      <c r="AF96" s="12">
        <f t="shared" si="17"/>
        <v>364.2</v>
      </c>
      <c r="AG96" s="12">
        <f t="shared" si="18"/>
        <v>8.1391123594652459</v>
      </c>
      <c r="AH96" s="12">
        <f t="shared" si="19"/>
        <v>347.96500000000003</v>
      </c>
      <c r="AI96" s="12">
        <f t="shared" si="20"/>
        <v>364.24322471893055</v>
      </c>
      <c r="AJ96" s="12">
        <f t="shared" si="21"/>
        <v>331.68677528106952</v>
      </c>
      <c r="AK96" t="str">
        <f t="shared" si="22"/>
        <v>sell</v>
      </c>
      <c r="BA96" t="s">
        <v>213</v>
      </c>
      <c r="BB96" s="5">
        <v>345.25</v>
      </c>
      <c r="BC96" s="5">
        <v>347.64999</v>
      </c>
      <c r="BD96" s="5">
        <v>356.45001000000002</v>
      </c>
      <c r="BE96" s="5">
        <v>352</v>
      </c>
      <c r="BF96" s="5">
        <v>350.95001000000002</v>
      </c>
      <c r="BG96" s="5">
        <v>345.29998999999998</v>
      </c>
      <c r="BH96" s="5">
        <v>346.39999</v>
      </c>
      <c r="BI96" s="5">
        <v>350.70001000000002</v>
      </c>
      <c r="BJ96" s="5" t="str">
        <f t="shared" si="23"/>
        <v>-</v>
      </c>
      <c r="BK96" t="str">
        <f t="shared" si="24"/>
        <v/>
      </c>
      <c r="BM96" t="s">
        <v>24</v>
      </c>
      <c r="BN96" t="s">
        <v>213</v>
      </c>
      <c r="BO96">
        <v>336</v>
      </c>
      <c r="BP96">
        <v>359.5</v>
      </c>
      <c r="BQ96">
        <v>366.54998999999998</v>
      </c>
      <c r="BR96">
        <v>363.60001</v>
      </c>
      <c r="BS96">
        <v>356</v>
      </c>
      <c r="BT96">
        <v>349</v>
      </c>
      <c r="BU96">
        <v>356.45001000000002</v>
      </c>
      <c r="BV96">
        <v>352</v>
      </c>
      <c r="BW96" s="5" t="str">
        <f t="shared" si="25"/>
        <v>-</v>
      </c>
      <c r="BX96" t="str">
        <f t="shared" si="14"/>
        <v/>
      </c>
      <c r="BZ96" t="str">
        <f t="shared" si="15"/>
        <v/>
      </c>
    </row>
    <row r="97" spans="2:78" x14ac:dyDescent="0.3">
      <c r="B97" s="28" t="s">
        <v>821</v>
      </c>
      <c r="C97" s="28" t="s">
        <v>821</v>
      </c>
      <c r="D97" s="28" t="s">
        <v>821</v>
      </c>
      <c r="E97" s="30" t="s">
        <v>821</v>
      </c>
      <c r="F97" s="11"/>
      <c r="G97" s="11"/>
      <c r="H97" s="36"/>
      <c r="I97" s="28">
        <v>1547.55</v>
      </c>
      <c r="J97" s="28">
        <v>1055.2</v>
      </c>
      <c r="K97" s="30">
        <v>1406.9</v>
      </c>
      <c r="L97" s="10">
        <v>1</v>
      </c>
      <c r="M97" s="12" t="str">
        <f>IFERROR(IF(AND(#REF!="sell",B97&gt;=AI97),"sell",""),"")</f>
        <v/>
      </c>
      <c r="S97" t="str">
        <f>IFERROR(IF(AND(#REF!="sell",C97&gt;=#REF!),"sell",""),"")</f>
        <v/>
      </c>
      <c r="W97" s="40" t="e">
        <f t="shared" si="16"/>
        <v>#VALUE!</v>
      </c>
      <c r="X97" s="12" t="str">
        <f>IF(S97="sell",#REF!-E97,"")</f>
        <v/>
      </c>
      <c r="AA97" s="12" t="s">
        <v>215</v>
      </c>
      <c r="AB97" s="12">
        <v>1427.375</v>
      </c>
      <c r="AC97">
        <v>1426.4749999999999</v>
      </c>
      <c r="AD97" s="12">
        <v>1428.6</v>
      </c>
      <c r="AE97" s="12">
        <v>1431.85</v>
      </c>
      <c r="AF97" s="12">
        <f t="shared" si="17"/>
        <v>1301.375</v>
      </c>
      <c r="AG97" s="12">
        <f t="shared" si="18"/>
        <v>50.912568683970335</v>
      </c>
      <c r="AH97" s="12">
        <f t="shared" si="19"/>
        <v>1403.1349999999998</v>
      </c>
      <c r="AI97" s="12">
        <f t="shared" si="20"/>
        <v>1504.9601373679404</v>
      </c>
      <c r="AJ97" s="12">
        <f t="shared" si="21"/>
        <v>1301.3098626320591</v>
      </c>
      <c r="AK97" t="str">
        <f t="shared" si="22"/>
        <v>sell</v>
      </c>
      <c r="BA97" t="s">
        <v>215</v>
      </c>
      <c r="BB97" s="5">
        <v>1459.95</v>
      </c>
      <c r="BC97" s="5">
        <v>1478.15</v>
      </c>
      <c r="BD97" s="5">
        <v>1475.5</v>
      </c>
      <c r="BE97" s="5">
        <v>1479.6</v>
      </c>
      <c r="BF97" s="5">
        <v>1476</v>
      </c>
      <c r="BG97" s="5">
        <v>1465.5</v>
      </c>
      <c r="BH97" s="5">
        <v>1449.85</v>
      </c>
      <c r="BI97" s="5">
        <v>1436.75</v>
      </c>
      <c r="BJ97" s="5" t="str">
        <f t="shared" si="23"/>
        <v>-</v>
      </c>
      <c r="BK97" t="str">
        <f t="shared" si="24"/>
        <v/>
      </c>
      <c r="BM97" t="s">
        <v>24</v>
      </c>
      <c r="BN97" t="s">
        <v>215</v>
      </c>
      <c r="BO97">
        <v>1513.8</v>
      </c>
      <c r="BP97">
        <v>1491.95</v>
      </c>
      <c r="BQ97">
        <v>1446.85</v>
      </c>
      <c r="BR97">
        <v>1439.8</v>
      </c>
      <c r="BS97">
        <v>1449.95</v>
      </c>
      <c r="BT97">
        <v>1457</v>
      </c>
      <c r="BU97">
        <v>1478.15</v>
      </c>
      <c r="BV97">
        <v>1479.6</v>
      </c>
      <c r="BW97" s="5" t="str">
        <f t="shared" si="25"/>
        <v>-</v>
      </c>
      <c r="BX97" t="str">
        <f t="shared" si="14"/>
        <v/>
      </c>
      <c r="BZ97" t="str">
        <f t="shared" si="15"/>
        <v/>
      </c>
    </row>
    <row r="98" spans="2:78" x14ac:dyDescent="0.3">
      <c r="B98" s="28" t="s">
        <v>821</v>
      </c>
      <c r="C98" s="28" t="s">
        <v>821</v>
      </c>
      <c r="D98" s="28" t="s">
        <v>821</v>
      </c>
      <c r="E98" s="30" t="s">
        <v>821</v>
      </c>
      <c r="F98" s="11"/>
      <c r="G98" s="11"/>
      <c r="H98" s="36"/>
      <c r="I98" s="28">
        <v>163.65</v>
      </c>
      <c r="J98" s="28">
        <v>138.05000000000001</v>
      </c>
      <c r="K98" s="30">
        <v>162.4</v>
      </c>
      <c r="L98" s="10">
        <v>1</v>
      </c>
      <c r="M98" s="12" t="str">
        <f>IFERROR(IF(AND(#REF!="sell",B98&gt;=AI98),"sell",""),"")</f>
        <v/>
      </c>
      <c r="S98" t="str">
        <f>IFERROR(IF(AND(#REF!="sell",C98&gt;=#REF!),"sell",""),"")</f>
        <v/>
      </c>
      <c r="W98" s="40" t="e">
        <f t="shared" si="16"/>
        <v>#VALUE!</v>
      </c>
      <c r="X98" s="12" t="str">
        <f>IF(S98="sell",#REF!-E98,"")</f>
        <v/>
      </c>
      <c r="AA98" s="12" t="s">
        <v>217</v>
      </c>
      <c r="AB98" s="12">
        <v>161.85</v>
      </c>
      <c r="AC98">
        <v>161.6</v>
      </c>
      <c r="AD98" s="12">
        <v>161.85</v>
      </c>
      <c r="AE98" s="12">
        <v>162.44999999999999</v>
      </c>
      <c r="AF98" s="12">
        <f t="shared" si="17"/>
        <v>150.85000000000002</v>
      </c>
      <c r="AG98" s="12">
        <f t="shared" si="18"/>
        <v>4.4438271793578892</v>
      </c>
      <c r="AH98" s="12">
        <f t="shared" si="19"/>
        <v>159.72</v>
      </c>
      <c r="AI98" s="12">
        <f t="shared" si="20"/>
        <v>168.60765435871576</v>
      </c>
      <c r="AJ98" s="12">
        <f t="shared" si="21"/>
        <v>150.83234564128423</v>
      </c>
      <c r="AK98" t="str">
        <f t="shared" si="22"/>
        <v>sell</v>
      </c>
      <c r="BA98" t="s">
        <v>217</v>
      </c>
      <c r="BB98" s="5">
        <v>168.2</v>
      </c>
      <c r="BC98" s="5">
        <v>169.35001</v>
      </c>
      <c r="BD98" s="5">
        <v>170.45</v>
      </c>
      <c r="BE98" s="5">
        <v>170.45</v>
      </c>
      <c r="BF98" s="5">
        <v>169.8</v>
      </c>
      <c r="BG98" s="5">
        <v>166.89999</v>
      </c>
      <c r="BH98" s="5">
        <v>165.25</v>
      </c>
      <c r="BI98" s="5">
        <v>163.75</v>
      </c>
      <c r="BJ98" s="5" t="str">
        <f t="shared" si="23"/>
        <v>-</v>
      </c>
      <c r="BK98" t="str">
        <f t="shared" si="24"/>
        <v/>
      </c>
      <c r="BM98" t="s">
        <v>24</v>
      </c>
      <c r="BN98" t="s">
        <v>217</v>
      </c>
      <c r="BO98">
        <v>174.2</v>
      </c>
      <c r="BP98">
        <v>175.10001</v>
      </c>
      <c r="BQ98">
        <v>173.7</v>
      </c>
      <c r="BR98">
        <v>179.8</v>
      </c>
      <c r="BS98">
        <v>172</v>
      </c>
      <c r="BT98">
        <v>165.39999</v>
      </c>
      <c r="BU98">
        <v>170.45</v>
      </c>
      <c r="BV98">
        <v>170.45</v>
      </c>
      <c r="BW98" s="5" t="str">
        <f t="shared" si="25"/>
        <v>-</v>
      </c>
      <c r="BX98" t="str">
        <f t="shared" ref="BX98:BX129" si="26">IF(AND(BU98&gt;MAX(BO98:BT98), BU98&gt;MAX(BW98)), "Pivot sell", "")</f>
        <v/>
      </c>
      <c r="BZ98" t="str">
        <f t="shared" si="15"/>
        <v/>
      </c>
    </row>
    <row r="99" spans="2:78" x14ac:dyDescent="0.3">
      <c r="B99" s="28" t="s">
        <v>821</v>
      </c>
      <c r="C99" s="28" t="s">
        <v>821</v>
      </c>
      <c r="D99" s="28" t="s">
        <v>821</v>
      </c>
      <c r="E99" s="30" t="s">
        <v>821</v>
      </c>
      <c r="F99" s="11"/>
      <c r="G99" s="11"/>
      <c r="H99" s="36"/>
      <c r="I99" s="28">
        <v>1239.9000000000001</v>
      </c>
      <c r="J99" s="28">
        <v>1138.95</v>
      </c>
      <c r="K99" s="30">
        <v>1152.1500000000001</v>
      </c>
      <c r="L99" s="10">
        <v>1</v>
      </c>
      <c r="M99" s="12" t="str">
        <f>IFERROR(IF(AND(#REF!="sell",B99&gt;=AI99),"sell",""),"")</f>
        <v/>
      </c>
      <c r="S99" t="str">
        <f>IFERROR(IF(AND(#REF!="sell",C99&gt;=#REF!),"sell",""),"")</f>
        <v/>
      </c>
      <c r="W99" s="40" t="e">
        <f t="shared" si="16"/>
        <v>#VALUE!</v>
      </c>
      <c r="X99" s="12" t="str">
        <f>IF(S99="sell",#REF!-E99,"")</f>
        <v/>
      </c>
      <c r="AA99" s="12" t="s">
        <v>219</v>
      </c>
      <c r="AB99" s="12">
        <v>1251.5</v>
      </c>
      <c r="AC99">
        <v>1249.3</v>
      </c>
      <c r="AD99" s="12">
        <v>1251.95</v>
      </c>
      <c r="AE99" s="12">
        <v>1253.125</v>
      </c>
      <c r="AF99" s="12">
        <f t="shared" si="17"/>
        <v>1189.4250000000002</v>
      </c>
      <c r="AG99" s="12">
        <f t="shared" si="18"/>
        <v>24.848423491239767</v>
      </c>
      <c r="AH99" s="12">
        <f t="shared" si="19"/>
        <v>1239.06</v>
      </c>
      <c r="AI99" s="12">
        <f t="shared" si="20"/>
        <v>1288.7568469824794</v>
      </c>
      <c r="AJ99" s="12">
        <f t="shared" si="21"/>
        <v>1189.3631530175205</v>
      </c>
      <c r="AK99" t="str">
        <f t="shared" si="22"/>
        <v>sell</v>
      </c>
      <c r="BA99" t="s">
        <v>219</v>
      </c>
      <c r="BB99" s="5">
        <v>1324.7</v>
      </c>
      <c r="BC99" s="5">
        <v>1327.9</v>
      </c>
      <c r="BD99" s="5">
        <v>1319.05</v>
      </c>
      <c r="BE99" s="5">
        <v>1310.9</v>
      </c>
      <c r="BF99" s="5">
        <v>1325.7</v>
      </c>
      <c r="BG99" s="5">
        <v>1354.5</v>
      </c>
      <c r="BH99" s="5">
        <v>1291.5999999999999</v>
      </c>
      <c r="BI99" s="5">
        <v>1239.9000000000001</v>
      </c>
      <c r="BJ99" s="5" t="str">
        <f t="shared" si="23"/>
        <v>-</v>
      </c>
      <c r="BK99" t="str">
        <f t="shared" si="24"/>
        <v/>
      </c>
      <c r="BM99" t="s">
        <v>24</v>
      </c>
      <c r="BN99" t="s">
        <v>219</v>
      </c>
      <c r="BO99">
        <v>1348.1</v>
      </c>
      <c r="BP99">
        <v>1374.6</v>
      </c>
      <c r="BQ99">
        <v>1356.3</v>
      </c>
      <c r="BR99">
        <v>1363</v>
      </c>
      <c r="BS99">
        <v>1351.9</v>
      </c>
      <c r="BT99">
        <v>1334.7</v>
      </c>
      <c r="BU99">
        <v>1327.9</v>
      </c>
      <c r="BV99">
        <v>1354.5</v>
      </c>
      <c r="BW99" s="5" t="str">
        <f t="shared" si="25"/>
        <v>-</v>
      </c>
      <c r="BX99" t="str">
        <f t="shared" si="26"/>
        <v/>
      </c>
      <c r="BZ99" t="str">
        <f t="shared" si="15"/>
        <v/>
      </c>
    </row>
    <row r="100" spans="2:78" x14ac:dyDescent="0.3">
      <c r="B100" s="28" t="s">
        <v>821</v>
      </c>
      <c r="C100" s="28" t="s">
        <v>821</v>
      </c>
      <c r="D100" s="28" t="s">
        <v>821</v>
      </c>
      <c r="E100" s="30" t="s">
        <v>821</v>
      </c>
      <c r="F100" s="11"/>
      <c r="G100" s="11"/>
      <c r="H100" s="36"/>
      <c r="I100" s="28">
        <v>1040</v>
      </c>
      <c r="J100" s="28">
        <v>918.35</v>
      </c>
      <c r="K100" s="30">
        <v>1020.35</v>
      </c>
      <c r="L100" s="10">
        <v>1</v>
      </c>
      <c r="M100" s="12" t="str">
        <f>IFERROR(IF(AND(#REF!="sell",B100&gt;=AI100),"sell",""),"")</f>
        <v/>
      </c>
      <c r="S100" t="str">
        <f>IFERROR(IF(AND(#REF!="sell",C100&gt;=#REF!),"sell",""),"")</f>
        <v/>
      </c>
      <c r="W100" s="40" t="e">
        <f t="shared" si="16"/>
        <v>#VALUE!</v>
      </c>
      <c r="X100" s="12" t="str">
        <f>IF(S100="sell",#REF!-E100,"")</f>
        <v/>
      </c>
      <c r="AA100" s="12" t="s">
        <v>221</v>
      </c>
      <c r="AB100" s="12">
        <v>1024.325</v>
      </c>
      <c r="AC100">
        <v>1023.125</v>
      </c>
      <c r="AD100" s="12">
        <v>1025.75</v>
      </c>
      <c r="AE100" s="12">
        <v>1029.9000000000001</v>
      </c>
      <c r="AF100" s="12">
        <f t="shared" si="17"/>
        <v>979.17499999999995</v>
      </c>
      <c r="AG100" s="12">
        <f t="shared" si="18"/>
        <v>18.779719113980413</v>
      </c>
      <c r="AH100" s="12">
        <f t="shared" si="19"/>
        <v>1016.4550000000002</v>
      </c>
      <c r="AI100" s="12">
        <f t="shared" si="20"/>
        <v>1054.0144382279609</v>
      </c>
      <c r="AJ100" s="12">
        <f t="shared" si="21"/>
        <v>978.89556177203929</v>
      </c>
      <c r="AK100" t="str">
        <f t="shared" si="22"/>
        <v>sell</v>
      </c>
      <c r="BA100" t="s">
        <v>221</v>
      </c>
      <c r="BB100" s="5">
        <v>1136.9000000000001</v>
      </c>
      <c r="BC100" s="5">
        <v>1138.9000000000001</v>
      </c>
      <c r="BD100" s="5">
        <v>1124</v>
      </c>
      <c r="BE100" s="5">
        <v>1119.75</v>
      </c>
      <c r="BF100" s="5">
        <v>1107.5999999999999</v>
      </c>
      <c r="BG100" s="5">
        <v>1061.3</v>
      </c>
      <c r="BH100" s="5">
        <v>1053.8499999999999</v>
      </c>
      <c r="BI100" s="5">
        <v>1037.75</v>
      </c>
      <c r="BJ100" s="5" t="str">
        <f t="shared" si="23"/>
        <v>-</v>
      </c>
      <c r="BK100" t="str">
        <f t="shared" si="24"/>
        <v/>
      </c>
      <c r="BM100" t="s">
        <v>24</v>
      </c>
      <c r="BN100" t="s">
        <v>221</v>
      </c>
      <c r="BO100">
        <v>1068.8</v>
      </c>
      <c r="BP100">
        <v>1048.25</v>
      </c>
      <c r="BQ100">
        <v>1059</v>
      </c>
      <c r="BR100">
        <v>1076.45</v>
      </c>
      <c r="BS100">
        <v>1057.2</v>
      </c>
      <c r="BT100">
        <v>1113.4000000000001</v>
      </c>
      <c r="BU100">
        <v>1138.9000000000001</v>
      </c>
      <c r="BV100">
        <v>1119.75</v>
      </c>
      <c r="BW100" s="5" t="str">
        <f t="shared" si="25"/>
        <v>-</v>
      </c>
      <c r="BX100" t="str">
        <f t="shared" si="26"/>
        <v>Pivot sell</v>
      </c>
      <c r="BZ100" t="str">
        <f t="shared" si="15"/>
        <v/>
      </c>
    </row>
    <row r="101" spans="2:78" x14ac:dyDescent="0.3">
      <c r="B101" s="28" t="s">
        <v>821</v>
      </c>
      <c r="C101" s="28" t="s">
        <v>821</v>
      </c>
      <c r="D101" s="28" t="s">
        <v>821</v>
      </c>
      <c r="E101" s="30" t="s">
        <v>821</v>
      </c>
      <c r="F101" s="11"/>
      <c r="G101" s="11"/>
      <c r="H101" s="36"/>
      <c r="I101" s="28">
        <v>469.05</v>
      </c>
      <c r="J101" s="28">
        <v>342</v>
      </c>
      <c r="K101" s="30">
        <v>426.45</v>
      </c>
      <c r="L101" s="10">
        <v>1</v>
      </c>
      <c r="M101" s="12" t="str">
        <f>IFERROR(IF(AND(#REF!="sell",B101&gt;=AI101),"sell",""),"")</f>
        <v/>
      </c>
      <c r="S101" t="str">
        <f>IFERROR(IF(AND(#REF!="sell",C101&gt;=#REF!),"sell",""),"")</f>
        <v/>
      </c>
      <c r="W101" s="40" t="e">
        <f t="shared" si="16"/>
        <v>#VALUE!</v>
      </c>
      <c r="X101" s="12" t="str">
        <f>IF(S101="sell",#REF!-E101,"")</f>
        <v/>
      </c>
      <c r="AA101" s="12" t="s">
        <v>223</v>
      </c>
      <c r="AB101" s="12">
        <v>423.92499999999995</v>
      </c>
      <c r="AC101">
        <v>424.04999999999995</v>
      </c>
      <c r="AD101" s="12">
        <v>424.2</v>
      </c>
      <c r="AE101" s="12">
        <v>424.5</v>
      </c>
      <c r="AF101" s="12">
        <f t="shared" si="17"/>
        <v>405.52499999999998</v>
      </c>
      <c r="AG101" s="12">
        <f t="shared" si="18"/>
        <v>7.4599698390811193</v>
      </c>
      <c r="AH101" s="12">
        <f t="shared" si="19"/>
        <v>420.43999999999994</v>
      </c>
      <c r="AI101" s="12">
        <f t="shared" si="20"/>
        <v>435.35993967816216</v>
      </c>
      <c r="AJ101" s="12">
        <f t="shared" si="21"/>
        <v>405.52006032183772</v>
      </c>
      <c r="AK101" t="str">
        <f t="shared" si="22"/>
        <v>sell</v>
      </c>
      <c r="BA101" t="s">
        <v>223</v>
      </c>
      <c r="BB101" s="5">
        <v>441.95001000000002</v>
      </c>
      <c r="BC101" s="5">
        <v>444.89999</v>
      </c>
      <c r="BD101" s="5">
        <v>442.45001000000002</v>
      </c>
      <c r="BE101" s="5">
        <v>438.89999</v>
      </c>
      <c r="BF101" s="5">
        <v>432.5</v>
      </c>
      <c r="BG101" s="5">
        <v>432.39999</v>
      </c>
      <c r="BH101" s="5">
        <v>430.95001000000002</v>
      </c>
      <c r="BI101" s="5">
        <v>429.54998999999998</v>
      </c>
      <c r="BJ101" s="5" t="str">
        <f t="shared" si="23"/>
        <v>-</v>
      </c>
      <c r="BK101" t="str">
        <f t="shared" si="24"/>
        <v/>
      </c>
      <c r="BM101" t="s">
        <v>24</v>
      </c>
      <c r="BN101" t="s">
        <v>223</v>
      </c>
      <c r="BO101">
        <v>437.79998999999998</v>
      </c>
      <c r="BP101">
        <v>429.14999</v>
      </c>
      <c r="BQ101">
        <v>443.29998999999998</v>
      </c>
      <c r="BR101">
        <v>442.60001</v>
      </c>
      <c r="BS101">
        <v>446</v>
      </c>
      <c r="BT101">
        <v>437.64999</v>
      </c>
      <c r="BU101">
        <v>444.89999</v>
      </c>
      <c r="BV101">
        <v>438.89999</v>
      </c>
      <c r="BW101" s="5" t="str">
        <f t="shared" si="25"/>
        <v>-</v>
      </c>
      <c r="BX101" t="str">
        <f t="shared" si="26"/>
        <v/>
      </c>
      <c r="BZ101" t="str">
        <f t="shared" si="15"/>
        <v/>
      </c>
    </row>
    <row r="102" spans="2:78" x14ac:dyDescent="0.3">
      <c r="B102" s="28" t="s">
        <v>821</v>
      </c>
      <c r="C102" s="28" t="s">
        <v>821</v>
      </c>
      <c r="D102" s="28" t="s">
        <v>821</v>
      </c>
      <c r="E102" s="30" t="s">
        <v>821</v>
      </c>
      <c r="F102" s="11"/>
      <c r="G102" s="11"/>
      <c r="H102" s="36"/>
      <c r="I102" s="28">
        <v>1130.95</v>
      </c>
      <c r="J102" s="28">
        <v>983.35</v>
      </c>
      <c r="K102" s="30">
        <v>1028.1500000000001</v>
      </c>
      <c r="L102" s="10">
        <v>1</v>
      </c>
      <c r="M102" s="12" t="str">
        <f>IFERROR(IF(AND(#REF!="sell",B102&gt;=AI102),"sell",""),"")</f>
        <v/>
      </c>
      <c r="S102" t="str">
        <f>IFERROR(IF(AND(#REF!="sell",C102&gt;=#REF!),"sell",""),"")</f>
        <v/>
      </c>
      <c r="W102" s="40" t="e">
        <f t="shared" si="16"/>
        <v>#VALUE!</v>
      </c>
      <c r="X102" s="12" t="str">
        <f>IF(S102="sell",#REF!-E102,"")</f>
        <v/>
      </c>
      <c r="AA102" s="12" t="s">
        <v>225</v>
      </c>
      <c r="AB102" s="12">
        <v>1029.3</v>
      </c>
      <c r="AC102">
        <v>1030</v>
      </c>
      <c r="AD102" s="12">
        <v>1032.2750000000001</v>
      </c>
      <c r="AE102" s="12">
        <v>1034.9749999999999</v>
      </c>
      <c r="AF102" s="12">
        <f t="shared" si="17"/>
        <v>1057.1500000000001</v>
      </c>
      <c r="AG102" s="12">
        <f t="shared" si="18"/>
        <v>10.396160348898086</v>
      </c>
      <c r="AH102" s="12">
        <f t="shared" si="19"/>
        <v>1036.7400000000002</v>
      </c>
      <c r="AI102" s="12">
        <f t="shared" si="20"/>
        <v>1057.5323206977964</v>
      </c>
      <c r="AJ102" s="12">
        <f t="shared" si="21"/>
        <v>1015.9476793022041</v>
      </c>
      <c r="AK102" t="str">
        <f t="shared" si="22"/>
        <v>sell</v>
      </c>
      <c r="BA102" t="s">
        <v>225</v>
      </c>
      <c r="BB102" s="5">
        <v>1085.95</v>
      </c>
      <c r="BC102" s="5">
        <v>1076.75</v>
      </c>
      <c r="BD102" s="5">
        <v>1083.0999999999999</v>
      </c>
      <c r="BE102" s="5">
        <v>1079.9000000000001</v>
      </c>
      <c r="BF102" s="5">
        <v>1068</v>
      </c>
      <c r="BG102" s="5">
        <v>1051.1500000000001</v>
      </c>
      <c r="BH102" s="5">
        <v>1040.1500000000001</v>
      </c>
      <c r="BI102" s="5">
        <v>1046.6500000000001</v>
      </c>
      <c r="BJ102" s="5" t="str">
        <f t="shared" si="23"/>
        <v>-</v>
      </c>
      <c r="BK102" t="str">
        <f t="shared" si="24"/>
        <v/>
      </c>
      <c r="BM102" t="s">
        <v>24</v>
      </c>
      <c r="BN102" t="s">
        <v>225</v>
      </c>
      <c r="BO102">
        <v>927</v>
      </c>
      <c r="BP102">
        <v>936</v>
      </c>
      <c r="BQ102">
        <v>946.90002000000004</v>
      </c>
      <c r="BR102">
        <v>960</v>
      </c>
      <c r="BS102">
        <v>949.70001000000002</v>
      </c>
      <c r="BT102">
        <v>1028</v>
      </c>
      <c r="BU102">
        <v>1085.95</v>
      </c>
      <c r="BV102">
        <v>1079.9000000000001</v>
      </c>
      <c r="BW102" s="5" t="str">
        <f t="shared" si="25"/>
        <v>-</v>
      </c>
      <c r="BX102" t="str">
        <f t="shared" si="26"/>
        <v>Pivot sell</v>
      </c>
      <c r="BZ102" t="str">
        <f t="shared" si="15"/>
        <v/>
      </c>
    </row>
    <row r="103" spans="2:78" x14ac:dyDescent="0.3">
      <c r="B103" s="28" t="s">
        <v>821</v>
      </c>
      <c r="C103" s="28" t="s">
        <v>821</v>
      </c>
      <c r="D103" s="28" t="s">
        <v>821</v>
      </c>
      <c r="E103" s="30" t="s">
        <v>821</v>
      </c>
      <c r="F103" s="11"/>
      <c r="G103" s="11"/>
      <c r="H103" s="36"/>
      <c r="I103" s="28">
        <v>3931</v>
      </c>
      <c r="J103" s="28">
        <v>3311.7</v>
      </c>
      <c r="K103" s="30">
        <v>3872.25</v>
      </c>
      <c r="L103" s="10">
        <v>1</v>
      </c>
      <c r="M103" s="12" t="str">
        <f>IFERROR(IF(AND(#REF!="sell",B103&gt;=AI103),"sell",""),"")</f>
        <v/>
      </c>
      <c r="S103" t="str">
        <f>IFERROR(IF(AND(#REF!="sell",C103&gt;=#REF!),"sell",""),"")</f>
        <v/>
      </c>
      <c r="W103" s="40" t="e">
        <f t="shared" si="16"/>
        <v>#VALUE!</v>
      </c>
      <c r="X103" s="12" t="str">
        <f>IF(S103="sell",#REF!-E103,"")</f>
        <v/>
      </c>
      <c r="AA103" s="12" t="s">
        <v>227</v>
      </c>
      <c r="AB103" s="12">
        <v>3904.0250000000001</v>
      </c>
      <c r="AC103">
        <v>3901.35</v>
      </c>
      <c r="AD103" s="12">
        <v>3910.0749999999998</v>
      </c>
      <c r="AE103" s="12">
        <v>3913</v>
      </c>
      <c r="AF103" s="12">
        <f t="shared" si="17"/>
        <v>3621.35</v>
      </c>
      <c r="AG103" s="12">
        <f t="shared" si="18"/>
        <v>114.38036828931791</v>
      </c>
      <c r="AH103" s="12">
        <f t="shared" si="19"/>
        <v>3849.96</v>
      </c>
      <c r="AI103" s="12">
        <f t="shared" si="20"/>
        <v>4078.7207365786358</v>
      </c>
      <c r="AJ103" s="12">
        <f t="shared" si="21"/>
        <v>3621.1992634213643</v>
      </c>
      <c r="AK103" t="str">
        <f t="shared" si="22"/>
        <v>sell</v>
      </c>
      <c r="BA103" t="s">
        <v>227</v>
      </c>
      <c r="BB103" s="5">
        <v>4003.95</v>
      </c>
      <c r="BC103" s="5">
        <v>3994</v>
      </c>
      <c r="BD103" s="5">
        <v>4066</v>
      </c>
      <c r="BE103" s="5">
        <v>4029.55</v>
      </c>
      <c r="BF103" s="5">
        <v>4049</v>
      </c>
      <c r="BG103" s="5">
        <v>4002.95</v>
      </c>
      <c r="BH103" s="5">
        <v>4048</v>
      </c>
      <c r="BI103" s="5">
        <v>3935.55</v>
      </c>
      <c r="BJ103" s="5" t="str">
        <f t="shared" si="23"/>
        <v>-</v>
      </c>
      <c r="BK103" t="str">
        <f t="shared" si="24"/>
        <v/>
      </c>
      <c r="BM103" t="s">
        <v>24</v>
      </c>
      <c r="BN103" t="s">
        <v>227</v>
      </c>
      <c r="BO103">
        <v>4410.4502000000002</v>
      </c>
      <c r="BP103">
        <v>4295</v>
      </c>
      <c r="BQ103">
        <v>4225.4502000000002</v>
      </c>
      <c r="BR103">
        <v>4094.8501000000001</v>
      </c>
      <c r="BS103">
        <v>4010</v>
      </c>
      <c r="BT103">
        <v>4083.95</v>
      </c>
      <c r="BU103">
        <v>4066</v>
      </c>
      <c r="BV103">
        <v>4049</v>
      </c>
      <c r="BW103" s="5" t="str">
        <f t="shared" si="25"/>
        <v>-</v>
      </c>
      <c r="BX103" t="str">
        <f t="shared" si="26"/>
        <v/>
      </c>
      <c r="BZ103" t="str">
        <f t="shared" si="15"/>
        <v/>
      </c>
    </row>
    <row r="104" spans="2:78" x14ac:dyDescent="0.3">
      <c r="B104" s="28" t="s">
        <v>821</v>
      </c>
      <c r="C104" s="28" t="s">
        <v>821</v>
      </c>
      <c r="D104" s="28" t="s">
        <v>821</v>
      </c>
      <c r="E104" s="30" t="s">
        <v>821</v>
      </c>
      <c r="F104" s="11"/>
      <c r="G104" s="11"/>
      <c r="H104" s="36"/>
      <c r="I104" s="28">
        <v>968.6</v>
      </c>
      <c r="J104" s="28">
        <v>800.85</v>
      </c>
      <c r="K104" s="30">
        <v>880.55</v>
      </c>
      <c r="L104" s="10">
        <v>1</v>
      </c>
      <c r="M104" s="12" t="str">
        <f>IFERROR(IF(AND(#REF!="sell",B104&gt;=AI104),"sell",""),"")</f>
        <v/>
      </c>
      <c r="S104" t="str">
        <f>IFERROR(IF(AND(#REF!="sell",C104&gt;=#REF!),"sell",""),"")</f>
        <v/>
      </c>
      <c r="W104" s="40" t="e">
        <f t="shared" si="16"/>
        <v>#VALUE!</v>
      </c>
      <c r="X104" s="12" t="str">
        <f>IF(S104="sell",#REF!-E104,"")</f>
        <v/>
      </c>
      <c r="AA104" s="12" t="s">
        <v>229</v>
      </c>
      <c r="AB104" s="12">
        <v>883.67499999999995</v>
      </c>
      <c r="AC104">
        <v>882.95</v>
      </c>
      <c r="AD104" s="12">
        <v>883.72499999999991</v>
      </c>
      <c r="AE104" s="12">
        <v>884.92499999999995</v>
      </c>
      <c r="AF104" s="12">
        <f t="shared" si="17"/>
        <v>884.72500000000002</v>
      </c>
      <c r="AG104" s="12">
        <f t="shared" si="18"/>
        <v>0.73006848993774998</v>
      </c>
      <c r="AH104" s="12">
        <f t="shared" si="19"/>
        <v>884</v>
      </c>
      <c r="AI104" s="12">
        <f t="shared" si="20"/>
        <v>885.46013697987553</v>
      </c>
      <c r="AJ104" s="12">
        <f t="shared" si="21"/>
        <v>882.53986302012447</v>
      </c>
      <c r="AK104" t="str">
        <f t="shared" si="22"/>
        <v>sell</v>
      </c>
      <c r="BA104" t="s">
        <v>229</v>
      </c>
      <c r="BB104" s="5">
        <v>927.29998999999998</v>
      </c>
      <c r="BC104" s="5">
        <v>920.84997999999996</v>
      </c>
      <c r="BD104" s="5">
        <v>925</v>
      </c>
      <c r="BE104" s="5">
        <v>919.15002000000004</v>
      </c>
      <c r="BF104" s="5">
        <v>915.84997999999996</v>
      </c>
      <c r="BG104" s="5">
        <v>910</v>
      </c>
      <c r="BH104" s="5">
        <v>900.79998999999998</v>
      </c>
      <c r="BI104" s="5">
        <v>895.45001000000002</v>
      </c>
      <c r="BJ104" s="5" t="str">
        <f t="shared" si="23"/>
        <v>-</v>
      </c>
      <c r="BK104" t="str">
        <f t="shared" si="24"/>
        <v/>
      </c>
      <c r="BM104" t="s">
        <v>24</v>
      </c>
      <c r="BN104" t="s">
        <v>229</v>
      </c>
      <c r="BO104">
        <v>891.45001000000002</v>
      </c>
      <c r="BP104">
        <v>882</v>
      </c>
      <c r="BQ104">
        <v>914</v>
      </c>
      <c r="BR104">
        <v>903.70001000000002</v>
      </c>
      <c r="BS104">
        <v>893</v>
      </c>
      <c r="BT104">
        <v>914.95001000000002</v>
      </c>
      <c r="BU104">
        <v>928.95001000000002</v>
      </c>
      <c r="BV104">
        <v>919.15002000000004</v>
      </c>
      <c r="BW104" s="5" t="str">
        <f t="shared" si="25"/>
        <v>-</v>
      </c>
      <c r="BX104" t="str">
        <f t="shared" si="26"/>
        <v>Pivot sell</v>
      </c>
      <c r="BZ104" t="str">
        <f t="shared" si="15"/>
        <v/>
      </c>
    </row>
    <row r="105" spans="2:78" x14ac:dyDescent="0.3">
      <c r="B105" s="28" t="s">
        <v>821</v>
      </c>
      <c r="C105" s="28" t="s">
        <v>821</v>
      </c>
      <c r="D105" s="28" t="s">
        <v>821</v>
      </c>
      <c r="E105" s="30" t="s">
        <v>821</v>
      </c>
      <c r="F105" s="11"/>
      <c r="G105" s="11"/>
      <c r="H105" s="36"/>
      <c r="I105" s="28">
        <v>540</v>
      </c>
      <c r="J105" s="28">
        <v>444.6</v>
      </c>
      <c r="K105" s="30">
        <v>494</v>
      </c>
      <c r="L105" s="10">
        <v>1</v>
      </c>
      <c r="M105" s="12" t="str">
        <f>IFERROR(IF(AND(#REF!="sell",B105&gt;=AI105),"sell",""),"")</f>
        <v/>
      </c>
      <c r="S105" t="str">
        <f>IFERROR(IF(AND(#REF!="sell",C105&gt;=#REF!),"sell",""),"")</f>
        <v/>
      </c>
      <c r="W105" s="40" t="e">
        <f t="shared" si="16"/>
        <v>#VALUE!</v>
      </c>
      <c r="X105" s="12" t="str">
        <f>IF(S105="sell",#REF!-E105,"")</f>
        <v/>
      </c>
      <c r="AA105" s="12" t="s">
        <v>231</v>
      </c>
      <c r="AB105" s="12">
        <v>504.27499999999998</v>
      </c>
      <c r="AC105">
        <v>502.47500000000002</v>
      </c>
      <c r="AD105" s="12">
        <v>502.7</v>
      </c>
      <c r="AE105" s="12">
        <v>502.8</v>
      </c>
      <c r="AF105" s="12">
        <f t="shared" si="17"/>
        <v>492.3</v>
      </c>
      <c r="AG105" s="12">
        <f t="shared" si="18"/>
        <v>4.3515686826706466</v>
      </c>
      <c r="AH105" s="12">
        <f t="shared" si="19"/>
        <v>500.91</v>
      </c>
      <c r="AI105" s="12">
        <f t="shared" si="20"/>
        <v>509.61313736534134</v>
      </c>
      <c r="AJ105" s="12">
        <f t="shared" si="21"/>
        <v>492.20686263465871</v>
      </c>
      <c r="AK105" t="str">
        <f t="shared" si="22"/>
        <v>sell</v>
      </c>
      <c r="BA105" t="s">
        <v>231</v>
      </c>
      <c r="BB105" s="5">
        <v>484.89999</v>
      </c>
      <c r="BC105" s="5">
        <v>502.39999</v>
      </c>
      <c r="BD105" s="5">
        <v>474</v>
      </c>
      <c r="BE105" s="5">
        <v>501</v>
      </c>
      <c r="BF105" s="5">
        <v>512.90002000000004</v>
      </c>
      <c r="BG105" s="5">
        <v>520.45001000000002</v>
      </c>
      <c r="BH105" s="5">
        <v>523.5</v>
      </c>
      <c r="BI105" s="5">
        <v>509</v>
      </c>
      <c r="BJ105" s="5" t="str">
        <f t="shared" si="23"/>
        <v>-</v>
      </c>
      <c r="BK105" t="str">
        <f t="shared" si="24"/>
        <v>Pivot sell</v>
      </c>
      <c r="BM105" t="s">
        <v>33</v>
      </c>
      <c r="BN105" t="s">
        <v>231</v>
      </c>
      <c r="BO105">
        <v>462.89999</v>
      </c>
      <c r="BP105">
        <v>458.95001000000002</v>
      </c>
      <c r="BQ105">
        <v>445</v>
      </c>
      <c r="BR105">
        <v>469.85001</v>
      </c>
      <c r="BS105">
        <v>497.85001</v>
      </c>
      <c r="BT105">
        <v>479.95001000000002</v>
      </c>
      <c r="BU105">
        <v>502.39999</v>
      </c>
      <c r="BV105">
        <v>523.5</v>
      </c>
      <c r="BW105" s="5" t="str">
        <f t="shared" si="25"/>
        <v>-</v>
      </c>
      <c r="BX105" t="str">
        <f t="shared" si="26"/>
        <v>Pivot sell</v>
      </c>
      <c r="BZ105" t="str">
        <f t="shared" si="15"/>
        <v>ok</v>
      </c>
    </row>
    <row r="106" spans="2:78" x14ac:dyDescent="0.3">
      <c r="B106" s="28" t="s">
        <v>821</v>
      </c>
      <c r="C106" s="28" t="s">
        <v>821</v>
      </c>
      <c r="D106" s="28" t="s">
        <v>821</v>
      </c>
      <c r="E106" s="30" t="s">
        <v>821</v>
      </c>
      <c r="F106" s="11"/>
      <c r="G106" s="11"/>
      <c r="H106" s="36"/>
      <c r="I106" s="28">
        <v>1848.4</v>
      </c>
      <c r="J106" s="28">
        <v>1500</v>
      </c>
      <c r="K106" s="30">
        <v>1680.4</v>
      </c>
      <c r="L106" s="10">
        <v>1</v>
      </c>
      <c r="M106" s="12" t="str">
        <f>IFERROR(IF(AND(#REF!="sell",B106&gt;=AI106),"sell",""),"")</f>
        <v/>
      </c>
      <c r="S106" t="str">
        <f>IFERROR(IF(AND(#REF!="sell",C106&gt;=#REF!),"sell",""),"")</f>
        <v/>
      </c>
      <c r="W106" s="40" t="e">
        <f t="shared" si="16"/>
        <v>#VALUE!</v>
      </c>
      <c r="X106" s="12" t="str">
        <f>IF(S106="sell",#REF!-E106,"")</f>
        <v/>
      </c>
      <c r="AA106" s="12" t="s">
        <v>233</v>
      </c>
      <c r="AB106" s="12">
        <v>1689.15</v>
      </c>
      <c r="AC106">
        <v>1690.9</v>
      </c>
      <c r="AD106" s="12">
        <v>1693.4</v>
      </c>
      <c r="AE106" s="12">
        <v>1693</v>
      </c>
      <c r="AF106" s="12">
        <f t="shared" si="17"/>
        <v>1674.2</v>
      </c>
      <c r="AG106" s="12">
        <f t="shared" si="18"/>
        <v>7.1308905474702167</v>
      </c>
      <c r="AH106" s="12">
        <f t="shared" si="19"/>
        <v>1688.1300000000003</v>
      </c>
      <c r="AI106" s="12">
        <f t="shared" si="20"/>
        <v>1702.3917810949408</v>
      </c>
      <c r="AJ106" s="12">
        <f t="shared" si="21"/>
        <v>1673.8682189050598</v>
      </c>
      <c r="AK106" t="str">
        <f t="shared" si="22"/>
        <v>sell</v>
      </c>
      <c r="BA106" t="s">
        <v>233</v>
      </c>
      <c r="BB106" s="5">
        <v>1704.95</v>
      </c>
      <c r="BC106" s="5">
        <v>1713.6</v>
      </c>
      <c r="BD106" s="5">
        <v>1717.85</v>
      </c>
      <c r="BE106" s="5">
        <v>1722</v>
      </c>
      <c r="BF106" s="5">
        <v>1716</v>
      </c>
      <c r="BG106" s="5">
        <v>1710.9</v>
      </c>
      <c r="BH106" s="5">
        <v>1707.6</v>
      </c>
      <c r="BI106" s="5">
        <v>1703</v>
      </c>
      <c r="BJ106" s="5" t="str">
        <f t="shared" si="23"/>
        <v>-</v>
      </c>
      <c r="BK106" t="str">
        <f t="shared" si="24"/>
        <v/>
      </c>
      <c r="BM106" t="s">
        <v>24</v>
      </c>
      <c r="BN106" t="s">
        <v>233</v>
      </c>
      <c r="BO106">
        <v>1829.9</v>
      </c>
      <c r="BP106">
        <v>1813</v>
      </c>
      <c r="BQ106">
        <v>1845.5</v>
      </c>
      <c r="BR106">
        <v>1647.25</v>
      </c>
      <c r="BS106">
        <v>1661.85</v>
      </c>
      <c r="BT106">
        <v>1705.65</v>
      </c>
      <c r="BU106">
        <v>1717.85</v>
      </c>
      <c r="BV106">
        <v>1722</v>
      </c>
      <c r="BW106" s="5" t="str">
        <f t="shared" si="25"/>
        <v>-</v>
      </c>
      <c r="BX106" t="str">
        <f t="shared" si="26"/>
        <v/>
      </c>
      <c r="BZ106" t="str">
        <f t="shared" si="15"/>
        <v/>
      </c>
    </row>
    <row r="107" spans="2:78" x14ac:dyDescent="0.3">
      <c r="B107" s="28" t="s">
        <v>821</v>
      </c>
      <c r="C107" s="28" t="s">
        <v>821</v>
      </c>
      <c r="D107" s="28" t="s">
        <v>821</v>
      </c>
      <c r="E107" s="30" t="s">
        <v>821</v>
      </c>
      <c r="F107" s="11"/>
      <c r="G107" s="11"/>
      <c r="H107" s="36"/>
      <c r="I107" s="28"/>
      <c r="J107" s="28"/>
      <c r="K107" s="30"/>
      <c r="L107" s="10">
        <v>1</v>
      </c>
      <c r="M107" s="12" t="str">
        <f>IFERROR(IF(AND(#REF!="sell",B107&gt;=AI107),"sell",""),"")</f>
        <v/>
      </c>
      <c r="S107" t="str">
        <f>IFERROR(IF(AND(#REF!="sell",C107&gt;=#REF!),"sell",""),"")</f>
        <v/>
      </c>
      <c r="W107" s="40" t="e">
        <f t="shared" si="16"/>
        <v>#VALUE!</v>
      </c>
      <c r="X107" s="12" t="str">
        <f>IF(S107="sell",#REF!-E107,"")</f>
        <v/>
      </c>
      <c r="AA107" s="12" t="s">
        <v>234</v>
      </c>
      <c r="AB107" s="12">
        <v>153.15</v>
      </c>
      <c r="AC107">
        <v>152.82499999999999</v>
      </c>
      <c r="AD107" s="12">
        <v>152.94999999999999</v>
      </c>
      <c r="AE107" s="12">
        <v>153.52500000000001</v>
      </c>
      <c r="AF107" s="12" t="e">
        <f t="shared" si="17"/>
        <v>#VALUE!</v>
      </c>
      <c r="AG107" s="12" t="e">
        <f t="shared" si="18"/>
        <v>#VALUE!</v>
      </c>
      <c r="AH107" s="12" t="e">
        <f t="shared" si="19"/>
        <v>#VALUE!</v>
      </c>
      <c r="AI107" s="12" t="e">
        <f t="shared" si="20"/>
        <v>#VALUE!</v>
      </c>
      <c r="AJ107" s="12" t="e">
        <f t="shared" si="21"/>
        <v>#VALUE!</v>
      </c>
      <c r="AK107" t="e">
        <f t="shared" si="22"/>
        <v>#VALUE!</v>
      </c>
      <c r="BA107" t="s">
        <v>234</v>
      </c>
      <c r="BB107" s="5">
        <v>159.94999999999999</v>
      </c>
      <c r="BC107" s="5">
        <v>160</v>
      </c>
      <c r="BD107" s="5">
        <v>159.44999999999999</v>
      </c>
      <c r="BE107" s="5">
        <v>159</v>
      </c>
      <c r="BF107" s="5">
        <v>159.19999999999999</v>
      </c>
      <c r="BG107" s="5">
        <v>159</v>
      </c>
      <c r="BH107" s="5">
        <v>157.64999</v>
      </c>
      <c r="BI107" s="5">
        <v>156.75</v>
      </c>
      <c r="BJ107" s="5" t="str">
        <f t="shared" si="23"/>
        <v>-</v>
      </c>
      <c r="BK107" t="str">
        <f t="shared" si="24"/>
        <v/>
      </c>
      <c r="BM107" t="s">
        <v>24</v>
      </c>
      <c r="BN107" t="s">
        <v>234</v>
      </c>
      <c r="BO107">
        <v>171.8</v>
      </c>
      <c r="BP107">
        <v>166.75</v>
      </c>
      <c r="BQ107">
        <v>169.5</v>
      </c>
      <c r="BR107">
        <v>172.14999</v>
      </c>
      <c r="BS107">
        <v>169</v>
      </c>
      <c r="BT107">
        <v>162.69999999999999</v>
      </c>
      <c r="BU107">
        <v>160.5</v>
      </c>
      <c r="BV107">
        <v>159.19999999999999</v>
      </c>
      <c r="BW107" s="5" t="str">
        <f t="shared" si="25"/>
        <v>-</v>
      </c>
      <c r="BX107" t="str">
        <f t="shared" si="26"/>
        <v/>
      </c>
      <c r="BZ107" t="str">
        <f t="shared" si="15"/>
        <v/>
      </c>
    </row>
    <row r="108" spans="2:78" x14ac:dyDescent="0.3">
      <c r="B108" s="28" t="s">
        <v>821</v>
      </c>
      <c r="C108" s="28" t="s">
        <v>821</v>
      </c>
      <c r="D108" s="28" t="s">
        <v>821</v>
      </c>
      <c r="E108" s="30" t="s">
        <v>821</v>
      </c>
      <c r="F108" s="11"/>
      <c r="G108" s="11"/>
      <c r="H108" s="36"/>
      <c r="I108" s="28">
        <v>2646</v>
      </c>
      <c r="J108" s="28">
        <v>2619.5500000000002</v>
      </c>
      <c r="K108" s="30">
        <v>2647.85</v>
      </c>
      <c r="L108" s="10">
        <v>1</v>
      </c>
      <c r="M108" s="12" t="str">
        <f>IFERROR(IF(AND(#REF!="sell",B108&gt;=AI108),"sell",""),"")</f>
        <v/>
      </c>
      <c r="S108" t="str">
        <f>IFERROR(IF(AND(#REF!="sell",C108&gt;=#REF!),"sell",""),"")</f>
        <v/>
      </c>
      <c r="W108" s="40" t="e">
        <f t="shared" si="16"/>
        <v>#VALUE!</v>
      </c>
      <c r="X108" s="12" t="str">
        <f>IF(S108="sell",#REF!-E108,"")</f>
        <v/>
      </c>
      <c r="AA108" s="12" t="s">
        <v>236</v>
      </c>
      <c r="AB108" s="12">
        <v>2615.625</v>
      </c>
      <c r="AC108">
        <v>2626.4250000000002</v>
      </c>
      <c r="AD108" s="12">
        <v>2627.55</v>
      </c>
      <c r="AE108" s="12">
        <v>2639.875</v>
      </c>
      <c r="AF108" s="12">
        <f t="shared" si="17"/>
        <v>2632.7750000000001</v>
      </c>
      <c r="AG108" s="12">
        <f t="shared" si="18"/>
        <v>7.9828253143858756</v>
      </c>
      <c r="AH108" s="12">
        <f t="shared" si="19"/>
        <v>2628.45</v>
      </c>
      <c r="AI108" s="12">
        <f t="shared" si="20"/>
        <v>2644.4156506287713</v>
      </c>
      <c r="AJ108" s="12">
        <f t="shared" si="21"/>
        <v>2612.4843493712283</v>
      </c>
      <c r="AK108" t="str">
        <f t="shared" si="22"/>
        <v>sell</v>
      </c>
      <c r="BA108" t="s">
        <v>236</v>
      </c>
      <c r="BB108" s="5">
        <v>2606.3998999999999</v>
      </c>
      <c r="BC108" s="5">
        <v>2586</v>
      </c>
      <c r="BD108" s="5">
        <v>2635</v>
      </c>
      <c r="BE108" s="5">
        <v>2648</v>
      </c>
      <c r="BF108" s="5">
        <v>2646.3</v>
      </c>
      <c r="BG108" s="5">
        <v>2660</v>
      </c>
      <c r="BH108" s="5">
        <v>2654</v>
      </c>
      <c r="BI108" s="5">
        <v>2656</v>
      </c>
      <c r="BJ108" s="5" t="str">
        <f t="shared" si="23"/>
        <v>-</v>
      </c>
      <c r="BK108" t="str">
        <f t="shared" si="24"/>
        <v/>
      </c>
      <c r="BM108" t="s">
        <v>24</v>
      </c>
      <c r="BN108" t="s">
        <v>236</v>
      </c>
      <c r="BO108">
        <v>2392.4499999999998</v>
      </c>
      <c r="BP108">
        <v>2358.3998999999999</v>
      </c>
      <c r="BQ108">
        <v>2399.9499999999998</v>
      </c>
      <c r="BR108">
        <v>2430.8501000000001</v>
      </c>
      <c r="BS108">
        <v>2405</v>
      </c>
      <c r="BT108">
        <v>2564.9499999999998</v>
      </c>
      <c r="BU108">
        <v>2635</v>
      </c>
      <c r="BV108">
        <v>2660</v>
      </c>
      <c r="BW108" s="5" t="str">
        <f t="shared" si="25"/>
        <v>-</v>
      </c>
      <c r="BX108" t="str">
        <f t="shared" si="26"/>
        <v>Pivot sell</v>
      </c>
      <c r="BZ108" t="str">
        <f t="shared" si="15"/>
        <v/>
      </c>
    </row>
    <row r="109" spans="2:78" x14ac:dyDescent="0.3">
      <c r="B109" s="28" t="s">
        <v>821</v>
      </c>
      <c r="C109" s="28" t="s">
        <v>821</v>
      </c>
      <c r="D109" s="28" t="s">
        <v>821</v>
      </c>
      <c r="E109" s="30" t="s">
        <v>821</v>
      </c>
      <c r="F109" s="11"/>
      <c r="G109" s="11"/>
      <c r="H109" s="36"/>
      <c r="I109" s="28">
        <v>444.45</v>
      </c>
      <c r="J109" s="28">
        <v>411</v>
      </c>
      <c r="K109" s="30">
        <v>418.95</v>
      </c>
      <c r="L109" s="10">
        <v>1</v>
      </c>
      <c r="M109" s="12" t="str">
        <f>IFERROR(IF(AND(#REF!="sell",B109&gt;=AI109),"sell",""),"")</f>
        <v/>
      </c>
      <c r="S109" t="str">
        <f>IFERROR(IF(AND(#REF!="sell",C109&gt;=#REF!),"sell",""),"")</f>
        <v/>
      </c>
      <c r="W109" s="40" t="e">
        <f t="shared" si="16"/>
        <v>#VALUE!</v>
      </c>
      <c r="X109" s="12" t="str">
        <f>IF(S109="sell",#REF!-E109,"")</f>
        <v/>
      </c>
      <c r="AA109" s="12" t="s">
        <v>238</v>
      </c>
      <c r="AB109" s="12">
        <v>427.72500000000002</v>
      </c>
      <c r="AC109">
        <v>426.54999999999995</v>
      </c>
      <c r="AD109" s="12">
        <v>427.32499999999999</v>
      </c>
      <c r="AE109" s="12">
        <v>428.32499999999999</v>
      </c>
      <c r="AF109" s="12">
        <f t="shared" si="17"/>
        <v>427.72500000000002</v>
      </c>
      <c r="AG109" s="12">
        <f t="shared" si="18"/>
        <v>0.58489315263560626</v>
      </c>
      <c r="AH109" s="12">
        <f t="shared" si="19"/>
        <v>427.53000000000003</v>
      </c>
      <c r="AI109" s="12">
        <f t="shared" si="20"/>
        <v>428.69978630527123</v>
      </c>
      <c r="AJ109" s="12">
        <f t="shared" si="21"/>
        <v>426.36021369472883</v>
      </c>
      <c r="AK109" t="str">
        <f t="shared" si="22"/>
        <v>sell</v>
      </c>
      <c r="BA109" t="s">
        <v>238</v>
      </c>
      <c r="BB109" s="5">
        <v>460.45001000000002</v>
      </c>
      <c r="BC109" s="5">
        <v>457.95001000000002</v>
      </c>
      <c r="BD109" s="5">
        <v>450.64999</v>
      </c>
      <c r="BE109" s="5">
        <v>445.60001</v>
      </c>
      <c r="BF109" s="5">
        <v>448.95001000000002</v>
      </c>
      <c r="BG109" s="5">
        <v>448</v>
      </c>
      <c r="BH109" s="5">
        <v>441.10001</v>
      </c>
      <c r="BI109" s="5">
        <v>432.54998999999998</v>
      </c>
      <c r="BJ109" s="5" t="str">
        <f t="shared" si="23"/>
        <v>-</v>
      </c>
      <c r="BK109" t="str">
        <f t="shared" si="24"/>
        <v/>
      </c>
      <c r="BM109" t="s">
        <v>24</v>
      </c>
      <c r="BN109" t="s">
        <v>238</v>
      </c>
      <c r="BO109">
        <v>471</v>
      </c>
      <c r="BP109">
        <v>446.10001</v>
      </c>
      <c r="BQ109">
        <v>443.85001</v>
      </c>
      <c r="BR109">
        <v>457.39999</v>
      </c>
      <c r="BS109">
        <v>449</v>
      </c>
      <c r="BT109">
        <v>448</v>
      </c>
      <c r="BU109">
        <v>460.45001000000002</v>
      </c>
      <c r="BV109">
        <v>448.95001000000002</v>
      </c>
      <c r="BW109" s="5" t="str">
        <f t="shared" si="25"/>
        <v>-</v>
      </c>
      <c r="BX109" t="str">
        <f t="shared" si="26"/>
        <v/>
      </c>
      <c r="BZ109" t="str">
        <f t="shared" si="15"/>
        <v/>
      </c>
    </row>
    <row r="110" spans="2:78" x14ac:dyDescent="0.3">
      <c r="B110" s="28" t="s">
        <v>821</v>
      </c>
      <c r="C110" s="28" t="s">
        <v>821</v>
      </c>
      <c r="D110" s="28" t="s">
        <v>821</v>
      </c>
      <c r="E110" s="30" t="s">
        <v>821</v>
      </c>
      <c r="F110" s="11"/>
      <c r="G110" s="11"/>
      <c r="H110" s="36"/>
      <c r="I110" s="28">
        <v>691</v>
      </c>
      <c r="J110" s="28">
        <v>633</v>
      </c>
      <c r="K110" s="30">
        <v>632.70000000000005</v>
      </c>
      <c r="L110" s="10">
        <v>1</v>
      </c>
      <c r="M110" s="12" t="str">
        <f>IFERROR(IF(AND(#REF!="sell",B110&gt;=AI110),"sell",""),"")</f>
        <v/>
      </c>
      <c r="S110" t="str">
        <f>IFERROR(IF(AND(#REF!="sell",C110&gt;=#REF!),"sell",""),"")</f>
        <v/>
      </c>
      <c r="W110" s="40" t="e">
        <f t="shared" si="16"/>
        <v>#VALUE!</v>
      </c>
      <c r="X110" s="12" t="str">
        <f>IF(S110="sell",#REF!-E110,"")</f>
        <v/>
      </c>
      <c r="AA110" s="12" t="s">
        <v>240</v>
      </c>
      <c r="AB110" s="12">
        <v>632.09999999999991</v>
      </c>
      <c r="AC110">
        <v>631.07500000000005</v>
      </c>
      <c r="AD110" s="12">
        <v>631.45000000000005</v>
      </c>
      <c r="AE110" s="12">
        <v>632.20000000000005</v>
      </c>
      <c r="AF110" s="12">
        <f t="shared" si="17"/>
        <v>662</v>
      </c>
      <c r="AG110" s="12">
        <f t="shared" si="18"/>
        <v>12.124619581661102</v>
      </c>
      <c r="AH110" s="12">
        <f t="shared" si="19"/>
        <v>637.76499999999999</v>
      </c>
      <c r="AI110" s="12">
        <f t="shared" si="20"/>
        <v>662.01423916332215</v>
      </c>
      <c r="AJ110" s="12">
        <f t="shared" si="21"/>
        <v>613.51576083667783</v>
      </c>
      <c r="AK110" t="str">
        <f t="shared" si="22"/>
        <v>sell</v>
      </c>
      <c r="BA110" t="s">
        <v>240</v>
      </c>
      <c r="BB110" s="5">
        <v>657.90002000000004</v>
      </c>
      <c r="BC110" s="5">
        <v>663</v>
      </c>
      <c r="BD110" s="5">
        <v>657.04998999999998</v>
      </c>
      <c r="BE110" s="5">
        <v>653</v>
      </c>
      <c r="BF110" s="5">
        <v>646.79998999999998</v>
      </c>
      <c r="BG110" s="5">
        <v>653.84997999999996</v>
      </c>
      <c r="BH110" s="5">
        <v>648.29998999999998</v>
      </c>
      <c r="BI110" s="5">
        <v>639</v>
      </c>
      <c r="BJ110" s="5" t="str">
        <f t="shared" si="23"/>
        <v>-</v>
      </c>
      <c r="BK110" t="str">
        <f t="shared" si="24"/>
        <v/>
      </c>
      <c r="BM110" t="s">
        <v>24</v>
      </c>
      <c r="BN110" t="s">
        <v>240</v>
      </c>
      <c r="BO110">
        <v>659.34997999999996</v>
      </c>
      <c r="BP110">
        <v>666</v>
      </c>
      <c r="BQ110">
        <v>681.5</v>
      </c>
      <c r="BR110">
        <v>683</v>
      </c>
      <c r="BS110">
        <v>657.90002000000004</v>
      </c>
      <c r="BT110">
        <v>669.95001000000002</v>
      </c>
      <c r="BU110">
        <v>663</v>
      </c>
      <c r="BV110">
        <v>653.84997999999996</v>
      </c>
      <c r="BW110" s="5" t="str">
        <f t="shared" si="25"/>
        <v>-</v>
      </c>
      <c r="BX110" t="str">
        <f t="shared" si="26"/>
        <v/>
      </c>
      <c r="BZ110" t="str">
        <f t="shared" si="15"/>
        <v/>
      </c>
    </row>
    <row r="111" spans="2:78" x14ac:dyDescent="0.3">
      <c r="B111" s="28" t="s">
        <v>821</v>
      </c>
      <c r="C111" s="28" t="s">
        <v>821</v>
      </c>
      <c r="D111" s="28" t="s">
        <v>821</v>
      </c>
      <c r="E111" s="30" t="s">
        <v>821</v>
      </c>
      <c r="F111" s="11"/>
      <c r="G111" s="11"/>
      <c r="H111" s="36"/>
      <c r="I111" s="28">
        <v>4036.2</v>
      </c>
      <c r="J111" s="28">
        <v>2752.2</v>
      </c>
      <c r="K111" s="30">
        <v>3669.3</v>
      </c>
      <c r="L111" s="10">
        <v>1</v>
      </c>
      <c r="M111" s="12" t="str">
        <f>IFERROR(IF(AND(#REF!="sell",B111&gt;=AI111),"sell",""),"")</f>
        <v/>
      </c>
      <c r="S111" t="str">
        <f>IFERROR(IF(AND(#REF!="sell",C111&gt;=#REF!),"sell",""),"")</f>
        <v/>
      </c>
      <c r="W111" s="40" t="e">
        <f t="shared" si="16"/>
        <v>#VALUE!</v>
      </c>
      <c r="X111" s="12" t="str">
        <f>IF(S111="sell",#REF!-E111,"")</f>
        <v/>
      </c>
      <c r="AA111" s="12" t="s">
        <v>242</v>
      </c>
      <c r="AB111" s="12">
        <v>3635.1499999999996</v>
      </c>
      <c r="AC111">
        <v>3632.4250000000002</v>
      </c>
      <c r="AD111" s="12">
        <v>3634.1000000000004</v>
      </c>
      <c r="AE111" s="12">
        <v>3637.65</v>
      </c>
      <c r="AF111" s="12">
        <f t="shared" si="17"/>
        <v>3394.2</v>
      </c>
      <c r="AG111" s="12">
        <f t="shared" si="18"/>
        <v>96.267430110084575</v>
      </c>
      <c r="AH111" s="12">
        <f t="shared" si="19"/>
        <v>3586.7049999999995</v>
      </c>
      <c r="AI111" s="12">
        <f t="shared" si="20"/>
        <v>3779.2398602201688</v>
      </c>
      <c r="AJ111" s="12">
        <f t="shared" si="21"/>
        <v>3394.1701397798302</v>
      </c>
      <c r="AK111" t="str">
        <f t="shared" si="22"/>
        <v>sell</v>
      </c>
      <c r="BA111" t="s">
        <v>242</v>
      </c>
      <c r="BB111" s="5">
        <v>3472.7</v>
      </c>
      <c r="BC111" s="5">
        <v>3601.6498999999999</v>
      </c>
      <c r="BD111" s="5">
        <v>3659</v>
      </c>
      <c r="BE111" s="5">
        <v>3695</v>
      </c>
      <c r="BF111" s="5">
        <v>3685.25</v>
      </c>
      <c r="BG111" s="5">
        <v>3661.8501000000001</v>
      </c>
      <c r="BH111" s="5">
        <v>3643.95</v>
      </c>
      <c r="BI111" s="5">
        <v>3744.8</v>
      </c>
      <c r="BJ111" s="5" t="str">
        <f t="shared" si="23"/>
        <v>-</v>
      </c>
      <c r="BK111" t="str">
        <f t="shared" si="24"/>
        <v/>
      </c>
      <c r="BM111" t="s">
        <v>24</v>
      </c>
      <c r="BN111" t="s">
        <v>242</v>
      </c>
      <c r="BO111">
        <v>3827.95</v>
      </c>
      <c r="BP111">
        <v>3679.8501000000001</v>
      </c>
      <c r="BQ111">
        <v>3666</v>
      </c>
      <c r="BR111">
        <v>3649.8998999999999</v>
      </c>
      <c r="BS111">
        <v>3527</v>
      </c>
      <c r="BT111">
        <v>3475.95</v>
      </c>
      <c r="BU111">
        <v>3659</v>
      </c>
      <c r="BV111">
        <v>3744.8</v>
      </c>
      <c r="BW111" s="5" t="str">
        <f t="shared" si="25"/>
        <v>-</v>
      </c>
      <c r="BX111" t="str">
        <f t="shared" si="26"/>
        <v/>
      </c>
      <c r="BZ111" t="str">
        <f t="shared" si="15"/>
        <v/>
      </c>
    </row>
    <row r="112" spans="2:78" x14ac:dyDescent="0.3">
      <c r="B112" s="28" t="s">
        <v>821</v>
      </c>
      <c r="C112" s="28" t="s">
        <v>821</v>
      </c>
      <c r="D112" s="28" t="s">
        <v>821</v>
      </c>
      <c r="E112" s="30" t="s">
        <v>821</v>
      </c>
      <c r="F112" s="11"/>
      <c r="G112" s="11"/>
      <c r="H112" s="36"/>
      <c r="I112" s="28">
        <v>5172.05</v>
      </c>
      <c r="J112" s="28">
        <v>4231.75</v>
      </c>
      <c r="K112" s="30">
        <v>4701.8900000000003</v>
      </c>
      <c r="L112" s="10">
        <v>1</v>
      </c>
      <c r="M112" s="12" t="str">
        <f>IFERROR(IF(AND(#REF!="sell",B112&gt;=AI112),"sell",""),"")</f>
        <v/>
      </c>
      <c r="S112" t="str">
        <f>IFERROR(IF(AND(#REF!="sell",C112&gt;=#REF!),"sell",""),"")</f>
        <v/>
      </c>
      <c r="W112" s="40" t="e">
        <f t="shared" si="16"/>
        <v>#VALUE!</v>
      </c>
      <c r="X112" s="12" t="str">
        <f>IF(S112="sell",#REF!-E112,"")</f>
        <v/>
      </c>
      <c r="AA112" s="12" t="s">
        <v>244</v>
      </c>
      <c r="AB112" s="12">
        <v>4770.8500000000004</v>
      </c>
      <c r="AC112">
        <v>4756.4250000000002</v>
      </c>
      <c r="AD112" s="12">
        <v>4769.25</v>
      </c>
      <c r="AE112" s="12">
        <v>4785.7250000000004</v>
      </c>
      <c r="AF112" s="12">
        <f t="shared" si="17"/>
        <v>4701.8999999999996</v>
      </c>
      <c r="AG112" s="12">
        <f t="shared" si="18"/>
        <v>28.993815719908515</v>
      </c>
      <c r="AH112" s="12">
        <f t="shared" si="19"/>
        <v>4756.83</v>
      </c>
      <c r="AI112" s="12">
        <f t="shared" si="20"/>
        <v>4814.817631439817</v>
      </c>
      <c r="AJ112" s="12">
        <f t="shared" si="21"/>
        <v>4698.8423685601829</v>
      </c>
      <c r="AK112" t="str">
        <f t="shared" si="22"/>
        <v>sell</v>
      </c>
      <c r="BA112" t="s">
        <v>244</v>
      </c>
      <c r="BB112" s="5">
        <v>4805</v>
      </c>
      <c r="BC112" s="5">
        <v>4848.9502000000002</v>
      </c>
      <c r="BD112" s="5">
        <v>4860</v>
      </c>
      <c r="BE112" s="5">
        <v>4915.2002000000002</v>
      </c>
      <c r="BF112" s="5">
        <v>4933.4502000000002</v>
      </c>
      <c r="BG112" s="5">
        <v>4892.8999000000003</v>
      </c>
      <c r="BH112" s="5">
        <v>4870.7002000000002</v>
      </c>
      <c r="BI112" s="5">
        <v>4775.6499000000003</v>
      </c>
      <c r="BJ112" s="5" t="str">
        <f t="shared" si="23"/>
        <v>-</v>
      </c>
      <c r="BK112" t="str">
        <f t="shared" si="24"/>
        <v/>
      </c>
      <c r="BM112" t="s">
        <v>24</v>
      </c>
      <c r="BN112" t="s">
        <v>244</v>
      </c>
      <c r="BO112">
        <v>4973.1000999999997</v>
      </c>
      <c r="BP112">
        <v>4891.4502000000002</v>
      </c>
      <c r="BQ112">
        <v>4823.5497999999998</v>
      </c>
      <c r="BR112">
        <v>4809.9502000000002</v>
      </c>
      <c r="BS112">
        <v>4739</v>
      </c>
      <c r="BT112">
        <v>4790</v>
      </c>
      <c r="BU112">
        <v>4860</v>
      </c>
      <c r="BV112">
        <v>4933.4502000000002</v>
      </c>
      <c r="BW112" s="5" t="str">
        <f t="shared" si="25"/>
        <v>-</v>
      </c>
      <c r="BX112" t="str">
        <f t="shared" si="26"/>
        <v/>
      </c>
      <c r="BZ112" t="str">
        <f t="shared" si="15"/>
        <v/>
      </c>
    </row>
    <row r="113" spans="2:78" x14ac:dyDescent="0.3">
      <c r="B113" s="28" t="s">
        <v>821</v>
      </c>
      <c r="C113" s="28" t="s">
        <v>821</v>
      </c>
      <c r="D113" s="28" t="s">
        <v>821</v>
      </c>
      <c r="E113" s="30" t="s">
        <v>821</v>
      </c>
      <c r="F113" s="11"/>
      <c r="G113" s="11"/>
      <c r="H113" s="36"/>
      <c r="I113" s="28">
        <v>4939.8500000000004</v>
      </c>
      <c r="J113" s="28">
        <v>4300</v>
      </c>
      <c r="K113" s="30">
        <v>4490.8</v>
      </c>
      <c r="L113" s="10">
        <v>1</v>
      </c>
      <c r="M113" s="12" t="str">
        <f>IFERROR(IF(AND(#REF!="sell",B113&gt;=AI113),"sell",""),"")</f>
        <v/>
      </c>
      <c r="S113" t="str">
        <f>IFERROR(IF(AND(#REF!="sell",C113&gt;=#REF!),"sell",""),"")</f>
        <v/>
      </c>
      <c r="W113" s="40" t="e">
        <f t="shared" si="16"/>
        <v>#VALUE!</v>
      </c>
      <c r="X113" s="12" t="str">
        <f>IF(S113="sell",#REF!-E113,"")</f>
        <v/>
      </c>
      <c r="AA113" s="12" t="s">
        <v>246</v>
      </c>
      <c r="AB113" s="12">
        <v>4541.95</v>
      </c>
      <c r="AC113">
        <v>4528.625</v>
      </c>
      <c r="AD113" s="12">
        <v>4537.6750000000002</v>
      </c>
      <c r="AE113" s="12">
        <v>4546</v>
      </c>
      <c r="AF113" s="12">
        <f t="shared" si="17"/>
        <v>4619.9250000000002</v>
      </c>
      <c r="AG113" s="12">
        <f t="shared" si="18"/>
        <v>33.052135331926806</v>
      </c>
      <c r="AH113" s="12">
        <f t="shared" si="19"/>
        <v>4554.835</v>
      </c>
      <c r="AI113" s="12">
        <f t="shared" si="20"/>
        <v>4620.9392706638537</v>
      </c>
      <c r="AJ113" s="12">
        <f t="shared" si="21"/>
        <v>4488.7307293361464</v>
      </c>
      <c r="AK113" t="str">
        <f t="shared" si="22"/>
        <v>sell</v>
      </c>
      <c r="BA113" t="s">
        <v>246</v>
      </c>
      <c r="BB113" s="5">
        <v>4635.6499000000003</v>
      </c>
      <c r="BC113" s="5">
        <v>4640</v>
      </c>
      <c r="BD113" s="5">
        <v>4639.8999000000003</v>
      </c>
      <c r="BE113" s="5">
        <v>4635</v>
      </c>
      <c r="BF113" s="5">
        <v>4686.5497999999998</v>
      </c>
      <c r="BG113" s="5">
        <v>4699</v>
      </c>
      <c r="BH113" s="5">
        <v>4650.8500999999997</v>
      </c>
      <c r="BI113" s="5">
        <v>4590</v>
      </c>
      <c r="BJ113" s="5" t="str">
        <f t="shared" si="23"/>
        <v>-</v>
      </c>
      <c r="BK113" t="str">
        <f t="shared" si="24"/>
        <v/>
      </c>
      <c r="BM113" t="s">
        <v>24</v>
      </c>
      <c r="BN113" t="s">
        <v>246</v>
      </c>
      <c r="BO113">
        <v>5873.3500999999997</v>
      </c>
      <c r="BP113">
        <v>5608.8999000000003</v>
      </c>
      <c r="BQ113">
        <v>5300</v>
      </c>
      <c r="BR113">
        <v>4830</v>
      </c>
      <c r="BS113">
        <v>4619.0497999999998</v>
      </c>
      <c r="BT113">
        <v>4566.5497999999998</v>
      </c>
      <c r="BU113">
        <v>4640</v>
      </c>
      <c r="BV113">
        <v>4699</v>
      </c>
      <c r="BW113" s="5" t="str">
        <f t="shared" si="25"/>
        <v>-</v>
      </c>
      <c r="BX113" t="str">
        <f t="shared" si="26"/>
        <v/>
      </c>
      <c r="BZ113" t="str">
        <f t="shared" si="15"/>
        <v/>
      </c>
    </row>
    <row r="114" spans="2:78" x14ac:dyDescent="0.3">
      <c r="B114" s="28" t="s">
        <v>821</v>
      </c>
      <c r="C114" s="28" t="s">
        <v>821</v>
      </c>
      <c r="D114" s="28" t="s">
        <v>821</v>
      </c>
      <c r="E114" s="30" t="s">
        <v>821</v>
      </c>
      <c r="F114" s="11"/>
      <c r="G114" s="11"/>
      <c r="H114" s="36"/>
      <c r="I114" s="28">
        <v>1740.8</v>
      </c>
      <c r="J114" s="28">
        <v>1424.3</v>
      </c>
      <c r="K114" s="30">
        <v>1582.55</v>
      </c>
      <c r="L114" s="10">
        <v>1</v>
      </c>
      <c r="M114" s="12" t="str">
        <f>IFERROR(IF(AND(#REF!="sell",B114&gt;=AI114),"sell",""),"")</f>
        <v/>
      </c>
      <c r="S114" t="str">
        <f>IFERROR(IF(AND(#REF!="sell",C114&gt;=#REF!),"sell",""),"")</f>
        <v/>
      </c>
      <c r="W114" s="40" t="e">
        <f t="shared" si="16"/>
        <v>#VALUE!</v>
      </c>
      <c r="X114" s="12" t="str">
        <f>IF(S114="sell",#REF!-E114,"")</f>
        <v/>
      </c>
      <c r="AA114" s="12" t="s">
        <v>248</v>
      </c>
      <c r="AB114" s="12">
        <v>1580.325</v>
      </c>
      <c r="AC114">
        <v>1578.3249999999998</v>
      </c>
      <c r="AD114" s="12">
        <v>1578.3</v>
      </c>
      <c r="AE114" s="12">
        <v>1580.75</v>
      </c>
      <c r="AF114" s="12">
        <f t="shared" si="17"/>
        <v>1582.55</v>
      </c>
      <c r="AG114" s="12">
        <f t="shared" si="18"/>
        <v>1.6033558556977041</v>
      </c>
      <c r="AH114" s="12">
        <f t="shared" si="19"/>
        <v>1580.05</v>
      </c>
      <c r="AI114" s="12">
        <f t="shared" si="20"/>
        <v>1583.2567117113954</v>
      </c>
      <c r="AJ114" s="12">
        <f t="shared" si="21"/>
        <v>1576.8432882886045</v>
      </c>
      <c r="AK114" t="str">
        <f t="shared" si="22"/>
        <v>sell</v>
      </c>
      <c r="BA114" t="s">
        <v>248</v>
      </c>
      <c r="BB114" s="5">
        <v>1728</v>
      </c>
      <c r="BC114" s="5">
        <v>1700</v>
      </c>
      <c r="BD114" s="5">
        <v>1642</v>
      </c>
      <c r="BE114" s="5">
        <v>1648.6</v>
      </c>
      <c r="BF114" s="5">
        <v>1634</v>
      </c>
      <c r="BG114" s="5">
        <v>1612.15</v>
      </c>
      <c r="BH114" s="5">
        <v>1614.85</v>
      </c>
      <c r="BI114" s="5">
        <v>1607.3</v>
      </c>
      <c r="BJ114" s="5" t="str">
        <f t="shared" si="23"/>
        <v>-</v>
      </c>
      <c r="BK114" t="str">
        <f t="shared" si="24"/>
        <v/>
      </c>
      <c r="BM114" t="s">
        <v>24</v>
      </c>
      <c r="BN114" t="s">
        <v>248</v>
      </c>
      <c r="BO114">
        <v>1643.3</v>
      </c>
      <c r="BP114">
        <v>1640.95</v>
      </c>
      <c r="BQ114">
        <v>1624</v>
      </c>
      <c r="BR114">
        <v>1683</v>
      </c>
      <c r="BS114">
        <v>1687</v>
      </c>
      <c r="BT114">
        <v>1698</v>
      </c>
      <c r="BU114">
        <v>1728</v>
      </c>
      <c r="BV114">
        <v>1648.6</v>
      </c>
      <c r="BW114" s="5" t="str">
        <f t="shared" si="25"/>
        <v>-</v>
      </c>
      <c r="BX114" t="str">
        <f t="shared" si="26"/>
        <v>Pivot sell</v>
      </c>
      <c r="BZ114" t="str">
        <f t="shared" si="15"/>
        <v/>
      </c>
    </row>
    <row r="115" spans="2:78" x14ac:dyDescent="0.3">
      <c r="B115" s="28" t="s">
        <v>821</v>
      </c>
      <c r="C115" s="28" t="s">
        <v>821</v>
      </c>
      <c r="D115" s="28" t="s">
        <v>821</v>
      </c>
      <c r="E115" s="30" t="s">
        <v>821</v>
      </c>
      <c r="F115" s="11"/>
      <c r="G115" s="11"/>
      <c r="H115" s="36"/>
      <c r="I115" s="28">
        <v>2749.8</v>
      </c>
      <c r="J115" s="28">
        <v>2255.65</v>
      </c>
      <c r="K115" s="30">
        <v>2506.25</v>
      </c>
      <c r="L115" s="10">
        <v>1</v>
      </c>
      <c r="M115" s="12" t="str">
        <f>IFERROR(IF(AND(#REF!="sell",B115&gt;=AI115),"sell",""),"")</f>
        <v/>
      </c>
      <c r="S115" t="str">
        <f>IFERROR(IF(AND(#REF!="sell",C115&gt;=#REF!),"sell",""),"")</f>
        <v/>
      </c>
      <c r="W115" s="40" t="e">
        <f t="shared" si="16"/>
        <v>#VALUE!</v>
      </c>
      <c r="X115" s="12" t="str">
        <f>IF(S115="sell",#REF!-E115,"")</f>
        <v/>
      </c>
      <c r="AA115" s="12" t="s">
        <v>249</v>
      </c>
      <c r="AB115" s="12">
        <v>2494.2749999999996</v>
      </c>
      <c r="AC115">
        <v>2494.6</v>
      </c>
      <c r="AD115" s="12">
        <v>2492.6000000000004</v>
      </c>
      <c r="AE115" s="12">
        <v>2497.1999999999998</v>
      </c>
      <c r="AF115" s="12">
        <f t="shared" si="17"/>
        <v>2502.7250000000004</v>
      </c>
      <c r="AG115" s="12">
        <f t="shared" si="18"/>
        <v>3.543141261649144</v>
      </c>
      <c r="AH115" s="12">
        <f t="shared" si="19"/>
        <v>2496.2799999999997</v>
      </c>
      <c r="AI115" s="12">
        <f t="shared" si="20"/>
        <v>2503.3662825232982</v>
      </c>
      <c r="AJ115" s="12">
        <f t="shared" si="21"/>
        <v>2489.1937174767013</v>
      </c>
      <c r="AK115" t="str">
        <f t="shared" si="22"/>
        <v>sell</v>
      </c>
      <c r="BA115" t="s">
        <v>249</v>
      </c>
      <c r="BB115" s="5">
        <v>2535</v>
      </c>
      <c r="BC115" s="5">
        <v>2617.3998999999999</v>
      </c>
      <c r="BD115" s="5">
        <v>2605</v>
      </c>
      <c r="BE115" s="5">
        <v>2589.75</v>
      </c>
      <c r="BF115" s="5">
        <v>2581.9499999999998</v>
      </c>
      <c r="BG115" s="5">
        <v>2547</v>
      </c>
      <c r="BH115" s="5">
        <v>2531.4499999999998</v>
      </c>
      <c r="BI115" s="5">
        <v>2569.1999999999998</v>
      </c>
      <c r="BJ115" s="5" t="str">
        <f t="shared" si="23"/>
        <v>-</v>
      </c>
      <c r="BK115" t="str">
        <f t="shared" si="24"/>
        <v/>
      </c>
      <c r="BM115" t="s">
        <v>24</v>
      </c>
      <c r="BN115" t="s">
        <v>249</v>
      </c>
      <c r="BO115">
        <v>2108.6001000000001</v>
      </c>
      <c r="BP115">
        <v>2087</v>
      </c>
      <c r="BQ115">
        <v>2133</v>
      </c>
      <c r="BR115">
        <v>2210</v>
      </c>
      <c r="BS115">
        <v>2256.75</v>
      </c>
      <c r="BT115">
        <v>2557.9499999999998</v>
      </c>
      <c r="BU115">
        <v>2617.3998999999999</v>
      </c>
      <c r="BV115">
        <v>2589.75</v>
      </c>
      <c r="BW115" s="5" t="str">
        <f t="shared" si="25"/>
        <v>-</v>
      </c>
      <c r="BX115" t="str">
        <f t="shared" si="26"/>
        <v>Pivot sell</v>
      </c>
      <c r="BZ115" t="str">
        <f t="shared" si="15"/>
        <v/>
      </c>
    </row>
    <row r="116" spans="2:78" x14ac:dyDescent="0.3">
      <c r="B116" s="28" t="s">
        <v>821</v>
      </c>
      <c r="C116" s="28" t="s">
        <v>821</v>
      </c>
      <c r="D116" s="28" t="s">
        <v>821</v>
      </c>
      <c r="E116" s="30" t="s">
        <v>821</v>
      </c>
      <c r="F116" s="11"/>
      <c r="G116" s="11"/>
      <c r="H116" s="36"/>
      <c r="I116" s="28">
        <v>265</v>
      </c>
      <c r="J116" s="28">
        <v>245</v>
      </c>
      <c r="K116" s="30">
        <v>267.60000000000002</v>
      </c>
      <c r="L116" s="10">
        <v>1</v>
      </c>
      <c r="M116" s="12" t="str">
        <f>IFERROR(IF(AND(#REF!="sell",B116&gt;=AI116),"sell",""),"")</f>
        <v/>
      </c>
      <c r="S116" t="str">
        <f>IFERROR(IF(AND(#REF!="sell",C116&gt;=#REF!),"sell",""),"")</f>
        <v/>
      </c>
      <c r="W116" s="40" t="e">
        <f t="shared" si="16"/>
        <v>#VALUE!</v>
      </c>
      <c r="X116" s="12" t="str">
        <f>IF(S116="sell",#REF!-E116,"")</f>
        <v/>
      </c>
      <c r="AA116" s="12" t="s">
        <v>250</v>
      </c>
      <c r="AB116" s="12">
        <v>264.17499999999995</v>
      </c>
      <c r="AC116">
        <v>263.85000000000002</v>
      </c>
      <c r="AD116" s="12">
        <v>262.85000000000002</v>
      </c>
      <c r="AE116" s="12">
        <v>262.10000000000002</v>
      </c>
      <c r="AF116" s="12">
        <f t="shared" si="17"/>
        <v>255</v>
      </c>
      <c r="AG116" s="12">
        <f t="shared" si="18"/>
        <v>3.3783279888133997</v>
      </c>
      <c r="AH116" s="12">
        <f t="shared" si="19"/>
        <v>261.59499999999997</v>
      </c>
      <c r="AI116" s="12">
        <f t="shared" si="20"/>
        <v>268.35165597762676</v>
      </c>
      <c r="AJ116" s="12">
        <f t="shared" si="21"/>
        <v>254.83834402237318</v>
      </c>
      <c r="AK116" t="str">
        <f t="shared" si="22"/>
        <v>sell</v>
      </c>
      <c r="BA116" t="s">
        <v>250</v>
      </c>
      <c r="BB116" s="5">
        <v>268.64999</v>
      </c>
      <c r="BC116" s="5">
        <v>270</v>
      </c>
      <c r="BD116" s="5">
        <v>272.89999</v>
      </c>
      <c r="BE116" s="5">
        <v>271.75</v>
      </c>
      <c r="BF116" s="5">
        <v>272.25</v>
      </c>
      <c r="BG116" s="5">
        <v>270.60001</v>
      </c>
      <c r="BH116" s="5">
        <v>268.20001000000002</v>
      </c>
      <c r="BI116" s="5">
        <v>270.89999</v>
      </c>
      <c r="BJ116" s="5" t="str">
        <f t="shared" si="23"/>
        <v>-</v>
      </c>
      <c r="BK116" t="str">
        <f t="shared" si="24"/>
        <v/>
      </c>
      <c r="BM116" t="s">
        <v>24</v>
      </c>
      <c r="BN116" t="s">
        <v>250</v>
      </c>
      <c r="BO116">
        <v>308.5</v>
      </c>
      <c r="BP116">
        <v>300.60001</v>
      </c>
      <c r="BQ116">
        <v>289.45001000000002</v>
      </c>
      <c r="BR116">
        <v>273.10001</v>
      </c>
      <c r="BS116">
        <v>273.79998999999998</v>
      </c>
      <c r="BT116">
        <v>268.29998999999998</v>
      </c>
      <c r="BU116">
        <v>272.89999</v>
      </c>
      <c r="BV116">
        <v>272.25</v>
      </c>
      <c r="BW116" s="5" t="str">
        <f t="shared" si="25"/>
        <v>-</v>
      </c>
      <c r="BX116" t="str">
        <f t="shared" si="26"/>
        <v/>
      </c>
      <c r="BZ116" t="str">
        <f t="shared" si="15"/>
        <v/>
      </c>
    </row>
    <row r="117" spans="2:78" x14ac:dyDescent="0.3">
      <c r="B117" s="28" t="s">
        <v>821</v>
      </c>
      <c r="C117" s="28" t="s">
        <v>821</v>
      </c>
      <c r="D117" s="28" t="s">
        <v>821</v>
      </c>
      <c r="E117" s="30" t="s">
        <v>821</v>
      </c>
      <c r="F117" s="11"/>
      <c r="G117" s="11"/>
      <c r="H117" s="36"/>
      <c r="I117" s="28">
        <v>178.5</v>
      </c>
      <c r="J117" s="28">
        <v>157.94999999999999</v>
      </c>
      <c r="K117" s="30">
        <v>168.65</v>
      </c>
      <c r="L117" s="10">
        <v>1</v>
      </c>
      <c r="M117" s="12" t="str">
        <f>IFERROR(IF(AND(#REF!="sell",B117&gt;=AI117),"sell",""),"")</f>
        <v/>
      </c>
      <c r="S117" t="str">
        <f>IFERROR(IF(AND(#REF!="sell",C117&gt;=#REF!),"sell",""),"")</f>
        <v/>
      </c>
      <c r="W117" s="40" t="e">
        <f t="shared" si="16"/>
        <v>#VALUE!</v>
      </c>
      <c r="X117" s="12" t="str">
        <f>IF(S117="sell",#REF!-E117,"")</f>
        <v/>
      </c>
      <c r="AA117" s="12" t="s">
        <v>252</v>
      </c>
      <c r="AB117" s="12">
        <v>168.2</v>
      </c>
      <c r="AC117">
        <v>167.77500000000001</v>
      </c>
      <c r="AD117" s="12">
        <v>168.07499999999999</v>
      </c>
      <c r="AE117" s="12">
        <v>168.45</v>
      </c>
      <c r="AF117" s="12">
        <f t="shared" si="17"/>
        <v>168.22499999999999</v>
      </c>
      <c r="AG117" s="12">
        <f t="shared" si="18"/>
        <v>0.22102036105299813</v>
      </c>
      <c r="AH117" s="12">
        <f t="shared" si="19"/>
        <v>168.14500000000001</v>
      </c>
      <c r="AI117" s="12">
        <f t="shared" si="20"/>
        <v>168.587040722106</v>
      </c>
      <c r="AJ117" s="12">
        <f t="shared" si="21"/>
        <v>167.70295927789402</v>
      </c>
      <c r="AK117" t="str">
        <f t="shared" si="22"/>
        <v>sell</v>
      </c>
      <c r="BA117" t="s">
        <v>252</v>
      </c>
      <c r="BB117" s="5">
        <v>181.60001</v>
      </c>
      <c r="BC117" s="5">
        <v>180</v>
      </c>
      <c r="BD117" s="5">
        <v>181.89999</v>
      </c>
      <c r="BE117" s="5">
        <v>180.3</v>
      </c>
      <c r="BF117" s="5">
        <v>177.2</v>
      </c>
      <c r="BG117" s="5">
        <v>175.25</v>
      </c>
      <c r="BH117" s="5">
        <v>172.35001</v>
      </c>
      <c r="BI117" s="5">
        <v>171.10001</v>
      </c>
      <c r="BJ117" s="5" t="str">
        <f t="shared" si="23"/>
        <v>-</v>
      </c>
      <c r="BK117" t="str">
        <f t="shared" si="24"/>
        <v/>
      </c>
      <c r="BM117" t="s">
        <v>24</v>
      </c>
      <c r="BN117" t="s">
        <v>252</v>
      </c>
      <c r="BO117">
        <v>201.89999</v>
      </c>
      <c r="BP117">
        <v>195.5</v>
      </c>
      <c r="BQ117">
        <v>200</v>
      </c>
      <c r="BR117">
        <v>207.3</v>
      </c>
      <c r="BS117">
        <v>198.5</v>
      </c>
      <c r="BT117">
        <v>188.35001</v>
      </c>
      <c r="BU117">
        <v>183.60001</v>
      </c>
      <c r="BV117">
        <v>180.3</v>
      </c>
      <c r="BW117" s="5" t="str">
        <f t="shared" si="25"/>
        <v>-</v>
      </c>
      <c r="BX117" t="str">
        <f t="shared" si="26"/>
        <v/>
      </c>
      <c r="BZ117" t="str">
        <f t="shared" si="15"/>
        <v/>
      </c>
    </row>
    <row r="118" spans="2:78" x14ac:dyDescent="0.3">
      <c r="B118" s="28" t="s">
        <v>821</v>
      </c>
      <c r="C118" s="28" t="s">
        <v>821</v>
      </c>
      <c r="D118" s="28" t="s">
        <v>821</v>
      </c>
      <c r="E118" s="30" t="s">
        <v>821</v>
      </c>
      <c r="F118" s="11"/>
      <c r="G118" s="11"/>
      <c r="H118" s="36"/>
      <c r="I118" s="28">
        <v>650.04999999999995</v>
      </c>
      <c r="J118" s="28">
        <v>536</v>
      </c>
      <c r="K118" s="30">
        <v>595.54</v>
      </c>
      <c r="L118" s="10">
        <v>1</v>
      </c>
      <c r="M118" s="12" t="str">
        <f>IFERROR(IF(AND(#REF!="sell",B118&gt;=AI118),"sell",""),"")</f>
        <v/>
      </c>
      <c r="S118" t="str">
        <f>IFERROR(IF(AND(#REF!="sell",C118&gt;=#REF!),"sell",""),"")</f>
        <v/>
      </c>
      <c r="W118" s="40" t="e">
        <f t="shared" si="16"/>
        <v>#VALUE!</v>
      </c>
      <c r="X118" s="12" t="str">
        <f>IF(S118="sell",#REF!-E118,"")</f>
        <v/>
      </c>
      <c r="AA118" s="12" t="s">
        <v>254</v>
      </c>
      <c r="AB118" s="12">
        <v>596.75</v>
      </c>
      <c r="AC118">
        <v>596.27499999999998</v>
      </c>
      <c r="AD118" s="12">
        <v>599.70000000000005</v>
      </c>
      <c r="AE118" s="12">
        <v>599.07500000000005</v>
      </c>
      <c r="AF118" s="12">
        <f t="shared" si="17"/>
        <v>593.02499999999998</v>
      </c>
      <c r="AG118" s="12">
        <f t="shared" si="18"/>
        <v>2.3655126294315423</v>
      </c>
      <c r="AH118" s="12">
        <f t="shared" si="19"/>
        <v>596.96500000000003</v>
      </c>
      <c r="AI118" s="12">
        <f t="shared" si="20"/>
        <v>601.69602525886307</v>
      </c>
      <c r="AJ118" s="12">
        <f t="shared" si="21"/>
        <v>592.23397474113699</v>
      </c>
      <c r="AK118" t="str">
        <f t="shared" si="22"/>
        <v>sell</v>
      </c>
      <c r="BA118" t="s">
        <v>254</v>
      </c>
      <c r="BB118" s="5">
        <v>608.29998999999998</v>
      </c>
      <c r="BC118" s="5">
        <v>613.70001000000002</v>
      </c>
      <c r="BD118" s="5">
        <v>606.59997999999996</v>
      </c>
      <c r="BE118" s="5">
        <v>612.90002000000004</v>
      </c>
      <c r="BF118" s="5">
        <v>615.90002000000004</v>
      </c>
      <c r="BG118" s="5">
        <v>615</v>
      </c>
      <c r="BH118" s="5">
        <v>604.90002000000004</v>
      </c>
      <c r="BI118" s="5">
        <v>603.5</v>
      </c>
      <c r="BJ118" s="5" t="str">
        <f t="shared" si="23"/>
        <v>-</v>
      </c>
      <c r="BK118" t="str">
        <f t="shared" si="24"/>
        <v/>
      </c>
      <c r="BM118" t="s">
        <v>24</v>
      </c>
      <c r="BN118" t="s">
        <v>254</v>
      </c>
      <c r="BO118">
        <v>521</v>
      </c>
      <c r="BP118">
        <v>515.95001000000002</v>
      </c>
      <c r="BQ118">
        <v>518.70001000000002</v>
      </c>
      <c r="BR118">
        <v>524</v>
      </c>
      <c r="BS118">
        <v>598.5</v>
      </c>
      <c r="BT118">
        <v>612.40002000000004</v>
      </c>
      <c r="BU118">
        <v>613.70001000000002</v>
      </c>
      <c r="BV118">
        <v>615.90002000000004</v>
      </c>
      <c r="BW118" s="5" t="str">
        <f t="shared" si="25"/>
        <v>-</v>
      </c>
      <c r="BX118" t="str">
        <f t="shared" si="26"/>
        <v>Pivot sell</v>
      </c>
      <c r="BZ118" t="str">
        <f t="shared" si="15"/>
        <v/>
      </c>
    </row>
    <row r="119" spans="2:78" x14ac:dyDescent="0.3">
      <c r="B119" s="28" t="s">
        <v>821</v>
      </c>
      <c r="C119" s="28" t="s">
        <v>821</v>
      </c>
      <c r="D119" s="28" t="s">
        <v>821</v>
      </c>
      <c r="E119" s="30" t="s">
        <v>821</v>
      </c>
      <c r="F119" s="11"/>
      <c r="G119" s="11"/>
      <c r="H119" s="36"/>
      <c r="I119" s="28">
        <v>13493.55</v>
      </c>
      <c r="J119" s="28">
        <v>11159.4</v>
      </c>
      <c r="K119" s="30">
        <v>12399.3</v>
      </c>
      <c r="L119" s="10">
        <v>1</v>
      </c>
      <c r="M119" s="12" t="str">
        <f>IFERROR(IF(AND(#REF!="sell",B119&gt;=AI119),"sell",""),"")</f>
        <v/>
      </c>
      <c r="S119" t="str">
        <f>IFERROR(IF(AND(#REF!="sell",C119&gt;=#REF!),"sell",""),"")</f>
        <v/>
      </c>
      <c r="W119" s="40" t="e">
        <f t="shared" si="16"/>
        <v>#VALUE!</v>
      </c>
      <c r="X119" s="12" t="str">
        <f>IF(S119="sell",#REF!-E119,"")</f>
        <v/>
      </c>
      <c r="AA119" s="12" t="s">
        <v>256</v>
      </c>
      <c r="AB119" s="12">
        <v>12620.15</v>
      </c>
      <c r="AC119">
        <v>12598.375</v>
      </c>
      <c r="AD119" s="12">
        <v>12596</v>
      </c>
      <c r="AE119" s="12">
        <v>12598.9</v>
      </c>
      <c r="AF119" s="12">
        <f t="shared" si="17"/>
        <v>12326.474999999999</v>
      </c>
      <c r="AG119" s="12">
        <f t="shared" si="18"/>
        <v>111.09581157721523</v>
      </c>
      <c r="AH119" s="12">
        <f t="shared" si="19"/>
        <v>12547.98</v>
      </c>
      <c r="AI119" s="12">
        <f t="shared" si="20"/>
        <v>12770.171623154431</v>
      </c>
      <c r="AJ119" s="12">
        <f t="shared" si="21"/>
        <v>12325.788376845569</v>
      </c>
      <c r="AK119" t="str">
        <f t="shared" si="22"/>
        <v>sell</v>
      </c>
      <c r="BA119" t="s">
        <v>256</v>
      </c>
      <c r="BB119" s="5">
        <v>12563</v>
      </c>
      <c r="BC119" s="5">
        <v>12975.1</v>
      </c>
      <c r="BD119" s="5">
        <v>13034</v>
      </c>
      <c r="BE119" s="5">
        <v>13058.5</v>
      </c>
      <c r="BF119" s="5">
        <v>12985.95</v>
      </c>
      <c r="BG119" s="5">
        <v>12850.05</v>
      </c>
      <c r="BH119" s="5">
        <v>12810</v>
      </c>
      <c r="BI119" s="5">
        <v>12633.35</v>
      </c>
      <c r="BJ119" s="5" t="str">
        <f t="shared" si="23"/>
        <v>-</v>
      </c>
      <c r="BK119" t="str">
        <f t="shared" si="24"/>
        <v/>
      </c>
      <c r="BM119" t="s">
        <v>24</v>
      </c>
      <c r="BN119" t="s">
        <v>256</v>
      </c>
      <c r="BO119">
        <v>12985.7</v>
      </c>
      <c r="BP119">
        <v>12759.4</v>
      </c>
      <c r="BQ119">
        <v>13073.95</v>
      </c>
      <c r="BR119">
        <v>12996</v>
      </c>
      <c r="BS119">
        <v>12739.8</v>
      </c>
      <c r="BT119">
        <v>12872.4</v>
      </c>
      <c r="BU119">
        <v>13034</v>
      </c>
      <c r="BV119">
        <v>13058.5</v>
      </c>
      <c r="BW119" s="5" t="str">
        <f t="shared" si="25"/>
        <v>-</v>
      </c>
      <c r="BX119" t="str">
        <f t="shared" si="26"/>
        <v/>
      </c>
      <c r="BZ119" t="str">
        <f t="shared" si="15"/>
        <v/>
      </c>
    </row>
    <row r="120" spans="2:78" x14ac:dyDescent="0.3">
      <c r="B120" s="28" t="s">
        <v>821</v>
      </c>
      <c r="C120" s="28" t="s">
        <v>821</v>
      </c>
      <c r="D120" s="28" t="s">
        <v>821</v>
      </c>
      <c r="E120" s="30" t="s">
        <v>821</v>
      </c>
      <c r="F120" s="11"/>
      <c r="G120" s="11"/>
      <c r="H120" s="36"/>
      <c r="I120" s="28">
        <v>1179.4000000000001</v>
      </c>
      <c r="J120" s="28">
        <v>1043.5</v>
      </c>
      <c r="K120" s="30">
        <v>1159.4000000000001</v>
      </c>
      <c r="L120" s="10">
        <v>1</v>
      </c>
      <c r="M120" s="12" t="str">
        <f>IFERROR(IF(AND(#REF!="sell",B120&gt;=AI120),"sell",""),"")</f>
        <v/>
      </c>
      <c r="S120" t="str">
        <f>IFERROR(IF(AND(#REF!="sell",C120&gt;=#REF!),"sell",""),"")</f>
        <v/>
      </c>
      <c r="W120" s="40" t="e">
        <f t="shared" si="16"/>
        <v>#VALUE!</v>
      </c>
      <c r="X120" s="12" t="str">
        <f>IF(S120="sell",#REF!-E120,"")</f>
        <v/>
      </c>
      <c r="AA120" s="12" t="s">
        <v>257</v>
      </c>
      <c r="AB120" s="12">
        <v>1171</v>
      </c>
      <c r="AC120">
        <v>1170.075</v>
      </c>
      <c r="AD120" s="12">
        <v>1170.625</v>
      </c>
      <c r="AE120" s="12">
        <v>1170.25</v>
      </c>
      <c r="AF120" s="12">
        <f t="shared" si="17"/>
        <v>1111.45</v>
      </c>
      <c r="AG120" s="12">
        <f t="shared" si="18"/>
        <v>23.617151606406715</v>
      </c>
      <c r="AH120" s="12">
        <f t="shared" si="19"/>
        <v>1158.6799999999998</v>
      </c>
      <c r="AI120" s="12">
        <f t="shared" si="20"/>
        <v>1205.9143032128134</v>
      </c>
      <c r="AJ120" s="12">
        <f t="shared" si="21"/>
        <v>1111.4456967871863</v>
      </c>
      <c r="AK120" t="str">
        <f t="shared" si="22"/>
        <v>sell</v>
      </c>
      <c r="BA120" t="s">
        <v>257</v>
      </c>
      <c r="BB120" s="5">
        <v>1189.9000000000001</v>
      </c>
      <c r="BC120" s="5">
        <v>1193.0999999999999</v>
      </c>
      <c r="BD120" s="5">
        <v>1191.8499999999999</v>
      </c>
      <c r="BE120" s="5">
        <v>1214.45</v>
      </c>
      <c r="BF120" s="5">
        <v>1195.5</v>
      </c>
      <c r="BG120" s="5">
        <v>1191.8499999999999</v>
      </c>
      <c r="BH120" s="5">
        <v>1180.8499999999999</v>
      </c>
      <c r="BI120" s="5">
        <v>1179.95</v>
      </c>
      <c r="BJ120" s="5" t="str">
        <f t="shared" si="23"/>
        <v>-</v>
      </c>
      <c r="BK120" t="str">
        <f t="shared" si="24"/>
        <v/>
      </c>
      <c r="BM120" t="s">
        <v>24</v>
      </c>
      <c r="BN120" t="s">
        <v>257</v>
      </c>
      <c r="BO120">
        <v>1207</v>
      </c>
      <c r="BP120">
        <v>1174.95</v>
      </c>
      <c r="BQ120">
        <v>1219</v>
      </c>
      <c r="BR120">
        <v>1212.5999999999999</v>
      </c>
      <c r="BS120">
        <v>1245.8</v>
      </c>
      <c r="BT120">
        <v>1211.45</v>
      </c>
      <c r="BU120">
        <v>1193.0999999999999</v>
      </c>
      <c r="BV120">
        <v>1214.45</v>
      </c>
      <c r="BW120" s="5" t="str">
        <f t="shared" si="25"/>
        <v>-</v>
      </c>
      <c r="BX120" t="str">
        <f t="shared" si="26"/>
        <v/>
      </c>
      <c r="BZ120" t="str">
        <f t="shared" si="15"/>
        <v/>
      </c>
    </row>
    <row r="121" spans="2:78" x14ac:dyDescent="0.3">
      <c r="B121" s="28" t="s">
        <v>821</v>
      </c>
      <c r="C121" s="28" t="s">
        <v>821</v>
      </c>
      <c r="D121" s="28" t="s">
        <v>821</v>
      </c>
      <c r="E121" s="30" t="s">
        <v>821</v>
      </c>
      <c r="F121" s="11"/>
      <c r="G121" s="11"/>
      <c r="H121" s="36"/>
      <c r="I121" s="28">
        <v>3666</v>
      </c>
      <c r="J121" s="28">
        <v>3290</v>
      </c>
      <c r="K121" s="30">
        <v>3631.35</v>
      </c>
      <c r="L121" s="10">
        <v>1</v>
      </c>
      <c r="M121" s="12" t="str">
        <f>IFERROR(IF(AND(#REF!="sell",B121&gt;=AI121),"sell",""),"")</f>
        <v/>
      </c>
      <c r="S121" t="str">
        <f>IFERROR(IF(AND(#REF!="sell",C121&gt;=#REF!),"sell",""),"")</f>
        <v/>
      </c>
      <c r="W121" s="40" t="e">
        <f t="shared" si="16"/>
        <v>#VALUE!</v>
      </c>
      <c r="X121" s="12" t="str">
        <f>IF(S121="sell",#REF!-E121,"")</f>
        <v/>
      </c>
      <c r="AA121" s="12" t="s">
        <v>259</v>
      </c>
      <c r="AB121" s="12">
        <v>3604.85</v>
      </c>
      <c r="AC121">
        <v>3601.5749999999998</v>
      </c>
      <c r="AD121" s="12">
        <v>3606</v>
      </c>
      <c r="AE121" s="12">
        <v>3619.9749999999999</v>
      </c>
      <c r="AF121" s="12">
        <f t="shared" si="17"/>
        <v>3478</v>
      </c>
      <c r="AG121" s="12">
        <f t="shared" si="18"/>
        <v>52.420171212997737</v>
      </c>
      <c r="AH121" s="12">
        <f t="shared" si="19"/>
        <v>3582.0800000000004</v>
      </c>
      <c r="AI121" s="12">
        <f t="shared" si="20"/>
        <v>3686.9203424259958</v>
      </c>
      <c r="AJ121" s="12">
        <f t="shared" si="21"/>
        <v>3477.2396575740049</v>
      </c>
      <c r="AK121" t="str">
        <f t="shared" si="22"/>
        <v>sell</v>
      </c>
      <c r="BA121" t="s">
        <v>259</v>
      </c>
      <c r="BB121" s="5">
        <v>3878</v>
      </c>
      <c r="BC121" s="5">
        <v>3799.8501000000001</v>
      </c>
      <c r="BD121" s="5">
        <v>3833.8501000000001</v>
      </c>
      <c r="BE121" s="5">
        <v>3854</v>
      </c>
      <c r="BF121" s="5">
        <v>3882.95</v>
      </c>
      <c r="BG121" s="5">
        <v>3809</v>
      </c>
      <c r="BH121" s="5">
        <v>3739</v>
      </c>
      <c r="BI121" s="5">
        <v>3676</v>
      </c>
      <c r="BJ121" s="5" t="str">
        <f t="shared" si="23"/>
        <v>-</v>
      </c>
      <c r="BK121" t="str">
        <f t="shared" si="24"/>
        <v/>
      </c>
      <c r="BM121" t="s">
        <v>24</v>
      </c>
      <c r="BN121" t="s">
        <v>259</v>
      </c>
      <c r="BO121">
        <v>4072.6001000000001</v>
      </c>
      <c r="BP121">
        <v>3939</v>
      </c>
      <c r="BQ121">
        <v>4270</v>
      </c>
      <c r="BR121">
        <v>4169.9502000000002</v>
      </c>
      <c r="BS121">
        <v>4103.8999000000003</v>
      </c>
      <c r="BT121">
        <v>4074</v>
      </c>
      <c r="BU121">
        <v>4050</v>
      </c>
      <c r="BV121">
        <v>3882.95</v>
      </c>
      <c r="BW121" s="5" t="str">
        <f t="shared" si="25"/>
        <v>-</v>
      </c>
      <c r="BX121" t="str">
        <f t="shared" si="26"/>
        <v/>
      </c>
      <c r="BZ121" t="str">
        <f t="shared" si="15"/>
        <v/>
      </c>
    </row>
    <row r="122" spans="2:78" x14ac:dyDescent="0.3">
      <c r="B122" s="28" t="s">
        <v>821</v>
      </c>
      <c r="C122" s="28" t="s">
        <v>821</v>
      </c>
      <c r="D122" s="28" t="s">
        <v>821</v>
      </c>
      <c r="E122" s="30" t="s">
        <v>821</v>
      </c>
      <c r="F122" s="11"/>
      <c r="G122" s="11"/>
      <c r="H122" s="36"/>
      <c r="I122" s="28">
        <v>1940.5</v>
      </c>
      <c r="J122" s="28">
        <v>1925.15</v>
      </c>
      <c r="K122" s="30">
        <v>1906.65</v>
      </c>
      <c r="L122" s="10">
        <v>1</v>
      </c>
      <c r="M122" s="12" t="str">
        <f>IFERROR(IF(AND(#REF!="sell",B122&gt;=AI122),"sell",""),"")</f>
        <v/>
      </c>
      <c r="S122" t="str">
        <f>IFERROR(IF(AND(#REF!="sell",C122&gt;=#REF!),"sell",""),"")</f>
        <v/>
      </c>
      <c r="W122" s="40" t="e">
        <f t="shared" si="16"/>
        <v>#VALUE!</v>
      </c>
      <c r="X122" s="12" t="str">
        <f>IF(S122="sell",#REF!-E122,"")</f>
        <v/>
      </c>
      <c r="AA122" s="12" t="s">
        <v>261</v>
      </c>
      <c r="AB122" s="12">
        <v>1916.825</v>
      </c>
      <c r="AC122">
        <v>1914.75</v>
      </c>
      <c r="AD122" s="12">
        <v>1919.5250000000001</v>
      </c>
      <c r="AE122" s="12">
        <v>1922.5</v>
      </c>
      <c r="AF122" s="12">
        <f t="shared" si="17"/>
        <v>1932.825</v>
      </c>
      <c r="AG122" s="12">
        <f t="shared" si="18"/>
        <v>6.329980252733816</v>
      </c>
      <c r="AH122" s="12">
        <f t="shared" si="19"/>
        <v>1921.2850000000003</v>
      </c>
      <c r="AI122" s="12">
        <f t="shared" si="20"/>
        <v>1933.9449605054679</v>
      </c>
      <c r="AJ122" s="12">
        <f t="shared" si="21"/>
        <v>1908.6250394945328</v>
      </c>
      <c r="AK122" t="str">
        <f t="shared" si="22"/>
        <v>sell</v>
      </c>
      <c r="BA122" t="s">
        <v>261</v>
      </c>
      <c r="BB122" s="5">
        <v>2050</v>
      </c>
      <c r="BC122" s="5">
        <v>1976.45</v>
      </c>
      <c r="BD122" s="5">
        <v>2001</v>
      </c>
      <c r="BE122" s="5">
        <v>2019.9</v>
      </c>
      <c r="BF122" s="5">
        <v>2010</v>
      </c>
      <c r="BG122" s="5">
        <v>1999.95</v>
      </c>
      <c r="BH122" s="5">
        <v>1970.5</v>
      </c>
      <c r="BI122" s="5">
        <v>1955</v>
      </c>
      <c r="BJ122" s="5" t="str">
        <f t="shared" si="23"/>
        <v>-</v>
      </c>
      <c r="BK122" t="str">
        <f t="shared" si="24"/>
        <v/>
      </c>
      <c r="BM122" t="s">
        <v>24</v>
      </c>
      <c r="BN122" t="s">
        <v>261</v>
      </c>
      <c r="BO122">
        <v>1933.5</v>
      </c>
      <c r="BP122">
        <v>1819.45</v>
      </c>
      <c r="BQ122">
        <v>1879</v>
      </c>
      <c r="BR122">
        <v>1849.9</v>
      </c>
      <c r="BS122">
        <v>1839.5</v>
      </c>
      <c r="BT122">
        <v>1887.55</v>
      </c>
      <c r="BU122">
        <v>2050</v>
      </c>
      <c r="BV122">
        <v>2019.9</v>
      </c>
      <c r="BW122" s="5" t="str">
        <f t="shared" si="25"/>
        <v>-</v>
      </c>
      <c r="BX122" t="str">
        <f t="shared" si="26"/>
        <v>Pivot sell</v>
      </c>
      <c r="BZ122" t="str">
        <f t="shared" si="15"/>
        <v/>
      </c>
    </row>
    <row r="123" spans="2:78" x14ac:dyDescent="0.3">
      <c r="B123" s="28" t="s">
        <v>821</v>
      </c>
      <c r="C123" s="28" t="s">
        <v>821</v>
      </c>
      <c r="D123" s="28" t="s">
        <v>821</v>
      </c>
      <c r="E123" s="30" t="s">
        <v>821</v>
      </c>
      <c r="F123" s="11"/>
      <c r="G123" s="11"/>
      <c r="H123" s="36"/>
      <c r="I123" s="28">
        <v>933.1</v>
      </c>
      <c r="J123" s="28">
        <v>826.35</v>
      </c>
      <c r="K123" s="30">
        <v>918.15</v>
      </c>
      <c r="L123" s="10">
        <v>1</v>
      </c>
      <c r="M123" s="12" t="str">
        <f>IFERROR(IF(AND(#REF!="sell",B123&gt;=AI123),"sell",""),"")</f>
        <v/>
      </c>
      <c r="S123" t="str">
        <f>IFERROR(IF(AND(#REF!="sell",C123&gt;=#REF!),"sell",""),"")</f>
        <v/>
      </c>
      <c r="W123" s="40" t="e">
        <f t="shared" si="16"/>
        <v>#VALUE!</v>
      </c>
      <c r="X123" s="12" t="str">
        <f>IF(S123="sell",#REF!-E123,"")</f>
        <v/>
      </c>
      <c r="AA123" s="12" t="s">
        <v>263</v>
      </c>
      <c r="AB123" s="12">
        <v>925.85</v>
      </c>
      <c r="AC123">
        <v>922.875</v>
      </c>
      <c r="AD123" s="12">
        <v>924.92499999999995</v>
      </c>
      <c r="AE123" s="12">
        <v>924.3</v>
      </c>
      <c r="AF123" s="12">
        <f t="shared" si="17"/>
        <v>879.72500000000002</v>
      </c>
      <c r="AG123" s="12">
        <f t="shared" si="18"/>
        <v>17.931136327628529</v>
      </c>
      <c r="AH123" s="12">
        <f t="shared" si="19"/>
        <v>915.53500000000008</v>
      </c>
      <c r="AI123" s="12">
        <f t="shared" si="20"/>
        <v>951.3972726552571</v>
      </c>
      <c r="AJ123" s="12">
        <f t="shared" si="21"/>
        <v>879.67272734474307</v>
      </c>
      <c r="AK123" t="str">
        <f t="shared" si="22"/>
        <v>sell</v>
      </c>
      <c r="BA123" t="s">
        <v>263</v>
      </c>
      <c r="BB123" s="5">
        <v>1009.25</v>
      </c>
      <c r="BC123" s="5">
        <v>983.59997999999996</v>
      </c>
      <c r="BD123" s="5">
        <v>971.70001000000002</v>
      </c>
      <c r="BE123" s="5">
        <v>972.45001000000002</v>
      </c>
      <c r="BF123" s="5">
        <v>995.79998999999998</v>
      </c>
      <c r="BG123" s="5">
        <v>984.20001000000002</v>
      </c>
      <c r="BH123" s="5">
        <v>973</v>
      </c>
      <c r="BI123" s="5">
        <v>933.29998999999998</v>
      </c>
      <c r="BJ123" s="5" t="str">
        <f t="shared" si="23"/>
        <v>-</v>
      </c>
      <c r="BK123" t="str">
        <f t="shared" si="24"/>
        <v/>
      </c>
      <c r="BM123" t="s">
        <v>24</v>
      </c>
      <c r="BN123" t="s">
        <v>263</v>
      </c>
      <c r="BO123">
        <v>1056.2</v>
      </c>
      <c r="BP123">
        <v>1035</v>
      </c>
      <c r="BQ123">
        <v>1092</v>
      </c>
      <c r="BR123">
        <v>1038.3499999999999</v>
      </c>
      <c r="BS123">
        <v>1011.7</v>
      </c>
      <c r="BT123">
        <v>1030</v>
      </c>
      <c r="BU123">
        <v>1028</v>
      </c>
      <c r="BV123">
        <v>995.79998999999998</v>
      </c>
      <c r="BW123" s="5" t="str">
        <f t="shared" si="25"/>
        <v>-</v>
      </c>
      <c r="BX123" t="str">
        <f t="shared" si="26"/>
        <v/>
      </c>
      <c r="BZ123" t="str">
        <f t="shared" si="15"/>
        <v/>
      </c>
    </row>
    <row r="124" spans="2:78" x14ac:dyDescent="0.3">
      <c r="B124" s="28" t="s">
        <v>821</v>
      </c>
      <c r="C124" s="28" t="s">
        <v>821</v>
      </c>
      <c r="D124" s="28" t="s">
        <v>821</v>
      </c>
      <c r="E124" s="30" t="s">
        <v>821</v>
      </c>
      <c r="F124" s="11"/>
      <c r="G124" s="11"/>
      <c r="H124" s="36"/>
      <c r="I124" s="28">
        <v>1303.25</v>
      </c>
      <c r="J124" s="28">
        <v>1200</v>
      </c>
      <c r="K124" s="30">
        <v>1298</v>
      </c>
      <c r="L124" s="10">
        <v>1</v>
      </c>
      <c r="M124" s="12" t="str">
        <f>IFERROR(IF(AND(#REF!="sell",B124&gt;=AI124),"sell",""),"")</f>
        <v/>
      </c>
      <c r="S124" t="str">
        <f>IFERROR(IF(AND(#REF!="sell",C124&gt;=#REF!),"sell",""),"")</f>
        <v/>
      </c>
      <c r="W124" s="40" t="e">
        <f t="shared" si="16"/>
        <v>#VALUE!</v>
      </c>
      <c r="X124" s="12" t="str">
        <f>IF(S124="sell",#REF!-E124,"")</f>
        <v/>
      </c>
      <c r="AA124" s="12" t="s">
        <v>265</v>
      </c>
      <c r="AB124" s="12">
        <v>1281.375</v>
      </c>
      <c r="AC124">
        <v>1278.9499999999998</v>
      </c>
      <c r="AD124" s="12">
        <v>1280.4000000000001</v>
      </c>
      <c r="AE124" s="12">
        <v>1284.925</v>
      </c>
      <c r="AF124" s="12">
        <f t="shared" si="17"/>
        <v>1251.625</v>
      </c>
      <c r="AG124" s="12">
        <f t="shared" si="18"/>
        <v>12.076955328227383</v>
      </c>
      <c r="AH124" s="12">
        <f t="shared" si="19"/>
        <v>1275.4549999999999</v>
      </c>
      <c r="AI124" s="12">
        <f t="shared" si="20"/>
        <v>1299.6089106564548</v>
      </c>
      <c r="AJ124" s="12">
        <f t="shared" si="21"/>
        <v>1251.3010893435451</v>
      </c>
      <c r="AK124" t="str">
        <f t="shared" si="22"/>
        <v>sell</v>
      </c>
      <c r="BA124" t="s">
        <v>265</v>
      </c>
      <c r="BB124" s="5">
        <v>1309.75</v>
      </c>
      <c r="BC124" s="5">
        <v>1309.3</v>
      </c>
      <c r="BD124" s="5">
        <v>1302</v>
      </c>
      <c r="BE124" s="5">
        <v>1316</v>
      </c>
      <c r="BF124" s="5">
        <v>1310</v>
      </c>
      <c r="BG124" s="5">
        <v>1305.1500000000001</v>
      </c>
      <c r="BH124" s="5">
        <v>1307.1500000000001</v>
      </c>
      <c r="BI124" s="5">
        <v>1314.1</v>
      </c>
      <c r="BJ124" s="5" t="str">
        <f t="shared" si="23"/>
        <v>-</v>
      </c>
      <c r="BK124" t="str">
        <f t="shared" si="24"/>
        <v/>
      </c>
      <c r="BM124" t="s">
        <v>24</v>
      </c>
      <c r="BN124" t="s">
        <v>265</v>
      </c>
      <c r="BO124">
        <v>1488.9</v>
      </c>
      <c r="BP124">
        <v>1489</v>
      </c>
      <c r="BQ124">
        <v>1496</v>
      </c>
      <c r="BR124">
        <v>1475</v>
      </c>
      <c r="BS124">
        <v>1443.95</v>
      </c>
      <c r="BT124">
        <v>1335.9</v>
      </c>
      <c r="BU124">
        <v>1319.8</v>
      </c>
      <c r="BV124">
        <v>1316</v>
      </c>
      <c r="BW124" s="5" t="str">
        <f t="shared" si="25"/>
        <v>-</v>
      </c>
      <c r="BX124" t="str">
        <f t="shared" si="26"/>
        <v/>
      </c>
      <c r="BZ124" t="str">
        <f t="shared" si="15"/>
        <v/>
      </c>
    </row>
    <row r="125" spans="2:78" x14ac:dyDescent="0.3">
      <c r="B125" s="28" t="s">
        <v>821</v>
      </c>
      <c r="C125" s="28" t="s">
        <v>821</v>
      </c>
      <c r="D125" s="28" t="s">
        <v>821</v>
      </c>
      <c r="E125" s="30" t="s">
        <v>821</v>
      </c>
      <c r="F125" s="11"/>
      <c r="G125" s="11"/>
      <c r="H125" s="36"/>
      <c r="I125" s="28">
        <v>166.35</v>
      </c>
      <c r="J125" s="28">
        <v>151</v>
      </c>
      <c r="K125" s="30">
        <v>151.25</v>
      </c>
      <c r="L125" s="10">
        <v>1</v>
      </c>
      <c r="M125" s="12" t="str">
        <f>IFERROR(IF(AND(#REF!="sell",B125&gt;=AI125),"sell",""),"")</f>
        <v/>
      </c>
      <c r="S125" t="str">
        <f>IFERROR(IF(AND(#REF!="sell",C125&gt;=#REF!),"sell",""),"")</f>
        <v/>
      </c>
      <c r="W125" s="40" t="e">
        <f t="shared" si="16"/>
        <v>#VALUE!</v>
      </c>
      <c r="X125" s="12" t="str">
        <f>IF(S125="sell",#REF!-E125,"")</f>
        <v/>
      </c>
      <c r="AA125" s="12" t="s">
        <v>267</v>
      </c>
      <c r="AB125" s="12">
        <v>151.92500000000001</v>
      </c>
      <c r="AC125">
        <v>151.5</v>
      </c>
      <c r="AD125" s="12">
        <v>151.07499999999999</v>
      </c>
      <c r="AE125" s="12">
        <v>151.77499999999998</v>
      </c>
      <c r="AF125" s="12">
        <f t="shared" si="17"/>
        <v>158.67500000000001</v>
      </c>
      <c r="AG125" s="12">
        <f t="shared" si="18"/>
        <v>2.8571664284742044</v>
      </c>
      <c r="AH125" s="12">
        <f t="shared" si="19"/>
        <v>152.99</v>
      </c>
      <c r="AI125" s="12">
        <f t="shared" si="20"/>
        <v>158.70433285694841</v>
      </c>
      <c r="AJ125" s="12">
        <f t="shared" si="21"/>
        <v>147.27566714305161</v>
      </c>
      <c r="AK125" t="str">
        <f t="shared" si="22"/>
        <v>sell</v>
      </c>
      <c r="BA125" t="s">
        <v>267</v>
      </c>
      <c r="BB125" s="5">
        <v>135.5</v>
      </c>
      <c r="BC125" s="5">
        <v>138.5</v>
      </c>
      <c r="BD125" s="5">
        <v>140.80000000000001</v>
      </c>
      <c r="BE125" s="5">
        <v>145.69999999999999</v>
      </c>
      <c r="BF125" s="5">
        <v>144.75</v>
      </c>
      <c r="BG125" s="5">
        <v>148.94999999999999</v>
      </c>
      <c r="BH125" s="5">
        <v>152.64999</v>
      </c>
      <c r="BI125" s="5">
        <v>156.94999999999999</v>
      </c>
      <c r="BJ125" s="5" t="str">
        <f t="shared" si="23"/>
        <v>-</v>
      </c>
      <c r="BK125" t="str">
        <f t="shared" si="24"/>
        <v>Pivot sell</v>
      </c>
      <c r="BM125" t="s">
        <v>24</v>
      </c>
      <c r="BN125" t="s">
        <v>267</v>
      </c>
      <c r="BO125">
        <v>123.15</v>
      </c>
      <c r="BP125">
        <v>129.94999999999999</v>
      </c>
      <c r="BQ125">
        <v>132.30000000000001</v>
      </c>
      <c r="BR125">
        <v>133.39999</v>
      </c>
      <c r="BS125">
        <v>132.30000000000001</v>
      </c>
      <c r="BT125">
        <v>131.5</v>
      </c>
      <c r="BU125">
        <v>140.80000000000001</v>
      </c>
      <c r="BV125">
        <v>156.94999999999999</v>
      </c>
      <c r="BW125" s="5" t="str">
        <f t="shared" si="25"/>
        <v>-</v>
      </c>
      <c r="BX125" t="str">
        <f t="shared" si="26"/>
        <v>Pivot sell</v>
      </c>
      <c r="BZ125" t="str">
        <f t="shared" si="15"/>
        <v>ok</v>
      </c>
    </row>
    <row r="126" spans="2:78" x14ac:dyDescent="0.3">
      <c r="B126" s="28" t="s">
        <v>821</v>
      </c>
      <c r="C126" s="28" t="s">
        <v>821</v>
      </c>
      <c r="D126" s="28" t="s">
        <v>821</v>
      </c>
      <c r="E126" s="30" t="s">
        <v>821</v>
      </c>
      <c r="F126" s="11"/>
      <c r="G126" s="11"/>
      <c r="H126" s="36"/>
      <c r="I126" s="28">
        <v>2512</v>
      </c>
      <c r="J126" s="28">
        <v>2055.6999999999998</v>
      </c>
      <c r="K126" s="30">
        <v>2284.1</v>
      </c>
      <c r="L126" s="10">
        <v>1</v>
      </c>
      <c r="M126" s="12" t="str">
        <f>IFERROR(IF(AND(#REF!="sell",B126&gt;=AI126),"sell",""),"")</f>
        <v/>
      </c>
      <c r="S126" t="str">
        <f>IFERROR(IF(AND(#REF!="sell",C126&gt;=#REF!),"sell",""),"")</f>
        <v/>
      </c>
      <c r="W126" s="40" t="e">
        <f t="shared" si="16"/>
        <v>#VALUE!</v>
      </c>
      <c r="X126" s="12" t="str">
        <f>IF(S126="sell",#REF!-E126,"")</f>
        <v/>
      </c>
      <c r="AA126" s="12" t="s">
        <v>269</v>
      </c>
      <c r="AB126" s="12">
        <v>2308.9250000000002</v>
      </c>
      <c r="AC126">
        <v>2306.0500000000002</v>
      </c>
      <c r="AD126" s="12">
        <v>2313.6750000000002</v>
      </c>
      <c r="AE126" s="12">
        <v>2320.2249999999999</v>
      </c>
      <c r="AF126" s="12">
        <f t="shared" si="17"/>
        <v>2283.85</v>
      </c>
      <c r="AG126" s="12">
        <f t="shared" si="18"/>
        <v>12.320322641879189</v>
      </c>
      <c r="AH126" s="12">
        <f t="shared" si="19"/>
        <v>2306.5450000000001</v>
      </c>
      <c r="AI126" s="12">
        <f t="shared" si="20"/>
        <v>2331.1856452837583</v>
      </c>
      <c r="AJ126" s="12">
        <f t="shared" si="21"/>
        <v>2281.9043547162419</v>
      </c>
      <c r="AK126" t="str">
        <f t="shared" si="22"/>
        <v>sell</v>
      </c>
      <c r="BA126" t="s">
        <v>269</v>
      </c>
      <c r="BB126" s="5">
        <v>2411.3501000000001</v>
      </c>
      <c r="BC126" s="5">
        <v>2419.8000000000002</v>
      </c>
      <c r="BD126" s="5">
        <v>2415</v>
      </c>
      <c r="BE126" s="5">
        <v>2481.3501000000001</v>
      </c>
      <c r="BF126" s="5">
        <v>2461.1001000000001</v>
      </c>
      <c r="BG126" s="5">
        <v>2419</v>
      </c>
      <c r="BH126" s="5">
        <v>2362.8998999999999</v>
      </c>
      <c r="BI126" s="5">
        <v>2335</v>
      </c>
      <c r="BJ126" s="5" t="str">
        <f t="shared" si="23"/>
        <v>-</v>
      </c>
      <c r="BK126" t="str">
        <f t="shared" si="24"/>
        <v/>
      </c>
      <c r="BM126" t="s">
        <v>24</v>
      </c>
      <c r="BN126" t="s">
        <v>269</v>
      </c>
      <c r="BO126">
        <v>2533.9499999999998</v>
      </c>
      <c r="BP126">
        <v>2457.1001000000001</v>
      </c>
      <c r="BQ126">
        <v>2372.3998999999999</v>
      </c>
      <c r="BR126">
        <v>2387.1999999999998</v>
      </c>
      <c r="BS126">
        <v>2348.25</v>
      </c>
      <c r="BT126">
        <v>2389.3000000000002</v>
      </c>
      <c r="BU126">
        <v>2419.8000000000002</v>
      </c>
      <c r="BV126">
        <v>2481.3501000000001</v>
      </c>
      <c r="BW126" s="5" t="str">
        <f t="shared" si="25"/>
        <v>-</v>
      </c>
      <c r="BX126" t="str">
        <f t="shared" si="26"/>
        <v/>
      </c>
      <c r="BZ126" t="str">
        <f t="shared" si="15"/>
        <v/>
      </c>
    </row>
    <row r="127" spans="2:78" x14ac:dyDescent="0.3">
      <c r="B127" s="28" t="s">
        <v>821</v>
      </c>
      <c r="C127" s="28" t="s">
        <v>821</v>
      </c>
      <c r="D127" s="28" t="s">
        <v>821</v>
      </c>
      <c r="E127" s="30" t="s">
        <v>821</v>
      </c>
      <c r="F127" s="11"/>
      <c r="G127" s="11"/>
      <c r="H127" s="36"/>
      <c r="I127" s="28">
        <v>126589.7</v>
      </c>
      <c r="J127" s="28">
        <v>112888.35</v>
      </c>
      <c r="K127" s="30">
        <v>125431.5</v>
      </c>
      <c r="L127" s="10">
        <v>1</v>
      </c>
      <c r="M127" s="12" t="str">
        <f>IFERROR(IF(AND(#REF!="sell",B127&gt;=AI127),"sell",""),"")</f>
        <v/>
      </c>
      <c r="S127" t="str">
        <f>IFERROR(IF(AND(#REF!="sell",C127&gt;=#REF!),"sell",""),"")</f>
        <v/>
      </c>
      <c r="W127" s="40" t="e">
        <f t="shared" si="16"/>
        <v>#VALUE!</v>
      </c>
      <c r="X127" s="12" t="str">
        <f>IF(S127="sell",#REF!-E127,"")</f>
        <v/>
      </c>
      <c r="AA127" s="12" t="s">
        <v>271</v>
      </c>
      <c r="AB127" s="12">
        <v>125511.04999999999</v>
      </c>
      <c r="AC127">
        <v>125226.65</v>
      </c>
      <c r="AD127" s="12">
        <v>125410.9</v>
      </c>
      <c r="AE127" s="12">
        <v>125581.4</v>
      </c>
      <c r="AF127" s="12">
        <f t="shared" si="17"/>
        <v>119739.02499999999</v>
      </c>
      <c r="AG127" s="12">
        <f t="shared" si="18"/>
        <v>2280.5134577765589</v>
      </c>
      <c r="AH127" s="12">
        <f t="shared" si="19"/>
        <v>124293.80500000001</v>
      </c>
      <c r="AI127" s="12">
        <f t="shared" si="20"/>
        <v>128854.83191555312</v>
      </c>
      <c r="AJ127" s="12">
        <f t="shared" si="21"/>
        <v>119732.77808444689</v>
      </c>
      <c r="AK127" t="str">
        <f t="shared" si="22"/>
        <v>sell</v>
      </c>
      <c r="BA127" t="s">
        <v>271</v>
      </c>
      <c r="BB127" s="5">
        <v>130200</v>
      </c>
      <c r="BC127" s="5">
        <v>130585</v>
      </c>
      <c r="BD127" s="5">
        <v>131497</v>
      </c>
      <c r="BE127" s="5">
        <v>132800</v>
      </c>
      <c r="BF127" s="5">
        <v>131498.20000000001</v>
      </c>
      <c r="BG127" s="5">
        <v>129699.95</v>
      </c>
      <c r="BH127" s="5">
        <v>128002.5</v>
      </c>
      <c r="BI127" s="5">
        <v>126899.95</v>
      </c>
      <c r="BJ127" s="5" t="str">
        <f t="shared" si="23"/>
        <v>-</v>
      </c>
      <c r="BK127" t="str">
        <f t="shared" si="24"/>
        <v/>
      </c>
      <c r="BM127" t="s">
        <v>24</v>
      </c>
      <c r="BN127" t="s">
        <v>271</v>
      </c>
      <c r="BO127">
        <v>135799</v>
      </c>
      <c r="BP127">
        <v>131503.09</v>
      </c>
      <c r="BQ127">
        <v>131651</v>
      </c>
      <c r="BR127">
        <v>135582.41</v>
      </c>
      <c r="BS127">
        <v>129450</v>
      </c>
      <c r="BT127">
        <v>129589.15</v>
      </c>
      <c r="BU127">
        <v>131497</v>
      </c>
      <c r="BV127">
        <v>132800</v>
      </c>
      <c r="BW127" s="5" t="str">
        <f t="shared" si="25"/>
        <v>-</v>
      </c>
      <c r="BX127" t="str">
        <f t="shared" si="26"/>
        <v/>
      </c>
      <c r="BZ127" t="str">
        <f t="shared" si="15"/>
        <v/>
      </c>
    </row>
    <row r="128" spans="2:78" x14ac:dyDescent="0.3">
      <c r="B128" s="28" t="s">
        <v>821</v>
      </c>
      <c r="C128" s="28" t="s">
        <v>821</v>
      </c>
      <c r="D128" s="28" t="s">
        <v>821</v>
      </c>
      <c r="E128" s="30" t="s">
        <v>821</v>
      </c>
      <c r="F128" s="11"/>
      <c r="G128" s="11"/>
      <c r="H128" s="36"/>
      <c r="I128" s="28">
        <v>1795.65</v>
      </c>
      <c r="J128" s="28">
        <v>1515.1</v>
      </c>
      <c r="K128" s="30">
        <v>1683.45</v>
      </c>
      <c r="L128" s="10">
        <v>1</v>
      </c>
      <c r="M128" s="12" t="str">
        <f>IFERROR(IF(AND(#REF!="sell",B128&gt;=AI128),"sell",""),"")</f>
        <v/>
      </c>
      <c r="S128" t="str">
        <f>IFERROR(IF(AND(#REF!="sell",C128&gt;=#REF!),"sell",""),"")</f>
        <v/>
      </c>
      <c r="W128" s="40" t="e">
        <f t="shared" si="16"/>
        <v>#VALUE!</v>
      </c>
      <c r="X128" s="12" t="str">
        <f>IF(S128="sell",#REF!-E128,"")</f>
        <v/>
      </c>
      <c r="AA128" s="12" t="s">
        <v>273</v>
      </c>
      <c r="AB128" s="12">
        <v>1677.1999999999998</v>
      </c>
      <c r="AC128">
        <v>1672.4749999999999</v>
      </c>
      <c r="AD128" s="12">
        <v>1672.175</v>
      </c>
      <c r="AE128" s="12">
        <v>1673.1</v>
      </c>
      <c r="AF128" s="12">
        <f t="shared" si="17"/>
        <v>1655.375</v>
      </c>
      <c r="AG128" s="12">
        <f t="shared" si="18"/>
        <v>7.5653915959452656</v>
      </c>
      <c r="AH128" s="12">
        <f t="shared" si="19"/>
        <v>1670.0649999999998</v>
      </c>
      <c r="AI128" s="12">
        <f t="shared" si="20"/>
        <v>1685.1957831918903</v>
      </c>
      <c r="AJ128" s="12">
        <f t="shared" si="21"/>
        <v>1654.9342168081093</v>
      </c>
      <c r="AK128" t="str">
        <f t="shared" si="22"/>
        <v>sell</v>
      </c>
      <c r="BA128" t="s">
        <v>273</v>
      </c>
      <c r="BB128" s="5">
        <v>1715.35</v>
      </c>
      <c r="BC128" s="5">
        <v>1722.25</v>
      </c>
      <c r="BD128" s="5">
        <v>1720</v>
      </c>
      <c r="BE128" s="5">
        <v>1721</v>
      </c>
      <c r="BF128" s="5">
        <v>1763</v>
      </c>
      <c r="BG128" s="5">
        <v>1753.35</v>
      </c>
      <c r="BH128" s="5">
        <v>1741.7</v>
      </c>
      <c r="BI128" s="5">
        <v>1744.6</v>
      </c>
      <c r="BJ128" s="5" t="str">
        <f t="shared" si="23"/>
        <v>-</v>
      </c>
      <c r="BK128" t="str">
        <f t="shared" si="24"/>
        <v/>
      </c>
      <c r="BM128" t="s">
        <v>24</v>
      </c>
      <c r="BN128" t="s">
        <v>273</v>
      </c>
      <c r="BO128">
        <v>1698.5</v>
      </c>
      <c r="BP128">
        <v>1692</v>
      </c>
      <c r="BQ128">
        <v>1717</v>
      </c>
      <c r="BR128">
        <v>1753.9</v>
      </c>
      <c r="BS128">
        <v>1716.85</v>
      </c>
      <c r="BT128">
        <v>1715.45</v>
      </c>
      <c r="BU128">
        <v>1722.25</v>
      </c>
      <c r="BV128">
        <v>1763</v>
      </c>
      <c r="BW128" s="5" t="str">
        <f t="shared" si="25"/>
        <v>-</v>
      </c>
      <c r="BX128" t="str">
        <f t="shared" si="26"/>
        <v/>
      </c>
      <c r="BZ128" t="str">
        <f t="shared" si="15"/>
        <v/>
      </c>
    </row>
    <row r="129" spans="2:78" x14ac:dyDescent="0.3">
      <c r="B129" s="28" t="s">
        <v>821</v>
      </c>
      <c r="C129" s="28" t="s">
        <v>821</v>
      </c>
      <c r="D129" s="28" t="s">
        <v>821</v>
      </c>
      <c r="E129" s="30" t="s">
        <v>821</v>
      </c>
      <c r="F129" s="11"/>
      <c r="G129" s="11"/>
      <c r="H129" s="36"/>
      <c r="I129" s="28">
        <v>210</v>
      </c>
      <c r="J129" s="28">
        <v>174.6</v>
      </c>
      <c r="K129" s="30">
        <v>191.65</v>
      </c>
      <c r="L129" s="10">
        <v>1</v>
      </c>
      <c r="M129" s="12" t="str">
        <f>IFERROR(IF(AND(#REF!="sell",B129&gt;=AI129),"sell",""),"")</f>
        <v/>
      </c>
      <c r="S129" t="str">
        <f>IFERROR(IF(AND(#REF!="sell",C129&gt;=#REF!),"sell",""),"")</f>
        <v/>
      </c>
      <c r="W129" s="40" t="e">
        <f t="shared" si="16"/>
        <v>#VALUE!</v>
      </c>
      <c r="X129" s="12" t="str">
        <f>IF(S129="sell",#REF!-E129,"")</f>
        <v/>
      </c>
      <c r="AA129" s="12" t="s">
        <v>275</v>
      </c>
      <c r="AB129" s="12">
        <v>189.22499999999999</v>
      </c>
      <c r="AC129">
        <v>189</v>
      </c>
      <c r="AD129" s="12">
        <v>189.8</v>
      </c>
      <c r="AE129" s="12">
        <v>189.875</v>
      </c>
      <c r="AF129" s="12">
        <f t="shared" si="17"/>
        <v>192.3</v>
      </c>
      <c r="AG129" s="12">
        <f t="shared" si="18"/>
        <v>1.1779855686722189</v>
      </c>
      <c r="AH129" s="12">
        <f t="shared" si="19"/>
        <v>190.04000000000002</v>
      </c>
      <c r="AI129" s="12">
        <f t="shared" si="20"/>
        <v>192.39597113734445</v>
      </c>
      <c r="AJ129" s="12">
        <f t="shared" si="21"/>
        <v>187.68402886265559</v>
      </c>
      <c r="AK129" t="str">
        <f t="shared" si="22"/>
        <v>sell</v>
      </c>
      <c r="BA129" t="s">
        <v>275</v>
      </c>
      <c r="BB129" s="5">
        <v>202.05</v>
      </c>
      <c r="BC129" s="5">
        <v>195.60001</v>
      </c>
      <c r="BD129" s="5">
        <v>196</v>
      </c>
      <c r="BE129" s="5">
        <v>196.2</v>
      </c>
      <c r="BF129" s="5">
        <v>206.3</v>
      </c>
      <c r="BG129" s="5">
        <v>200.2</v>
      </c>
      <c r="BH129" s="5">
        <v>195.7</v>
      </c>
      <c r="BI129" s="5">
        <v>193.7</v>
      </c>
      <c r="BJ129" s="5" t="str">
        <f t="shared" si="23"/>
        <v>-</v>
      </c>
      <c r="BK129" t="str">
        <f t="shared" si="24"/>
        <v/>
      </c>
      <c r="BM129" t="s">
        <v>24</v>
      </c>
      <c r="BN129" t="s">
        <v>275</v>
      </c>
      <c r="BO129">
        <v>188.8</v>
      </c>
      <c r="BP129">
        <v>187.64999</v>
      </c>
      <c r="BQ129">
        <v>192.2</v>
      </c>
      <c r="BR129">
        <v>193.10001</v>
      </c>
      <c r="BS129">
        <v>186.89999</v>
      </c>
      <c r="BT129">
        <v>201.45</v>
      </c>
      <c r="BU129">
        <v>204.2</v>
      </c>
      <c r="BV129">
        <v>206.3</v>
      </c>
      <c r="BW129" s="5" t="str">
        <f t="shared" si="25"/>
        <v>-</v>
      </c>
      <c r="BX129" t="str">
        <f t="shared" si="26"/>
        <v>Pivot sell</v>
      </c>
      <c r="BZ129" t="str">
        <f t="shared" si="15"/>
        <v/>
      </c>
    </row>
    <row r="130" spans="2:78" x14ac:dyDescent="0.3">
      <c r="B130" s="28" t="s">
        <v>821</v>
      </c>
      <c r="C130" s="28" t="s">
        <v>821</v>
      </c>
      <c r="D130" s="28" t="s">
        <v>821</v>
      </c>
      <c r="E130" s="30" t="s">
        <v>821</v>
      </c>
      <c r="F130" s="11"/>
      <c r="G130" s="11"/>
      <c r="H130" s="36"/>
      <c r="I130" s="28">
        <v>5894.9</v>
      </c>
      <c r="J130" s="28">
        <v>5127.3999999999996</v>
      </c>
      <c r="K130" s="30">
        <v>5697.1</v>
      </c>
      <c r="L130" s="10">
        <v>1</v>
      </c>
      <c r="M130" s="12" t="str">
        <f>IFERROR(IF(AND(#REF!="sell",B130&gt;=AI130),"sell",""),"")</f>
        <v/>
      </c>
      <c r="S130" t="str">
        <f>IFERROR(IF(AND(#REF!="sell",C130&gt;=#REF!),"sell",""),"")</f>
        <v/>
      </c>
      <c r="W130" s="40" t="e">
        <f t="shared" si="16"/>
        <v>#VALUE!</v>
      </c>
      <c r="X130" s="12" t="str">
        <f>IF(S130="sell",#REF!-E130,"")</f>
        <v/>
      </c>
      <c r="AA130" s="12" t="s">
        <v>277</v>
      </c>
      <c r="AB130" s="12">
        <v>5774</v>
      </c>
      <c r="AC130">
        <v>5757</v>
      </c>
      <c r="AD130" s="12">
        <v>5749.8</v>
      </c>
      <c r="AE130" s="12">
        <v>5748.4750000000004</v>
      </c>
      <c r="AF130" s="12">
        <f t="shared" si="17"/>
        <v>5511.15</v>
      </c>
      <c r="AG130" s="12">
        <f t="shared" si="18"/>
        <v>98.886148676141886</v>
      </c>
      <c r="AH130" s="12">
        <f t="shared" si="19"/>
        <v>5708.0850000000009</v>
      </c>
      <c r="AI130" s="12">
        <f t="shared" si="20"/>
        <v>5905.8572973522851</v>
      </c>
      <c r="AJ130" s="12">
        <f t="shared" si="21"/>
        <v>5510.3127026477168</v>
      </c>
      <c r="AK130" t="str">
        <f t="shared" si="22"/>
        <v>sell</v>
      </c>
      <c r="BA130" t="s">
        <v>277</v>
      </c>
      <c r="BB130" s="5">
        <v>6465</v>
      </c>
      <c r="BC130" s="5">
        <v>6545</v>
      </c>
      <c r="BD130" s="5">
        <v>6540</v>
      </c>
      <c r="BE130" s="5">
        <v>6415.4502000000002</v>
      </c>
      <c r="BF130" s="5">
        <v>6347.8500999999997</v>
      </c>
      <c r="BG130" s="5">
        <v>6041.6000999999997</v>
      </c>
      <c r="BH130" s="5">
        <v>5915.5</v>
      </c>
      <c r="BI130" s="5">
        <v>5800</v>
      </c>
      <c r="BJ130" s="5" t="str">
        <f t="shared" si="23"/>
        <v>-</v>
      </c>
      <c r="BK130" t="str">
        <f t="shared" si="24"/>
        <v/>
      </c>
      <c r="BM130" t="s">
        <v>24</v>
      </c>
      <c r="BN130" t="s">
        <v>277</v>
      </c>
      <c r="BO130">
        <v>6355</v>
      </c>
      <c r="BP130">
        <v>5920</v>
      </c>
      <c r="BQ130">
        <v>5999.8999000000003</v>
      </c>
      <c r="BR130">
        <v>6140</v>
      </c>
      <c r="BS130">
        <v>6136.5</v>
      </c>
      <c r="BT130">
        <v>6338.1000999999997</v>
      </c>
      <c r="BU130">
        <v>6545</v>
      </c>
      <c r="BV130">
        <v>6415.4502000000002</v>
      </c>
      <c r="BW130" s="5" t="str">
        <f t="shared" si="25"/>
        <v>-</v>
      </c>
      <c r="BX130" t="str">
        <f t="shared" ref="BX130:BX161" si="27">IF(AND(BU130&gt;MAX(BO130:BT130), BU130&gt;MAX(BW130)), "Pivot sell", "")</f>
        <v>Pivot sell</v>
      </c>
      <c r="BZ130" t="str">
        <f t="shared" ref="BZ130:BZ182" si="28">IF(AND(BK130="Pivot sell",BX130="Pivot sell"), "ok", "")</f>
        <v/>
      </c>
    </row>
    <row r="131" spans="2:78" x14ac:dyDescent="0.3">
      <c r="B131" s="28" t="s">
        <v>821</v>
      </c>
      <c r="C131" s="28" t="s">
        <v>821</v>
      </c>
      <c r="D131" s="28" t="s">
        <v>821</v>
      </c>
      <c r="E131" s="30" t="s">
        <v>821</v>
      </c>
      <c r="F131" s="11"/>
      <c r="G131" s="11"/>
      <c r="H131" s="36"/>
      <c r="I131" s="28">
        <v>3486</v>
      </c>
      <c r="J131" s="28">
        <v>3235.6</v>
      </c>
      <c r="K131" s="30">
        <v>3187.4</v>
      </c>
      <c r="L131" s="10">
        <v>1</v>
      </c>
      <c r="M131" s="12" t="str">
        <f>IFERROR(IF(AND(#REF!="sell",B131&gt;=AI131),"sell",""),"")</f>
        <v/>
      </c>
      <c r="S131" t="str">
        <f>IFERROR(IF(AND(#REF!="sell",C131&gt;=#REF!),"sell",""),"")</f>
        <v/>
      </c>
      <c r="W131" s="40" t="e">
        <f t="shared" ref="W131:W183" si="29">IF(AND(N131&lt;&gt;"", OR(P131&lt;&gt;"", N131-E131)), IF(P131&gt;1, N131-P131, N131-E131), "")</f>
        <v>#VALUE!</v>
      </c>
      <c r="X131" s="12" t="str">
        <f>IF(S131="sell",#REF!-E131,"")</f>
        <v/>
      </c>
      <c r="AA131" s="12" t="s">
        <v>279</v>
      </c>
      <c r="AB131" s="12">
        <v>3232.6750000000002</v>
      </c>
      <c r="AC131">
        <v>3232.55</v>
      </c>
      <c r="AD131" s="12">
        <v>3235.95</v>
      </c>
      <c r="AE131" s="12">
        <v>3243.05</v>
      </c>
      <c r="AF131" s="12">
        <f t="shared" ref="AF131:AF183" si="30">IF(I131="",(C131+D131)/2,(I131+J131)/2)</f>
        <v>3360.8</v>
      </c>
      <c r="AG131" s="12">
        <f t="shared" ref="AG131:AG184" si="31">STDEVP(AB131:AF131)</f>
        <v>50.042887606532098</v>
      </c>
      <c r="AH131" s="12">
        <f t="shared" ref="AH131:AH184" si="32">AVERAGE(AB131:AF131)</f>
        <v>3261.0049999999997</v>
      </c>
      <c r="AI131" s="12">
        <f t="shared" ref="AI131:AI184" si="33">AH131+(AG131*2)</f>
        <v>3361.0907752130638</v>
      </c>
      <c r="AJ131" s="12">
        <f t="shared" ref="AJ131:AJ184" si="34">AH131-(AG131*2)</f>
        <v>3160.9192247869355</v>
      </c>
      <c r="AK131" t="str">
        <f t="shared" ref="AK131:AK184" si="35">IF(AND(AC131&gt;1,B131&gt;=AI131),"sell","")</f>
        <v>sell</v>
      </c>
      <c r="BA131" t="s">
        <v>279</v>
      </c>
      <c r="BB131" s="5">
        <v>3420</v>
      </c>
      <c r="BC131" s="5">
        <v>3375</v>
      </c>
      <c r="BD131" s="5">
        <v>3387</v>
      </c>
      <c r="BE131" s="5">
        <v>3401.95</v>
      </c>
      <c r="BF131" s="5">
        <v>3384.95</v>
      </c>
      <c r="BG131" s="5">
        <v>3348.95</v>
      </c>
      <c r="BH131" s="5">
        <v>3314.75</v>
      </c>
      <c r="BI131" s="5">
        <v>3265</v>
      </c>
      <c r="BJ131" s="5" t="str">
        <f t="shared" ref="BJ131:BJ183" si="36">C131</f>
        <v>-</v>
      </c>
      <c r="BK131" t="str">
        <f t="shared" ref="BK131:BK184" si="37">IF(AND(BH131&gt;MAX(BB131:BG131), BH131&gt;MAX(BJ131)), "Pivot sell", "")</f>
        <v/>
      </c>
      <c r="BM131" t="s">
        <v>24</v>
      </c>
      <c r="BN131" t="s">
        <v>279</v>
      </c>
      <c r="BO131">
        <v>3320</v>
      </c>
      <c r="BP131">
        <v>3325</v>
      </c>
      <c r="BQ131">
        <v>3419</v>
      </c>
      <c r="BR131">
        <v>3470</v>
      </c>
      <c r="BS131">
        <v>3498</v>
      </c>
      <c r="BT131">
        <v>3460</v>
      </c>
      <c r="BU131">
        <v>3461.1001000000001</v>
      </c>
      <c r="BV131">
        <v>3401.95</v>
      </c>
      <c r="BW131" s="5" t="str">
        <f t="shared" ref="BW131:BW184" si="38">IF(C131&gt;BV131,C131,BV131)</f>
        <v>-</v>
      </c>
      <c r="BX131" t="str">
        <f t="shared" si="27"/>
        <v/>
      </c>
      <c r="BZ131" t="str">
        <f t="shared" si="28"/>
        <v/>
      </c>
    </row>
    <row r="132" spans="2:78" x14ac:dyDescent="0.3">
      <c r="B132" s="28" t="s">
        <v>821</v>
      </c>
      <c r="C132" s="28" t="s">
        <v>821</v>
      </c>
      <c r="D132" s="28" t="s">
        <v>821</v>
      </c>
      <c r="E132" s="30" t="s">
        <v>821</v>
      </c>
      <c r="F132" s="11"/>
      <c r="G132" s="11"/>
      <c r="H132" s="36"/>
      <c r="I132" s="28">
        <v>2573</v>
      </c>
      <c r="J132" s="28">
        <v>2119.4499999999998</v>
      </c>
      <c r="K132" s="30">
        <v>2354.9</v>
      </c>
      <c r="L132" s="10">
        <v>1</v>
      </c>
      <c r="M132" s="12" t="str">
        <f>IFERROR(IF(AND(#REF!="sell",B132&gt;=AI132),"sell",""),"")</f>
        <v/>
      </c>
      <c r="S132" t="str">
        <f>IFERROR(IF(AND(#REF!="sell",C132&gt;=#REF!),"sell",""),"")</f>
        <v/>
      </c>
      <c r="W132" s="40" t="e">
        <f t="shared" si="29"/>
        <v>#VALUE!</v>
      </c>
      <c r="X132" s="12" t="str">
        <f>IF(S132="sell",#REF!-E132,"")</f>
        <v/>
      </c>
      <c r="AA132" s="12" t="s">
        <v>281</v>
      </c>
      <c r="AB132" s="12">
        <v>2403.1</v>
      </c>
      <c r="AC132">
        <v>2403.85</v>
      </c>
      <c r="AD132" s="12">
        <v>2407.0749999999998</v>
      </c>
      <c r="AE132" s="12">
        <v>2408.3000000000002</v>
      </c>
      <c r="AF132" s="12">
        <f t="shared" si="30"/>
        <v>2346.2249999999999</v>
      </c>
      <c r="AG132" s="12">
        <f t="shared" si="31"/>
        <v>23.821453566061017</v>
      </c>
      <c r="AH132" s="12">
        <f t="shared" si="32"/>
        <v>2393.71</v>
      </c>
      <c r="AI132" s="12">
        <f t="shared" si="33"/>
        <v>2441.3529071321223</v>
      </c>
      <c r="AJ132" s="12">
        <f t="shared" si="34"/>
        <v>2346.0670928678778</v>
      </c>
      <c r="AK132" t="str">
        <f t="shared" si="35"/>
        <v>sell</v>
      </c>
      <c r="BA132" t="s">
        <v>281</v>
      </c>
      <c r="BB132" s="5">
        <v>2487.5</v>
      </c>
      <c r="BC132" s="5">
        <v>2487.5</v>
      </c>
      <c r="BD132" s="5">
        <v>2485</v>
      </c>
      <c r="BE132" s="5">
        <v>2479</v>
      </c>
      <c r="BF132" s="5">
        <v>2467.6498999999999</v>
      </c>
      <c r="BG132" s="5">
        <v>2497</v>
      </c>
      <c r="BH132" s="5">
        <v>2473.1001000000001</v>
      </c>
      <c r="BI132" s="5">
        <v>2425.6001000000001</v>
      </c>
      <c r="BJ132" s="5" t="str">
        <f t="shared" si="36"/>
        <v>-</v>
      </c>
      <c r="BK132" t="str">
        <f t="shared" si="37"/>
        <v/>
      </c>
      <c r="BM132" t="s">
        <v>24</v>
      </c>
      <c r="BN132" t="s">
        <v>281</v>
      </c>
      <c r="BO132">
        <v>2559</v>
      </c>
      <c r="BP132">
        <v>2583.6498999999999</v>
      </c>
      <c r="BQ132">
        <v>2582.8000000000002</v>
      </c>
      <c r="BR132">
        <v>2541</v>
      </c>
      <c r="BS132">
        <v>2549.8998999999999</v>
      </c>
      <c r="BT132">
        <v>2541.8998999999999</v>
      </c>
      <c r="BU132">
        <v>2489.6001000000001</v>
      </c>
      <c r="BV132">
        <v>2497</v>
      </c>
      <c r="BW132" s="5" t="str">
        <f t="shared" si="38"/>
        <v>-</v>
      </c>
      <c r="BX132" t="str">
        <f t="shared" si="27"/>
        <v/>
      </c>
      <c r="BZ132" t="str">
        <f t="shared" si="28"/>
        <v/>
      </c>
    </row>
    <row r="133" spans="2:78" x14ac:dyDescent="0.3">
      <c r="B133" s="28" t="s">
        <v>821</v>
      </c>
      <c r="C133" s="28" t="s">
        <v>821</v>
      </c>
      <c r="D133" s="28" t="s">
        <v>821</v>
      </c>
      <c r="E133" s="30" t="s">
        <v>821</v>
      </c>
      <c r="F133" s="11"/>
      <c r="G133" s="11"/>
      <c r="H133" s="36"/>
      <c r="I133" s="28">
        <v>283.89999999999998</v>
      </c>
      <c r="J133" s="28">
        <v>234.15</v>
      </c>
      <c r="K133" s="30">
        <v>260.14</v>
      </c>
      <c r="L133" s="10">
        <v>1</v>
      </c>
      <c r="M133" s="12" t="str">
        <f>IFERROR(IF(AND(#REF!="sell",B133&gt;=AI133),"sell",""),"")</f>
        <v/>
      </c>
      <c r="S133" t="str">
        <f>IFERROR(IF(AND(#REF!="sell",C133&gt;=#REF!),"sell",""),"")</f>
        <v/>
      </c>
      <c r="W133" s="40" t="e">
        <f t="shared" si="29"/>
        <v>#VALUE!</v>
      </c>
      <c r="X133" s="12" t="str">
        <f>IF(S133="sell",#REF!-E133,"")</f>
        <v/>
      </c>
      <c r="AA133" s="12" t="s">
        <v>283</v>
      </c>
      <c r="AB133" s="12">
        <v>249.17500000000001</v>
      </c>
      <c r="AC133">
        <v>248.55</v>
      </c>
      <c r="AD133" s="12">
        <v>249.4</v>
      </c>
      <c r="AE133" s="12">
        <v>250.02499999999998</v>
      </c>
      <c r="AF133" s="12">
        <f t="shared" si="30"/>
        <v>259.02499999999998</v>
      </c>
      <c r="AG133" s="12">
        <f t="shared" si="31"/>
        <v>3.9234742257341151</v>
      </c>
      <c r="AH133" s="12">
        <f t="shared" si="32"/>
        <v>251.23499999999999</v>
      </c>
      <c r="AI133" s="12">
        <f t="shared" si="33"/>
        <v>259.08194845146824</v>
      </c>
      <c r="AJ133" s="12">
        <f t="shared" si="34"/>
        <v>243.38805154853176</v>
      </c>
      <c r="AK133" t="str">
        <f t="shared" si="35"/>
        <v>sell</v>
      </c>
      <c r="BA133" t="s">
        <v>283</v>
      </c>
      <c r="BB133" s="5">
        <v>285</v>
      </c>
      <c r="BC133" s="5">
        <v>274.10001</v>
      </c>
      <c r="BD133" s="5">
        <v>271.25</v>
      </c>
      <c r="BE133" s="5">
        <v>270.14999</v>
      </c>
      <c r="BF133" s="5">
        <v>265.64999</v>
      </c>
      <c r="BG133" s="5">
        <v>260.14999</v>
      </c>
      <c r="BH133" s="5">
        <v>258.14999</v>
      </c>
      <c r="BI133" s="5">
        <v>261.85001</v>
      </c>
      <c r="BJ133" s="5" t="str">
        <f t="shared" si="36"/>
        <v>-</v>
      </c>
      <c r="BK133" t="str">
        <f t="shared" si="37"/>
        <v/>
      </c>
      <c r="BM133" t="s">
        <v>24</v>
      </c>
      <c r="BN133" t="s">
        <v>283</v>
      </c>
      <c r="BO133">
        <v>244.45</v>
      </c>
      <c r="BP133">
        <v>246.85001</v>
      </c>
      <c r="BQ133">
        <v>259.5</v>
      </c>
      <c r="BR133">
        <v>269.89999</v>
      </c>
      <c r="BS133">
        <v>273.20001000000002</v>
      </c>
      <c r="BT133">
        <v>281.45001000000002</v>
      </c>
      <c r="BU133">
        <v>286.35001</v>
      </c>
      <c r="BV133">
        <v>270.14999</v>
      </c>
      <c r="BW133" s="5" t="str">
        <f t="shared" si="38"/>
        <v>-</v>
      </c>
      <c r="BX133" t="str">
        <f t="shared" si="27"/>
        <v>Pivot sell</v>
      </c>
      <c r="BZ133" t="str">
        <f t="shared" si="28"/>
        <v/>
      </c>
    </row>
    <row r="134" spans="2:78" x14ac:dyDescent="0.3">
      <c r="B134" s="28" t="s">
        <v>821</v>
      </c>
      <c r="C134" s="28" t="s">
        <v>821</v>
      </c>
      <c r="D134" s="28" t="s">
        <v>821</v>
      </c>
      <c r="E134" s="30" t="s">
        <v>821</v>
      </c>
      <c r="F134" s="11"/>
      <c r="G134" s="11"/>
      <c r="H134" s="36"/>
      <c r="I134" s="28">
        <v>394.9</v>
      </c>
      <c r="J134" s="28">
        <v>323.10000000000002</v>
      </c>
      <c r="K134" s="30">
        <v>359</v>
      </c>
      <c r="L134" s="10">
        <v>1</v>
      </c>
      <c r="M134" s="12" t="str">
        <f>IFERROR(IF(AND(#REF!="sell",B134&gt;=AI134),"sell",""),"")</f>
        <v/>
      </c>
      <c r="S134" t="str">
        <f>IFERROR(IF(AND(#REF!="sell",C134&gt;=#REF!),"sell",""),"")</f>
        <v/>
      </c>
      <c r="W134" s="40" t="e">
        <f t="shared" si="29"/>
        <v>#VALUE!</v>
      </c>
      <c r="X134" s="12" t="str">
        <f>IF(S134="sell",#REF!-E134,"")</f>
        <v/>
      </c>
      <c r="AA134" s="12" t="s">
        <v>285</v>
      </c>
      <c r="AB134" s="12">
        <v>359.55</v>
      </c>
      <c r="AC134">
        <v>359.45</v>
      </c>
      <c r="AD134" s="12">
        <v>360.17499999999995</v>
      </c>
      <c r="AE134" s="12">
        <v>361.4</v>
      </c>
      <c r="AF134" s="12">
        <f t="shared" si="30"/>
        <v>359</v>
      </c>
      <c r="AG134" s="12">
        <f t="shared" si="31"/>
        <v>0.83180526567218982</v>
      </c>
      <c r="AH134" s="12">
        <f t="shared" si="32"/>
        <v>359.91499999999996</v>
      </c>
      <c r="AI134" s="12">
        <f t="shared" si="33"/>
        <v>361.57861053134434</v>
      </c>
      <c r="AJ134" s="12">
        <f t="shared" si="34"/>
        <v>358.25138946865559</v>
      </c>
      <c r="AK134" t="str">
        <f t="shared" si="35"/>
        <v>sell</v>
      </c>
      <c r="BA134" t="s">
        <v>285</v>
      </c>
      <c r="BB134" s="5">
        <v>377.35001</v>
      </c>
      <c r="BC134" s="5">
        <v>375.60001</v>
      </c>
      <c r="BD134" s="5">
        <v>378.14999</v>
      </c>
      <c r="BE134" s="5">
        <v>380.5</v>
      </c>
      <c r="BF134" s="5">
        <v>373.25</v>
      </c>
      <c r="BG134" s="5">
        <v>366.35001</v>
      </c>
      <c r="BH134" s="5">
        <v>364.79998999999998</v>
      </c>
      <c r="BI134" s="5">
        <v>366.64999</v>
      </c>
      <c r="BJ134" s="5" t="str">
        <f t="shared" si="36"/>
        <v>-</v>
      </c>
      <c r="BK134" t="str">
        <f t="shared" si="37"/>
        <v/>
      </c>
      <c r="BM134" t="s">
        <v>24</v>
      </c>
      <c r="BN134" t="s">
        <v>285</v>
      </c>
      <c r="BO134">
        <v>374.5</v>
      </c>
      <c r="BP134">
        <v>366</v>
      </c>
      <c r="BQ134">
        <v>361.39999</v>
      </c>
      <c r="BR134">
        <v>380.39999</v>
      </c>
      <c r="BS134">
        <v>368.85001</v>
      </c>
      <c r="BT134">
        <v>368</v>
      </c>
      <c r="BU134">
        <v>378.14999</v>
      </c>
      <c r="BV134">
        <v>380.5</v>
      </c>
      <c r="BW134" s="5" t="str">
        <f t="shared" si="38"/>
        <v>-</v>
      </c>
      <c r="BX134" t="str">
        <f t="shared" si="27"/>
        <v/>
      </c>
      <c r="BZ134" t="str">
        <f t="shared" si="28"/>
        <v/>
      </c>
    </row>
    <row r="135" spans="2:78" x14ac:dyDescent="0.3">
      <c r="B135" s="28" t="s">
        <v>821</v>
      </c>
      <c r="C135" s="28" t="s">
        <v>821</v>
      </c>
      <c r="D135" s="28" t="s">
        <v>821</v>
      </c>
      <c r="E135" s="30" t="s">
        <v>821</v>
      </c>
      <c r="F135" s="11"/>
      <c r="G135" s="11"/>
      <c r="H135" s="36"/>
      <c r="I135" s="28">
        <v>1910.6</v>
      </c>
      <c r="J135" s="28">
        <v>1771.55</v>
      </c>
      <c r="K135" s="30">
        <v>1819.65</v>
      </c>
      <c r="L135" s="10">
        <v>1</v>
      </c>
      <c r="M135" s="12" t="str">
        <f>IFERROR(IF(AND(#REF!="sell",B135&gt;=AI135),"sell",""),"")</f>
        <v/>
      </c>
      <c r="S135" t="str">
        <f>IFERROR(IF(AND(#REF!="sell",C135&gt;=#REF!),"sell",""),"")</f>
        <v/>
      </c>
      <c r="W135" s="40" t="e">
        <f t="shared" si="29"/>
        <v>#VALUE!</v>
      </c>
      <c r="X135" s="12" t="str">
        <f>IF(S135="sell",#REF!-E135,"")</f>
        <v/>
      </c>
      <c r="AA135" s="12" t="s">
        <v>287</v>
      </c>
      <c r="AB135" s="12">
        <v>1803.25</v>
      </c>
      <c r="AC135">
        <v>1802.4</v>
      </c>
      <c r="AD135" s="12">
        <v>1805.85</v>
      </c>
      <c r="AE135" s="12">
        <v>1828.7750000000001</v>
      </c>
      <c r="AF135" s="12">
        <f t="shared" si="30"/>
        <v>1841.0749999999998</v>
      </c>
      <c r="AG135" s="12">
        <f t="shared" si="31"/>
        <v>15.761578283915558</v>
      </c>
      <c r="AH135" s="12">
        <f t="shared" si="32"/>
        <v>1816.2699999999998</v>
      </c>
      <c r="AI135" s="12">
        <f t="shared" si="33"/>
        <v>1847.7931565678309</v>
      </c>
      <c r="AJ135" s="12">
        <f t="shared" si="34"/>
        <v>1784.7468434321686</v>
      </c>
      <c r="AK135" t="str">
        <f t="shared" si="35"/>
        <v>sell</v>
      </c>
      <c r="BA135" t="s">
        <v>287</v>
      </c>
      <c r="BB135" s="5">
        <v>1795.55</v>
      </c>
      <c r="BC135" s="5">
        <v>1811.65</v>
      </c>
      <c r="BD135" s="5">
        <v>1818.85</v>
      </c>
      <c r="BE135" s="5">
        <v>1818.4</v>
      </c>
      <c r="BF135" s="5">
        <v>1849</v>
      </c>
      <c r="BG135" s="5">
        <v>1848.75</v>
      </c>
      <c r="BH135" s="5">
        <v>1848.8</v>
      </c>
      <c r="BI135" s="5">
        <v>1868.35</v>
      </c>
      <c r="BJ135" s="5" t="str">
        <f t="shared" si="36"/>
        <v>-</v>
      </c>
      <c r="BK135" t="str">
        <f t="shared" si="37"/>
        <v/>
      </c>
      <c r="BM135" t="s">
        <v>24</v>
      </c>
      <c r="BN135" t="s">
        <v>287</v>
      </c>
      <c r="BO135">
        <v>1584</v>
      </c>
      <c r="BP135">
        <v>1491.6</v>
      </c>
      <c r="BQ135">
        <v>1512.7</v>
      </c>
      <c r="BR135">
        <v>1545</v>
      </c>
      <c r="BS135">
        <v>1546.35</v>
      </c>
      <c r="BT135">
        <v>1771.45</v>
      </c>
      <c r="BU135">
        <v>1818.85</v>
      </c>
      <c r="BV135">
        <v>1868.35</v>
      </c>
      <c r="BW135" s="5" t="str">
        <f t="shared" si="38"/>
        <v>-</v>
      </c>
      <c r="BX135" t="str">
        <f t="shared" si="27"/>
        <v>Pivot sell</v>
      </c>
      <c r="BZ135" t="str">
        <f t="shared" si="28"/>
        <v/>
      </c>
    </row>
    <row r="136" spans="2:78" x14ac:dyDescent="0.3">
      <c r="B136" s="28" t="s">
        <v>821</v>
      </c>
      <c r="C136" s="28" t="s">
        <v>821</v>
      </c>
      <c r="D136" s="28" t="s">
        <v>821</v>
      </c>
      <c r="E136" s="30" t="s">
        <v>821</v>
      </c>
      <c r="F136" s="11"/>
      <c r="G136" s="11"/>
      <c r="H136" s="36"/>
      <c r="I136" s="28">
        <v>7454.95</v>
      </c>
      <c r="J136" s="28">
        <v>7385.35</v>
      </c>
      <c r="K136" s="30">
        <v>7454.95</v>
      </c>
      <c r="L136" s="10">
        <v>1</v>
      </c>
      <c r="M136" s="12" t="str">
        <f>IFERROR(IF(AND(#REF!="sell",B136&gt;=AI136),"sell",""),"")</f>
        <v/>
      </c>
      <c r="S136" t="str">
        <f>IFERROR(IF(AND(#REF!="sell",C136&gt;=#REF!),"sell",""),"")</f>
        <v/>
      </c>
      <c r="W136" s="40" t="e">
        <f t="shared" si="29"/>
        <v>#VALUE!</v>
      </c>
      <c r="X136" s="12" t="str">
        <f>IF(S136="sell",#REF!-E136,"")</f>
        <v/>
      </c>
      <c r="AA136" s="12" t="s">
        <v>289</v>
      </c>
      <c r="AB136" s="12">
        <v>7424.5</v>
      </c>
      <c r="AC136">
        <v>7417.5249999999996</v>
      </c>
      <c r="AD136" s="12">
        <v>7417</v>
      </c>
      <c r="AE136" s="12">
        <v>7437.85</v>
      </c>
      <c r="AF136" s="12">
        <f t="shared" si="30"/>
        <v>7420.15</v>
      </c>
      <c r="AG136" s="12">
        <f t="shared" si="31"/>
        <v>7.6948099391735099</v>
      </c>
      <c r="AH136" s="12">
        <f t="shared" si="32"/>
        <v>7423.4050000000007</v>
      </c>
      <c r="AI136" s="12">
        <f t="shared" si="33"/>
        <v>7438.7946198783475</v>
      </c>
      <c r="AJ136" s="12">
        <f t="shared" si="34"/>
        <v>7408.0153801216538</v>
      </c>
      <c r="AK136" t="str">
        <f t="shared" si="35"/>
        <v>sell</v>
      </c>
      <c r="BA136" t="s">
        <v>289</v>
      </c>
      <c r="BB136" s="5">
        <v>7755.9502000000002</v>
      </c>
      <c r="BC136" s="5">
        <v>7700.1000999999997</v>
      </c>
      <c r="BD136" s="5">
        <v>7675.9502000000002</v>
      </c>
      <c r="BE136" s="5">
        <v>7690</v>
      </c>
      <c r="BF136" s="5">
        <v>7629.8999000000003</v>
      </c>
      <c r="BG136" s="5">
        <v>7582.6000999999997</v>
      </c>
      <c r="BH136" s="5">
        <v>7565.4502000000002</v>
      </c>
      <c r="BI136" s="5">
        <v>7497</v>
      </c>
      <c r="BJ136" s="5" t="str">
        <f t="shared" si="36"/>
        <v>-</v>
      </c>
      <c r="BK136" t="str">
        <f t="shared" si="37"/>
        <v/>
      </c>
      <c r="BM136" t="s">
        <v>24</v>
      </c>
      <c r="BN136" t="s">
        <v>289</v>
      </c>
      <c r="BO136">
        <v>8864</v>
      </c>
      <c r="BP136">
        <v>8216.75</v>
      </c>
      <c r="BQ136">
        <v>7680.8500999999997</v>
      </c>
      <c r="BR136">
        <v>7844</v>
      </c>
      <c r="BS136">
        <v>7907</v>
      </c>
      <c r="BT136">
        <v>7984</v>
      </c>
      <c r="BU136">
        <v>7827</v>
      </c>
      <c r="BV136">
        <v>7690</v>
      </c>
      <c r="BW136" s="5" t="str">
        <f t="shared" si="38"/>
        <v>-</v>
      </c>
      <c r="BX136" t="str">
        <f t="shared" si="27"/>
        <v/>
      </c>
      <c r="BZ136" t="str">
        <f t="shared" si="28"/>
        <v/>
      </c>
    </row>
    <row r="137" spans="2:78" x14ac:dyDescent="0.3">
      <c r="B137" s="28" t="s">
        <v>821</v>
      </c>
      <c r="C137" s="28" t="s">
        <v>821</v>
      </c>
      <c r="D137" s="28" t="s">
        <v>821</v>
      </c>
      <c r="E137" s="30" t="s">
        <v>821</v>
      </c>
      <c r="F137" s="11"/>
      <c r="G137" s="11"/>
      <c r="H137" s="36"/>
      <c r="I137" s="28">
        <v>290.75</v>
      </c>
      <c r="J137" s="28">
        <v>224.7</v>
      </c>
      <c r="K137" s="30">
        <v>264.35000000000002</v>
      </c>
      <c r="L137" s="10">
        <v>1</v>
      </c>
      <c r="M137" s="12" t="str">
        <f>IFERROR(IF(AND(#REF!="sell",B137&gt;=AI137),"sell",""),"")</f>
        <v/>
      </c>
      <c r="S137" t="str">
        <f>IFERROR(IF(AND(#REF!="sell",C137&gt;=#REF!),"sell",""),"")</f>
        <v/>
      </c>
      <c r="W137" s="40" t="e">
        <f t="shared" si="29"/>
        <v>#VALUE!</v>
      </c>
      <c r="X137" s="12" t="str">
        <f>IF(S137="sell",#REF!-E137,"")</f>
        <v/>
      </c>
      <c r="AA137" s="12" t="s">
        <v>291</v>
      </c>
      <c r="AB137" s="12">
        <v>266.89999999999998</v>
      </c>
      <c r="AC137">
        <v>266.5</v>
      </c>
      <c r="AD137" s="12">
        <v>266.39999999999998</v>
      </c>
      <c r="AE137" s="12">
        <v>266.875</v>
      </c>
      <c r="AF137" s="12">
        <f t="shared" si="30"/>
        <v>257.72500000000002</v>
      </c>
      <c r="AG137" s="12">
        <f t="shared" si="31"/>
        <v>3.5829945576291213</v>
      </c>
      <c r="AH137" s="12">
        <f t="shared" si="32"/>
        <v>264.88</v>
      </c>
      <c r="AI137" s="12">
        <f t="shared" si="33"/>
        <v>272.04598911525824</v>
      </c>
      <c r="AJ137" s="12">
        <f t="shared" si="34"/>
        <v>257.71401088474175</v>
      </c>
      <c r="AK137" t="str">
        <f t="shared" si="35"/>
        <v>sell</v>
      </c>
      <c r="BA137" t="s">
        <v>291</v>
      </c>
      <c r="BB137" s="5">
        <v>284</v>
      </c>
      <c r="BC137" s="5">
        <v>284.54998999999998</v>
      </c>
      <c r="BD137" s="5">
        <v>285.95001000000002</v>
      </c>
      <c r="BE137" s="5">
        <v>284.20001000000002</v>
      </c>
      <c r="BF137" s="5">
        <v>279.29998999999998</v>
      </c>
      <c r="BG137" s="5">
        <v>273.79998999999998</v>
      </c>
      <c r="BH137" s="5">
        <v>275.10001</v>
      </c>
      <c r="BI137" s="5">
        <v>268.45001000000002</v>
      </c>
      <c r="BJ137" s="5" t="str">
        <f t="shared" si="36"/>
        <v>-</v>
      </c>
      <c r="BK137" t="str">
        <f t="shared" si="37"/>
        <v/>
      </c>
      <c r="BM137" t="s">
        <v>24</v>
      </c>
      <c r="BN137" t="s">
        <v>291</v>
      </c>
      <c r="BO137">
        <v>273.20001000000002</v>
      </c>
      <c r="BP137">
        <v>292.54998999999998</v>
      </c>
      <c r="BQ137">
        <v>286.14999</v>
      </c>
      <c r="BR137">
        <v>292.95001000000002</v>
      </c>
      <c r="BS137">
        <v>288.75</v>
      </c>
      <c r="BT137">
        <v>283.39999</v>
      </c>
      <c r="BU137">
        <v>285.95001000000002</v>
      </c>
      <c r="BV137">
        <v>284.20001000000002</v>
      </c>
      <c r="BW137" s="5" t="str">
        <f t="shared" si="38"/>
        <v>-</v>
      </c>
      <c r="BX137" t="str">
        <f t="shared" si="27"/>
        <v/>
      </c>
      <c r="BZ137" t="str">
        <f t="shared" si="28"/>
        <v/>
      </c>
    </row>
    <row r="138" spans="2:78" x14ac:dyDescent="0.3">
      <c r="B138" s="28" t="s">
        <v>821</v>
      </c>
      <c r="C138" s="28" t="s">
        <v>821</v>
      </c>
      <c r="D138" s="28" t="s">
        <v>821</v>
      </c>
      <c r="E138" s="30" t="s">
        <v>821</v>
      </c>
      <c r="F138" s="11"/>
      <c r="G138" s="11"/>
      <c r="H138" s="36"/>
      <c r="I138" s="28">
        <v>37570.050000000003</v>
      </c>
      <c r="J138" s="28">
        <v>32359.25</v>
      </c>
      <c r="K138" s="30">
        <v>35954.69</v>
      </c>
      <c r="L138" s="10">
        <v>1</v>
      </c>
      <c r="M138" s="12" t="str">
        <f>IFERROR(IF(AND(#REF!="sell",B138&gt;=AI138),"sell",""),"")</f>
        <v/>
      </c>
      <c r="S138" t="str">
        <f>IFERROR(IF(AND(#REF!="sell",C138&gt;=#REF!),"sell",""),"")</f>
        <v/>
      </c>
      <c r="W138" s="40" t="e">
        <f t="shared" si="29"/>
        <v>#VALUE!</v>
      </c>
      <c r="X138" s="12" t="str">
        <f>IF(S138="sell",#REF!-E138,"")</f>
        <v/>
      </c>
      <c r="AA138" s="12" t="s">
        <v>293</v>
      </c>
      <c r="AB138" s="12">
        <v>38196.474999999999</v>
      </c>
      <c r="AC138">
        <v>38008.75</v>
      </c>
      <c r="AD138" s="12">
        <v>38014.675000000003</v>
      </c>
      <c r="AE138" s="12">
        <v>38076</v>
      </c>
      <c r="AF138" s="12">
        <f t="shared" si="30"/>
        <v>34964.65</v>
      </c>
      <c r="AG138" s="12">
        <f t="shared" si="31"/>
        <v>1245.5603321999295</v>
      </c>
      <c r="AH138" s="12">
        <f t="shared" si="32"/>
        <v>37452.11</v>
      </c>
      <c r="AI138" s="12">
        <f t="shared" si="33"/>
        <v>39943.23066439986</v>
      </c>
      <c r="AJ138" s="12">
        <f t="shared" si="34"/>
        <v>34960.989335600141</v>
      </c>
      <c r="AK138" t="str">
        <f t="shared" si="35"/>
        <v>sell</v>
      </c>
      <c r="BA138" t="s">
        <v>293</v>
      </c>
      <c r="BB138" s="5">
        <v>36448.949000000001</v>
      </c>
      <c r="BC138" s="5">
        <v>36690</v>
      </c>
      <c r="BD138" s="5">
        <v>35896.351999999999</v>
      </c>
      <c r="BE138" s="5">
        <v>37072.648000000001</v>
      </c>
      <c r="BF138" s="5">
        <v>36845.699000000001</v>
      </c>
      <c r="BG138" s="5">
        <v>36865.898000000001</v>
      </c>
      <c r="BH138" s="5">
        <v>38443.949000000001</v>
      </c>
      <c r="BI138" s="5">
        <v>37578.648000000001</v>
      </c>
      <c r="BJ138" s="5" t="str">
        <f t="shared" si="36"/>
        <v>-</v>
      </c>
      <c r="BK138" t="str">
        <f t="shared" si="37"/>
        <v>Pivot sell</v>
      </c>
      <c r="BM138" t="s">
        <v>33</v>
      </c>
      <c r="BN138" t="s">
        <v>293</v>
      </c>
      <c r="BO138">
        <v>37550.101999999999</v>
      </c>
      <c r="BP138">
        <v>35966</v>
      </c>
      <c r="BQ138">
        <v>36438.648000000001</v>
      </c>
      <c r="BR138">
        <v>35590.449000000001</v>
      </c>
      <c r="BS138">
        <v>35142.800999999999</v>
      </c>
      <c r="BT138">
        <v>36011.101999999999</v>
      </c>
      <c r="BU138">
        <v>36690</v>
      </c>
      <c r="BV138">
        <v>38443.949000000001</v>
      </c>
      <c r="BW138" s="5" t="str">
        <f t="shared" si="38"/>
        <v>-</v>
      </c>
      <c r="BX138" t="str">
        <f t="shared" si="27"/>
        <v/>
      </c>
      <c r="BZ138" t="str">
        <f t="shared" si="28"/>
        <v/>
      </c>
    </row>
    <row r="139" spans="2:78" x14ac:dyDescent="0.3">
      <c r="B139" s="28" t="s">
        <v>821</v>
      </c>
      <c r="C139" s="28" t="s">
        <v>821</v>
      </c>
      <c r="D139" s="28" t="s">
        <v>821</v>
      </c>
      <c r="E139" s="30" t="s">
        <v>821</v>
      </c>
      <c r="F139" s="11"/>
      <c r="G139" s="11"/>
      <c r="H139" s="36"/>
      <c r="I139" s="28">
        <v>866.4</v>
      </c>
      <c r="J139" s="28">
        <v>724.2</v>
      </c>
      <c r="K139" s="30">
        <v>794.85</v>
      </c>
      <c r="L139" s="10">
        <v>1</v>
      </c>
      <c r="M139" s="12" t="str">
        <f>IFERROR(IF(AND(#REF!="sell",B139&gt;=AI139),"sell",""),"")</f>
        <v/>
      </c>
      <c r="S139" t="str">
        <f>IFERROR(IF(AND(#REF!="sell",C139&gt;=#REF!),"sell",""),"")</f>
        <v/>
      </c>
      <c r="W139" s="40" t="e">
        <f t="shared" si="29"/>
        <v>#VALUE!</v>
      </c>
      <c r="X139" s="12" t="str">
        <f>IF(S139="sell",#REF!-E139,"")</f>
        <v/>
      </c>
      <c r="AA139" s="12" t="s">
        <v>295</v>
      </c>
      <c r="AB139" s="12">
        <v>799.875</v>
      </c>
      <c r="AC139">
        <v>799.32500000000005</v>
      </c>
      <c r="AD139" s="12">
        <v>800.35</v>
      </c>
      <c r="AE139" s="12">
        <v>801.32500000000005</v>
      </c>
      <c r="AF139" s="12">
        <f t="shared" si="30"/>
        <v>795.3</v>
      </c>
      <c r="AG139" s="12">
        <f t="shared" si="31"/>
        <v>2.0742830086562734</v>
      </c>
      <c r="AH139" s="12">
        <f t="shared" si="32"/>
        <v>799.23500000000001</v>
      </c>
      <c r="AI139" s="12">
        <f t="shared" si="33"/>
        <v>803.38356601731255</v>
      </c>
      <c r="AJ139" s="12">
        <f t="shared" si="34"/>
        <v>795.08643398268748</v>
      </c>
      <c r="AK139" t="str">
        <f t="shared" si="35"/>
        <v>sell</v>
      </c>
      <c r="BA139" t="s">
        <v>295</v>
      </c>
      <c r="BB139" s="5">
        <v>825.65002000000004</v>
      </c>
      <c r="BC139" s="5">
        <v>822.95001000000002</v>
      </c>
      <c r="BD139" s="5">
        <v>821.95001000000002</v>
      </c>
      <c r="BE139" s="5">
        <v>834</v>
      </c>
      <c r="BF139" s="5">
        <v>833.5</v>
      </c>
      <c r="BG139" s="5">
        <v>838.20001000000002</v>
      </c>
      <c r="BH139" s="5">
        <v>831.25</v>
      </c>
      <c r="BI139" s="5">
        <v>809.79998999999998</v>
      </c>
      <c r="BJ139" s="5" t="str">
        <f t="shared" si="36"/>
        <v>-</v>
      </c>
      <c r="BK139" t="str">
        <f t="shared" si="37"/>
        <v/>
      </c>
      <c r="BM139" t="s">
        <v>24</v>
      </c>
      <c r="BN139" t="s">
        <v>295</v>
      </c>
      <c r="BO139">
        <v>887.59997999999996</v>
      </c>
      <c r="BP139">
        <v>859.79998999999998</v>
      </c>
      <c r="BQ139">
        <v>934.95001000000002</v>
      </c>
      <c r="BR139">
        <v>966</v>
      </c>
      <c r="BS139">
        <v>970.59997999999996</v>
      </c>
      <c r="BT139">
        <v>851.95001000000002</v>
      </c>
      <c r="BU139">
        <v>831</v>
      </c>
      <c r="BV139">
        <v>838.20001000000002</v>
      </c>
      <c r="BW139" s="5" t="str">
        <f t="shared" si="38"/>
        <v>-</v>
      </c>
      <c r="BX139" t="str">
        <f t="shared" si="27"/>
        <v/>
      </c>
      <c r="BZ139" t="str">
        <f t="shared" si="28"/>
        <v/>
      </c>
    </row>
    <row r="140" spans="2:78" x14ac:dyDescent="0.3">
      <c r="B140" s="28" t="s">
        <v>821</v>
      </c>
      <c r="C140" s="28" t="s">
        <v>821</v>
      </c>
      <c r="D140" s="28" t="s">
        <v>821</v>
      </c>
      <c r="E140" s="30" t="s">
        <v>821</v>
      </c>
      <c r="F140" s="11"/>
      <c r="G140" s="11"/>
      <c r="H140" s="36"/>
      <c r="I140" s="28">
        <v>3538.4</v>
      </c>
      <c r="J140" s="28">
        <v>3069.45</v>
      </c>
      <c r="K140" s="30">
        <v>3410.5</v>
      </c>
      <c r="L140" s="10">
        <v>1</v>
      </c>
      <c r="M140" s="12" t="str">
        <f>IFERROR(IF(AND(#REF!="sell",B140&gt;=AI140),"sell",""),"")</f>
        <v/>
      </c>
      <c r="S140" t="str">
        <f>IFERROR(IF(AND(#REF!="sell",C140&gt;=#REF!),"sell",""),"")</f>
        <v/>
      </c>
      <c r="W140" s="40" t="e">
        <f t="shared" si="29"/>
        <v>#VALUE!</v>
      </c>
      <c r="X140" s="12" t="str">
        <f>IF(S140="sell",#REF!-E140,"")</f>
        <v/>
      </c>
      <c r="AA140" s="12" t="s">
        <v>297</v>
      </c>
      <c r="AB140" s="12">
        <v>3516.0749999999998</v>
      </c>
      <c r="AC140">
        <v>3513.2250000000004</v>
      </c>
      <c r="AD140" s="12">
        <v>3518.2</v>
      </c>
      <c r="AE140" s="12">
        <v>3525.5250000000001</v>
      </c>
      <c r="AF140" s="12">
        <f t="shared" si="30"/>
        <v>3303.9250000000002</v>
      </c>
      <c r="AG140" s="12">
        <f t="shared" si="31"/>
        <v>85.829152390082413</v>
      </c>
      <c r="AH140" s="12">
        <f t="shared" si="32"/>
        <v>3475.3900000000003</v>
      </c>
      <c r="AI140" s="12">
        <f t="shared" si="33"/>
        <v>3647.0483047801654</v>
      </c>
      <c r="AJ140" s="12">
        <f t="shared" si="34"/>
        <v>3303.7316952198353</v>
      </c>
      <c r="AK140" t="str">
        <f t="shared" si="35"/>
        <v>sell</v>
      </c>
      <c r="BA140" t="s">
        <v>297</v>
      </c>
      <c r="BB140" s="5">
        <v>3534</v>
      </c>
      <c r="BC140" s="5">
        <v>3587</v>
      </c>
      <c r="BD140" s="5">
        <v>3588.6498999999999</v>
      </c>
      <c r="BE140" s="5">
        <v>3784.3998999999999</v>
      </c>
      <c r="BF140" s="5">
        <v>3796.95</v>
      </c>
      <c r="BG140" s="5">
        <v>3700</v>
      </c>
      <c r="BH140" s="5">
        <v>3640</v>
      </c>
      <c r="BI140" s="5">
        <v>3544.95</v>
      </c>
      <c r="BJ140" s="5" t="str">
        <f t="shared" si="36"/>
        <v>-</v>
      </c>
      <c r="BK140" t="str">
        <f t="shared" si="37"/>
        <v/>
      </c>
      <c r="BM140" t="s">
        <v>24</v>
      </c>
      <c r="BN140" t="s">
        <v>297</v>
      </c>
      <c r="BO140">
        <v>4040</v>
      </c>
      <c r="BP140">
        <v>3993.1001000000001</v>
      </c>
      <c r="BQ140">
        <v>3882</v>
      </c>
      <c r="BR140">
        <v>3445.3501000000001</v>
      </c>
      <c r="BS140">
        <v>3434.3998999999999</v>
      </c>
      <c r="BT140">
        <v>3559.75</v>
      </c>
      <c r="BU140">
        <v>3588.6498999999999</v>
      </c>
      <c r="BV140">
        <v>3796.95</v>
      </c>
      <c r="BW140" s="5" t="str">
        <f t="shared" si="38"/>
        <v>-</v>
      </c>
      <c r="BX140" t="str">
        <f t="shared" si="27"/>
        <v/>
      </c>
      <c r="BZ140" t="str">
        <f t="shared" si="28"/>
        <v/>
      </c>
    </row>
    <row r="141" spans="2:78" x14ac:dyDescent="0.3">
      <c r="B141" s="28" t="s">
        <v>821</v>
      </c>
      <c r="C141" s="28" t="s">
        <v>821</v>
      </c>
      <c r="D141" s="28" t="s">
        <v>821</v>
      </c>
      <c r="E141" s="30" t="s">
        <v>821</v>
      </c>
      <c r="F141" s="11"/>
      <c r="G141" s="11"/>
      <c r="H141" s="36"/>
      <c r="I141" s="28">
        <v>327.05</v>
      </c>
      <c r="J141" s="28">
        <v>267.64999999999998</v>
      </c>
      <c r="K141" s="30">
        <v>297.35000000000002</v>
      </c>
      <c r="L141" s="10">
        <v>1</v>
      </c>
      <c r="M141" s="12" t="str">
        <f>IFERROR(IF(AND(#REF!="sell",B141&gt;=AI141),"sell",""),"")</f>
        <v/>
      </c>
      <c r="S141" t="str">
        <f>IFERROR(IF(AND(#REF!="sell",C141&gt;=#REF!),"sell",""),"")</f>
        <v/>
      </c>
      <c r="W141" s="40" t="e">
        <f t="shared" si="29"/>
        <v>#VALUE!</v>
      </c>
      <c r="X141" s="12" t="str">
        <f>IF(S141="sell",#REF!-E141,"")</f>
        <v/>
      </c>
      <c r="AA141" s="12" t="s">
        <v>299</v>
      </c>
      <c r="AB141" s="12">
        <v>293.67500000000001</v>
      </c>
      <c r="AC141">
        <v>293.5</v>
      </c>
      <c r="AD141" s="12">
        <v>294</v>
      </c>
      <c r="AE141" s="12">
        <v>294.07499999999999</v>
      </c>
      <c r="AF141" s="12">
        <f t="shared" si="30"/>
        <v>297.35000000000002</v>
      </c>
      <c r="AG141" s="12">
        <f t="shared" si="31"/>
        <v>1.430506903164058</v>
      </c>
      <c r="AH141" s="12">
        <f t="shared" si="32"/>
        <v>294.52</v>
      </c>
      <c r="AI141" s="12">
        <f t="shared" si="33"/>
        <v>297.3810138063281</v>
      </c>
      <c r="AJ141" s="12">
        <f t="shared" si="34"/>
        <v>291.65898619367186</v>
      </c>
      <c r="AK141" t="str">
        <f t="shared" si="35"/>
        <v>sell</v>
      </c>
      <c r="BA141" t="s">
        <v>299</v>
      </c>
      <c r="BB141" s="5">
        <v>311.10001</v>
      </c>
      <c r="BC141" s="5">
        <v>312.89999</v>
      </c>
      <c r="BD141" s="5">
        <v>308.10001</v>
      </c>
      <c r="BE141" s="5">
        <v>306.10001</v>
      </c>
      <c r="BF141" s="5">
        <v>302.5</v>
      </c>
      <c r="BG141" s="5">
        <v>299.85001</v>
      </c>
      <c r="BH141" s="5">
        <v>299.10001</v>
      </c>
      <c r="BI141" s="5">
        <v>298.79998999999998</v>
      </c>
      <c r="BJ141" s="5" t="str">
        <f t="shared" si="36"/>
        <v>-</v>
      </c>
      <c r="BK141" t="str">
        <f t="shared" si="37"/>
        <v/>
      </c>
      <c r="BM141" t="s">
        <v>24</v>
      </c>
      <c r="BN141" t="s">
        <v>299</v>
      </c>
      <c r="BO141">
        <v>315.20001000000002</v>
      </c>
      <c r="BP141">
        <v>318.75</v>
      </c>
      <c r="BQ141">
        <v>312</v>
      </c>
      <c r="BR141">
        <v>323.14999</v>
      </c>
      <c r="BS141">
        <v>316.10001</v>
      </c>
      <c r="BT141">
        <v>320.20001000000002</v>
      </c>
      <c r="BU141">
        <v>316.20001000000002</v>
      </c>
      <c r="BV141">
        <v>306.10001</v>
      </c>
      <c r="BW141" s="5" t="str">
        <f t="shared" si="38"/>
        <v>-</v>
      </c>
      <c r="BX141" t="str">
        <f t="shared" si="27"/>
        <v/>
      </c>
      <c r="BZ141" t="str">
        <f t="shared" si="28"/>
        <v/>
      </c>
    </row>
    <row r="142" spans="2:78" x14ac:dyDescent="0.3">
      <c r="B142" s="28" t="s">
        <v>821</v>
      </c>
      <c r="C142" s="28" t="s">
        <v>821</v>
      </c>
      <c r="D142" s="28" t="s">
        <v>821</v>
      </c>
      <c r="E142" s="30" t="s">
        <v>821</v>
      </c>
      <c r="F142" s="11"/>
      <c r="G142" s="11"/>
      <c r="H142" s="36"/>
      <c r="I142" s="28">
        <v>541.65</v>
      </c>
      <c r="J142" s="28">
        <v>455</v>
      </c>
      <c r="K142" s="30">
        <v>492.45</v>
      </c>
      <c r="L142" s="10">
        <v>1</v>
      </c>
      <c r="M142" s="12" t="str">
        <f>IFERROR(IF(AND(#REF!="sell",B142&gt;=AI142),"sell",""),"")</f>
        <v/>
      </c>
      <c r="S142" t="str">
        <f>IFERROR(IF(AND(#REF!="sell",C142&gt;=#REF!),"sell",""),"")</f>
        <v/>
      </c>
      <c r="W142" s="40" t="e">
        <f t="shared" si="29"/>
        <v>#VALUE!</v>
      </c>
      <c r="X142" s="12" t="str">
        <f>IF(S142="sell",#REF!-E142,"")</f>
        <v/>
      </c>
      <c r="AA142" s="12" t="s">
        <v>301</v>
      </c>
      <c r="AB142" s="12">
        <v>501.625</v>
      </c>
      <c r="AC142">
        <v>500.42500000000001</v>
      </c>
      <c r="AD142" s="12">
        <v>501.85</v>
      </c>
      <c r="AE142" s="12">
        <v>503.25</v>
      </c>
      <c r="AF142" s="12">
        <f t="shared" si="30"/>
        <v>498.32499999999999</v>
      </c>
      <c r="AG142" s="12">
        <f t="shared" si="31"/>
        <v>1.650257555656091</v>
      </c>
      <c r="AH142" s="12">
        <f t="shared" si="32"/>
        <v>501.09499999999997</v>
      </c>
      <c r="AI142" s="12">
        <f t="shared" si="33"/>
        <v>504.39551511131214</v>
      </c>
      <c r="AJ142" s="12">
        <f t="shared" si="34"/>
        <v>497.7944848886878</v>
      </c>
      <c r="AK142" t="str">
        <f t="shared" si="35"/>
        <v>sell</v>
      </c>
      <c r="BA142" t="s">
        <v>301</v>
      </c>
      <c r="BB142" s="5">
        <v>471.39999</v>
      </c>
      <c r="BC142" s="5">
        <v>475</v>
      </c>
      <c r="BD142" s="5">
        <v>499.39999</v>
      </c>
      <c r="BE142" s="5">
        <v>521.29998999999998</v>
      </c>
      <c r="BF142" s="5">
        <v>521.29998999999998</v>
      </c>
      <c r="BG142" s="5">
        <v>524.34997999999996</v>
      </c>
      <c r="BH142" s="5">
        <v>516</v>
      </c>
      <c r="BI142" s="5">
        <v>512.25</v>
      </c>
      <c r="BJ142" s="5" t="str">
        <f t="shared" si="36"/>
        <v>-</v>
      </c>
      <c r="BK142" t="str">
        <f t="shared" si="37"/>
        <v/>
      </c>
      <c r="BM142" t="s">
        <v>24</v>
      </c>
      <c r="BN142" t="s">
        <v>301</v>
      </c>
      <c r="BO142">
        <v>420.45001000000002</v>
      </c>
      <c r="BP142">
        <v>407.25</v>
      </c>
      <c r="BQ142">
        <v>412</v>
      </c>
      <c r="BR142">
        <v>485.5</v>
      </c>
      <c r="BS142">
        <v>458.85001</v>
      </c>
      <c r="BT142">
        <v>472.79998999999998</v>
      </c>
      <c r="BU142">
        <v>499.39999</v>
      </c>
      <c r="BV142">
        <v>524.34997999999996</v>
      </c>
      <c r="BW142" s="5" t="str">
        <f t="shared" si="38"/>
        <v>-</v>
      </c>
      <c r="BX142" t="str">
        <f t="shared" si="27"/>
        <v>Pivot sell</v>
      </c>
      <c r="BZ142" t="str">
        <f t="shared" si="28"/>
        <v/>
      </c>
    </row>
    <row r="143" spans="2:78" x14ac:dyDescent="0.3">
      <c r="B143" s="28" t="s">
        <v>821</v>
      </c>
      <c r="C143" s="28" t="s">
        <v>821</v>
      </c>
      <c r="D143" s="28" t="s">
        <v>821</v>
      </c>
      <c r="E143" s="30" t="s">
        <v>821</v>
      </c>
      <c r="F143" s="11"/>
      <c r="G143" s="11"/>
      <c r="H143" s="36"/>
      <c r="I143" s="28">
        <v>3013.2</v>
      </c>
      <c r="J143" s="28">
        <v>2672.55</v>
      </c>
      <c r="K143" s="30">
        <v>2969.5</v>
      </c>
      <c r="L143" s="10">
        <v>1</v>
      </c>
      <c r="M143" s="12" t="str">
        <f>IFERROR(IF(AND(#REF!="sell",B143&gt;=AI143),"sell",""),"")</f>
        <v/>
      </c>
      <c r="S143" t="str">
        <f>IFERROR(IF(AND(#REF!="sell",C143&gt;=#REF!),"sell",""),"")</f>
        <v/>
      </c>
      <c r="W143" s="40" t="e">
        <f t="shared" si="29"/>
        <v>#VALUE!</v>
      </c>
      <c r="X143" s="12" t="str">
        <f>IF(S143="sell",#REF!-E143,"")</f>
        <v/>
      </c>
      <c r="AA143" s="12" t="s">
        <v>303</v>
      </c>
      <c r="AB143" s="12">
        <v>2992.85</v>
      </c>
      <c r="AC143">
        <v>2995.3999999999996</v>
      </c>
      <c r="AD143" s="12">
        <v>3000.2</v>
      </c>
      <c r="AE143" s="12">
        <v>2995.875</v>
      </c>
      <c r="AF143" s="12">
        <f t="shared" si="30"/>
        <v>2842.875</v>
      </c>
      <c r="AG143" s="12">
        <f t="shared" si="31"/>
        <v>61.328029073173319</v>
      </c>
      <c r="AH143" s="12">
        <f t="shared" si="32"/>
        <v>2965.44</v>
      </c>
      <c r="AI143" s="12">
        <f t="shared" si="33"/>
        <v>3088.0960581463469</v>
      </c>
      <c r="AJ143" s="12">
        <f t="shared" si="34"/>
        <v>2842.7839418536532</v>
      </c>
      <c r="AK143" t="str">
        <f t="shared" si="35"/>
        <v>sell</v>
      </c>
      <c r="BA143" t="s">
        <v>303</v>
      </c>
      <c r="BB143" s="5">
        <v>3063</v>
      </c>
      <c r="BC143" s="5">
        <v>3025.8</v>
      </c>
      <c r="BD143" s="5">
        <v>3010.3501000000001</v>
      </c>
      <c r="BE143" s="5">
        <v>3030</v>
      </c>
      <c r="BF143" s="5">
        <v>3071.95</v>
      </c>
      <c r="BG143" s="5">
        <v>3050</v>
      </c>
      <c r="BH143" s="5">
        <v>3044.8998999999999</v>
      </c>
      <c r="BI143" s="5">
        <v>2998.8501000000001</v>
      </c>
      <c r="BJ143" s="5" t="str">
        <f t="shared" si="36"/>
        <v>-</v>
      </c>
      <c r="BK143" t="str">
        <f t="shared" si="37"/>
        <v/>
      </c>
      <c r="BM143" t="s">
        <v>24</v>
      </c>
      <c r="BN143" t="s">
        <v>303</v>
      </c>
      <c r="BO143">
        <v>3054.8998999999999</v>
      </c>
      <c r="BP143">
        <v>2951.6001000000001</v>
      </c>
      <c r="BQ143">
        <v>3004.95</v>
      </c>
      <c r="BR143">
        <v>3118</v>
      </c>
      <c r="BS143">
        <v>2965.55</v>
      </c>
      <c r="BT143">
        <v>3063.3998999999999</v>
      </c>
      <c r="BU143">
        <v>3063</v>
      </c>
      <c r="BV143">
        <v>3071.95</v>
      </c>
      <c r="BW143" s="5" t="str">
        <f t="shared" si="38"/>
        <v>-</v>
      </c>
      <c r="BX143" t="str">
        <f t="shared" si="27"/>
        <v/>
      </c>
      <c r="BZ143" t="str">
        <f t="shared" si="28"/>
        <v/>
      </c>
    </row>
    <row r="144" spans="2:78" x14ac:dyDescent="0.3">
      <c r="B144" s="28" t="s">
        <v>821</v>
      </c>
      <c r="C144" s="28" t="s">
        <v>821</v>
      </c>
      <c r="D144" s="28" t="s">
        <v>821</v>
      </c>
      <c r="E144" s="30" t="s">
        <v>821</v>
      </c>
      <c r="F144" s="11"/>
      <c r="G144" s="11"/>
      <c r="H144" s="36"/>
      <c r="I144" s="28">
        <v>3562.8</v>
      </c>
      <c r="J144" s="28">
        <v>3185.75</v>
      </c>
      <c r="K144" s="30">
        <v>3539.7</v>
      </c>
      <c r="L144" s="10">
        <v>1</v>
      </c>
      <c r="M144" s="12" t="str">
        <f>IFERROR(IF(AND(#REF!="sell",B144&gt;=AI144),"sell",""),"")</f>
        <v/>
      </c>
      <c r="S144" t="str">
        <f>IFERROR(IF(AND(#REF!="sell",C144&gt;=#REF!),"sell",""),"")</f>
        <v/>
      </c>
      <c r="W144" s="40" t="e">
        <f t="shared" si="29"/>
        <v>#VALUE!</v>
      </c>
      <c r="X144" s="12" t="str">
        <f>IF(S144="sell",#REF!-E144,"")</f>
        <v/>
      </c>
      <c r="AA144" s="12" t="s">
        <v>305</v>
      </c>
      <c r="AB144" s="12">
        <v>3556.9</v>
      </c>
      <c r="AC144">
        <v>3553.85</v>
      </c>
      <c r="AD144" s="12">
        <v>3555.3999999999996</v>
      </c>
      <c r="AE144" s="12">
        <v>3553.55</v>
      </c>
      <c r="AF144" s="12">
        <f t="shared" si="30"/>
        <v>3374.2750000000001</v>
      </c>
      <c r="AG144" s="12">
        <f t="shared" si="31"/>
        <v>72.269925280160578</v>
      </c>
      <c r="AH144" s="12">
        <f t="shared" si="32"/>
        <v>3518.7950000000005</v>
      </c>
      <c r="AI144" s="12">
        <f t="shared" si="33"/>
        <v>3663.3348505603217</v>
      </c>
      <c r="AJ144" s="12">
        <f t="shared" si="34"/>
        <v>3374.2551494396794</v>
      </c>
      <c r="AK144" t="str">
        <f t="shared" si="35"/>
        <v>sell</v>
      </c>
      <c r="BA144" t="s">
        <v>305</v>
      </c>
      <c r="BB144" s="5">
        <v>3724.5</v>
      </c>
      <c r="BC144" s="5">
        <v>3699</v>
      </c>
      <c r="BD144" s="5">
        <v>3674</v>
      </c>
      <c r="BE144" s="5">
        <v>3718.45</v>
      </c>
      <c r="BF144" s="5">
        <v>3641.95</v>
      </c>
      <c r="BG144" s="5">
        <v>3604</v>
      </c>
      <c r="BH144" s="5">
        <v>3578.5</v>
      </c>
      <c r="BI144" s="5">
        <v>3578</v>
      </c>
      <c r="BJ144" s="5" t="str">
        <f t="shared" si="36"/>
        <v>-</v>
      </c>
      <c r="BK144" t="str">
        <f t="shared" si="37"/>
        <v/>
      </c>
      <c r="BM144" t="s">
        <v>24</v>
      </c>
      <c r="BN144" t="s">
        <v>305</v>
      </c>
      <c r="BO144">
        <v>4040</v>
      </c>
      <c r="BP144">
        <v>3833.1001000000001</v>
      </c>
      <c r="BQ144">
        <v>3800</v>
      </c>
      <c r="BR144">
        <v>3842.45</v>
      </c>
      <c r="BS144">
        <v>3637.3501000000001</v>
      </c>
      <c r="BT144">
        <v>3749.8998999999999</v>
      </c>
      <c r="BU144">
        <v>3724.5</v>
      </c>
      <c r="BV144">
        <v>3718.45</v>
      </c>
      <c r="BW144" s="5" t="str">
        <f t="shared" si="38"/>
        <v>-</v>
      </c>
      <c r="BX144" t="str">
        <f t="shared" si="27"/>
        <v/>
      </c>
      <c r="BZ144" t="str">
        <f t="shared" si="28"/>
        <v/>
      </c>
    </row>
    <row r="145" spans="2:78" x14ac:dyDescent="0.3">
      <c r="B145" s="28" t="s">
        <v>821</v>
      </c>
      <c r="C145" s="28" t="s">
        <v>821</v>
      </c>
      <c r="D145" s="28" t="s">
        <v>821</v>
      </c>
      <c r="E145" s="30" t="s">
        <v>821</v>
      </c>
      <c r="F145" s="11"/>
      <c r="G145" s="11"/>
      <c r="H145" s="36"/>
      <c r="I145" s="28">
        <v>140</v>
      </c>
      <c r="J145" s="28">
        <v>116.5</v>
      </c>
      <c r="K145" s="30">
        <v>129.44</v>
      </c>
      <c r="L145" s="10">
        <v>1</v>
      </c>
      <c r="M145" s="12" t="str">
        <f>IFERROR(IF(AND(#REF!="sell",B145&gt;=AI145),"sell",""),"")</f>
        <v/>
      </c>
      <c r="S145" t="str">
        <f>IFERROR(IF(AND(#REF!="sell",C145&gt;=#REF!),"sell",""),"")</f>
        <v/>
      </c>
      <c r="W145" s="40" t="e">
        <f t="shared" si="29"/>
        <v>#VALUE!</v>
      </c>
      <c r="X145" s="12" t="str">
        <f>IF(S145="sell",#REF!-E145,"")</f>
        <v/>
      </c>
      <c r="AA145" s="12" t="s">
        <v>307</v>
      </c>
      <c r="AB145" s="12">
        <v>127.42500000000001</v>
      </c>
      <c r="AC145">
        <v>127.1</v>
      </c>
      <c r="AD145" s="12">
        <v>127.45</v>
      </c>
      <c r="AE145" s="12">
        <v>127.69999999999999</v>
      </c>
      <c r="AF145" s="12">
        <f t="shared" si="30"/>
        <v>128.25</v>
      </c>
      <c r="AG145" s="12">
        <f t="shared" si="31"/>
        <v>0.38327535793473561</v>
      </c>
      <c r="AH145" s="12">
        <f t="shared" si="32"/>
        <v>127.58499999999999</v>
      </c>
      <c r="AI145" s="12">
        <f t="shared" si="33"/>
        <v>128.35155071586948</v>
      </c>
      <c r="AJ145" s="12">
        <f t="shared" si="34"/>
        <v>126.81844928413052</v>
      </c>
      <c r="AK145" t="str">
        <f t="shared" si="35"/>
        <v>sell</v>
      </c>
      <c r="BA145" t="s">
        <v>307</v>
      </c>
      <c r="BB145" s="5">
        <v>127</v>
      </c>
      <c r="BC145" s="5">
        <v>128</v>
      </c>
      <c r="BD145" s="5">
        <v>127.35</v>
      </c>
      <c r="BE145" s="5">
        <v>131</v>
      </c>
      <c r="BF145" s="5">
        <v>131.55000000000001</v>
      </c>
      <c r="BG145" s="5">
        <v>130.55000000000001</v>
      </c>
      <c r="BH145" s="5">
        <v>130</v>
      </c>
      <c r="BI145" s="5">
        <v>130</v>
      </c>
      <c r="BJ145" s="5" t="str">
        <f t="shared" si="36"/>
        <v>-</v>
      </c>
      <c r="BK145" t="str">
        <f t="shared" si="37"/>
        <v/>
      </c>
      <c r="BM145" t="s">
        <v>24</v>
      </c>
      <c r="BN145" t="s">
        <v>307</v>
      </c>
      <c r="BO145">
        <v>138.30000000000001</v>
      </c>
      <c r="BP145">
        <v>135.35001</v>
      </c>
      <c r="BQ145">
        <v>138.10001</v>
      </c>
      <c r="BR145">
        <v>142.89999</v>
      </c>
      <c r="BS145">
        <v>136.89999</v>
      </c>
      <c r="BT145">
        <v>127.75</v>
      </c>
      <c r="BU145">
        <v>128</v>
      </c>
      <c r="BV145">
        <v>131.55000000000001</v>
      </c>
      <c r="BW145" s="5" t="str">
        <f t="shared" si="38"/>
        <v>-</v>
      </c>
      <c r="BX145" t="str">
        <f t="shared" si="27"/>
        <v/>
      </c>
      <c r="BZ145" t="str">
        <f t="shared" si="28"/>
        <v/>
      </c>
    </row>
    <row r="146" spans="2:78" x14ac:dyDescent="0.3">
      <c r="B146" s="28" t="s">
        <v>821</v>
      </c>
      <c r="C146" s="28" t="s">
        <v>821</v>
      </c>
      <c r="D146" s="28" t="s">
        <v>821</v>
      </c>
      <c r="E146" s="30" t="s">
        <v>821</v>
      </c>
      <c r="F146" s="11"/>
      <c r="G146" s="11"/>
      <c r="H146" s="36"/>
      <c r="I146" s="28">
        <v>7415.8</v>
      </c>
      <c r="J146" s="28">
        <v>6672</v>
      </c>
      <c r="K146" s="30">
        <v>6741.65</v>
      </c>
      <c r="L146" s="10">
        <v>1</v>
      </c>
      <c r="M146" s="12" t="str">
        <f>IFERROR(IF(AND(#REF!="sell",B146&gt;=AI146),"sell",""),"")</f>
        <v/>
      </c>
      <c r="S146" t="str">
        <f>IFERROR(IF(AND(#REF!="sell",C146&gt;=#REF!),"sell",""),"")</f>
        <v/>
      </c>
      <c r="W146" s="40" t="e">
        <f t="shared" si="29"/>
        <v>#VALUE!</v>
      </c>
      <c r="X146" s="12" t="str">
        <f>IF(S146="sell",#REF!-E146,"")</f>
        <v/>
      </c>
      <c r="AA146" s="12" t="s">
        <v>309</v>
      </c>
      <c r="AB146" s="12">
        <v>6710.2749999999996</v>
      </c>
      <c r="AC146">
        <v>6701.6750000000002</v>
      </c>
      <c r="AD146" s="12">
        <v>6713.5499999999993</v>
      </c>
      <c r="AE146" s="12">
        <v>6720.9250000000002</v>
      </c>
      <c r="AF146" s="12">
        <f t="shared" si="30"/>
        <v>7043.9</v>
      </c>
      <c r="AG146" s="12">
        <f t="shared" si="31"/>
        <v>133.06113500943835</v>
      </c>
      <c r="AH146" s="12">
        <f t="shared" si="32"/>
        <v>6778.0649999999996</v>
      </c>
      <c r="AI146" s="12">
        <f t="shared" si="33"/>
        <v>7044.187270018876</v>
      </c>
      <c r="AJ146" s="12">
        <f t="shared" si="34"/>
        <v>6511.9427299811232</v>
      </c>
      <c r="AK146" t="str">
        <f t="shared" si="35"/>
        <v>sell</v>
      </c>
      <c r="BA146" t="s">
        <v>309</v>
      </c>
      <c r="BB146" s="5">
        <v>6778</v>
      </c>
      <c r="BC146" s="5">
        <v>6740</v>
      </c>
      <c r="BD146" s="5">
        <v>6741.4502000000002</v>
      </c>
      <c r="BE146" s="5">
        <v>6900</v>
      </c>
      <c r="BF146" s="5">
        <v>6899.8500999999997</v>
      </c>
      <c r="BG146" s="5">
        <v>6778.9502000000002</v>
      </c>
      <c r="BH146" s="5">
        <v>6767</v>
      </c>
      <c r="BI146" s="5">
        <v>6852</v>
      </c>
      <c r="BJ146" s="5" t="str">
        <f t="shared" si="36"/>
        <v>-</v>
      </c>
      <c r="BK146" t="str">
        <f t="shared" si="37"/>
        <v/>
      </c>
      <c r="BM146" t="s">
        <v>24</v>
      </c>
      <c r="BN146" t="s">
        <v>309</v>
      </c>
      <c r="BO146">
        <v>5390</v>
      </c>
      <c r="BP146">
        <v>5434.1499000000003</v>
      </c>
      <c r="BQ146">
        <v>5689.8999000000003</v>
      </c>
      <c r="BR146">
        <v>5869.8999000000003</v>
      </c>
      <c r="BS146">
        <v>6362.9502000000002</v>
      </c>
      <c r="BT146">
        <v>6542.8999000000003</v>
      </c>
      <c r="BU146">
        <v>6843.9502000000002</v>
      </c>
      <c r="BV146">
        <v>6900</v>
      </c>
      <c r="BW146" s="5" t="str">
        <f t="shared" si="38"/>
        <v>-</v>
      </c>
      <c r="BX146" t="str">
        <f t="shared" si="27"/>
        <v>Pivot sell</v>
      </c>
      <c r="BZ146" t="str">
        <f t="shared" si="28"/>
        <v/>
      </c>
    </row>
    <row r="147" spans="2:78" x14ac:dyDescent="0.3">
      <c r="B147" s="28" t="s">
        <v>821</v>
      </c>
      <c r="C147" s="28" t="s">
        <v>821</v>
      </c>
      <c r="D147" s="28" t="s">
        <v>821</v>
      </c>
      <c r="E147" s="30" t="s">
        <v>821</v>
      </c>
      <c r="F147" s="11"/>
      <c r="G147" s="11"/>
      <c r="H147" s="36"/>
      <c r="I147" s="28">
        <v>341</v>
      </c>
      <c r="J147" s="28">
        <v>279</v>
      </c>
      <c r="K147" s="30">
        <v>310</v>
      </c>
      <c r="L147" s="10">
        <v>1</v>
      </c>
      <c r="M147" s="12" t="str">
        <f>IFERROR(IF(AND(#REF!="sell",B147&gt;=AI147),"sell",""),"")</f>
        <v/>
      </c>
      <c r="S147" t="str">
        <f>IFERROR(IF(AND(#REF!="sell",C147&gt;=#REF!),"sell",""),"")</f>
        <v/>
      </c>
      <c r="W147" s="40" t="e">
        <f t="shared" si="29"/>
        <v>#VALUE!</v>
      </c>
      <c r="X147" s="12" t="str">
        <f>IF(S147="sell",#REF!-E147,"")</f>
        <v/>
      </c>
      <c r="AA147" s="12" t="s">
        <v>311</v>
      </c>
      <c r="AB147" s="12">
        <v>307.60000000000002</v>
      </c>
      <c r="AC147">
        <v>307.45</v>
      </c>
      <c r="AD147" s="12">
        <v>307.72500000000002</v>
      </c>
      <c r="AE147" s="12">
        <v>308.39999999999998</v>
      </c>
      <c r="AF147" s="12">
        <f t="shared" si="30"/>
        <v>310</v>
      </c>
      <c r="AG147" s="12">
        <f t="shared" si="31"/>
        <v>0.94042543564069536</v>
      </c>
      <c r="AH147" s="12">
        <f t="shared" si="32"/>
        <v>308.23500000000001</v>
      </c>
      <c r="AI147" s="12">
        <f t="shared" si="33"/>
        <v>310.1158508712814</v>
      </c>
      <c r="AJ147" s="12">
        <f t="shared" si="34"/>
        <v>306.35414912871863</v>
      </c>
      <c r="AK147" t="str">
        <f t="shared" si="35"/>
        <v>sell</v>
      </c>
      <c r="BA147" t="s">
        <v>311</v>
      </c>
      <c r="BB147" s="5">
        <v>327.75</v>
      </c>
      <c r="BC147" s="5">
        <v>320.70001000000002</v>
      </c>
      <c r="BD147" s="5">
        <v>322.95001000000002</v>
      </c>
      <c r="BE147" s="5">
        <v>321.5</v>
      </c>
      <c r="BF147" s="5">
        <v>319.5</v>
      </c>
      <c r="BG147" s="5">
        <v>318.70001000000002</v>
      </c>
      <c r="BH147" s="5">
        <v>317.64999</v>
      </c>
      <c r="BI147" s="5">
        <v>311.5</v>
      </c>
      <c r="BJ147" s="5" t="str">
        <f t="shared" si="36"/>
        <v>-</v>
      </c>
      <c r="BK147" t="str">
        <f t="shared" si="37"/>
        <v/>
      </c>
      <c r="BM147" t="s">
        <v>24</v>
      </c>
      <c r="BN147" t="s">
        <v>311</v>
      </c>
      <c r="BO147">
        <v>285.35001</v>
      </c>
      <c r="BP147">
        <v>289.89999</v>
      </c>
      <c r="BQ147">
        <v>296.14999</v>
      </c>
      <c r="BR147">
        <v>317.25</v>
      </c>
      <c r="BS147">
        <v>310.79998999999998</v>
      </c>
      <c r="BT147">
        <v>318.25</v>
      </c>
      <c r="BU147">
        <v>327.75</v>
      </c>
      <c r="BV147">
        <v>321.5</v>
      </c>
      <c r="BW147" s="5" t="str">
        <f t="shared" si="38"/>
        <v>-</v>
      </c>
      <c r="BX147" t="str">
        <f t="shared" si="27"/>
        <v>Pivot sell</v>
      </c>
      <c r="BZ147" t="str">
        <f t="shared" si="28"/>
        <v/>
      </c>
    </row>
    <row r="148" spans="2:78" x14ac:dyDescent="0.3">
      <c r="B148" s="28" t="s">
        <v>821</v>
      </c>
      <c r="C148" s="28" t="s">
        <v>821</v>
      </c>
      <c r="D148" s="28" t="s">
        <v>821</v>
      </c>
      <c r="E148" s="30" t="s">
        <v>821</v>
      </c>
      <c r="F148" s="11"/>
      <c r="G148" s="11"/>
      <c r="H148" s="36"/>
      <c r="I148" s="28">
        <v>1328</v>
      </c>
      <c r="J148" s="28">
        <v>1318.75</v>
      </c>
      <c r="K148" s="30">
        <v>1309.05</v>
      </c>
      <c r="L148" s="10">
        <v>1</v>
      </c>
      <c r="M148" s="12" t="str">
        <f>IFERROR(IF(AND(#REF!="sell",B148&gt;=AI148),"sell",""),"")</f>
        <v/>
      </c>
      <c r="S148" t="str">
        <f>IFERROR(IF(AND(#REF!="sell",C148&gt;=#REF!),"sell",""),"")</f>
        <v/>
      </c>
      <c r="W148" s="40" t="e">
        <f t="shared" si="29"/>
        <v>#VALUE!</v>
      </c>
      <c r="X148" s="12" t="str">
        <f>IF(S148="sell",#REF!-E148,"")</f>
        <v/>
      </c>
      <c r="AA148" s="12" t="s">
        <v>313</v>
      </c>
      <c r="AB148" s="12">
        <v>1317</v>
      </c>
      <c r="AC148">
        <v>1314.35</v>
      </c>
      <c r="AD148" s="12">
        <v>1308.9000000000001</v>
      </c>
      <c r="AE148" s="12">
        <v>1316.9499999999998</v>
      </c>
      <c r="AF148" s="12">
        <f t="shared" si="30"/>
        <v>1323.375</v>
      </c>
      <c r="AG148" s="12">
        <f t="shared" si="31"/>
        <v>4.6767403177854279</v>
      </c>
      <c r="AH148" s="12">
        <f t="shared" si="32"/>
        <v>1316.115</v>
      </c>
      <c r="AI148" s="12">
        <f t="shared" si="33"/>
        <v>1325.4684806355708</v>
      </c>
      <c r="AJ148" s="12">
        <f t="shared" si="34"/>
        <v>1306.7615193644292</v>
      </c>
      <c r="AK148" t="str">
        <f t="shared" si="35"/>
        <v>sell</v>
      </c>
      <c r="BA148" t="s">
        <v>313</v>
      </c>
      <c r="BB148" s="5">
        <v>1355</v>
      </c>
      <c r="BC148" s="5">
        <v>1353.45</v>
      </c>
      <c r="BD148" s="5">
        <v>1350</v>
      </c>
      <c r="BE148" s="5">
        <v>1350</v>
      </c>
      <c r="BF148" s="5">
        <v>1353.8</v>
      </c>
      <c r="BG148" s="5">
        <v>1342.9</v>
      </c>
      <c r="BH148" s="5">
        <v>1335.1</v>
      </c>
      <c r="BI148" s="5">
        <v>1329.55</v>
      </c>
      <c r="BJ148" s="5" t="str">
        <f t="shared" si="36"/>
        <v>-</v>
      </c>
      <c r="BK148" t="str">
        <f t="shared" si="37"/>
        <v/>
      </c>
      <c r="BM148" t="s">
        <v>24</v>
      </c>
      <c r="BN148" t="s">
        <v>313</v>
      </c>
      <c r="BO148">
        <v>1429</v>
      </c>
      <c r="BP148">
        <v>1439.9</v>
      </c>
      <c r="BQ148">
        <v>1450.45</v>
      </c>
      <c r="BR148">
        <v>1409.8</v>
      </c>
      <c r="BS148">
        <v>1329</v>
      </c>
      <c r="BT148">
        <v>1336</v>
      </c>
      <c r="BU148">
        <v>1357.85</v>
      </c>
      <c r="BV148">
        <v>1353.8</v>
      </c>
      <c r="BW148" s="5" t="str">
        <f t="shared" si="38"/>
        <v>-</v>
      </c>
      <c r="BX148" t="str">
        <f t="shared" si="27"/>
        <v/>
      </c>
      <c r="BZ148" t="str">
        <f t="shared" si="28"/>
        <v/>
      </c>
    </row>
    <row r="149" spans="2:78" x14ac:dyDescent="0.3">
      <c r="B149" s="28" t="s">
        <v>821</v>
      </c>
      <c r="C149" s="28" t="s">
        <v>821</v>
      </c>
      <c r="D149" s="28" t="s">
        <v>821</v>
      </c>
      <c r="E149" s="30" t="s">
        <v>821</v>
      </c>
      <c r="F149" s="11"/>
      <c r="G149" s="11"/>
      <c r="H149" s="36"/>
      <c r="I149" s="28">
        <v>779.7</v>
      </c>
      <c r="J149" s="28">
        <v>745</v>
      </c>
      <c r="K149" s="30">
        <v>741.85</v>
      </c>
      <c r="L149" s="10">
        <v>1</v>
      </c>
      <c r="M149" s="12" t="str">
        <f>IFERROR(IF(AND(#REF!="sell",B149&gt;=AI149),"sell",""),"")</f>
        <v/>
      </c>
      <c r="S149" t="str">
        <f>IFERROR(IF(AND(#REF!="sell",C149&gt;=#REF!),"sell",""),"")</f>
        <v/>
      </c>
      <c r="W149" s="40" t="e">
        <f t="shared" si="29"/>
        <v>#VALUE!</v>
      </c>
      <c r="X149" s="12" t="str">
        <f>IF(S149="sell",#REF!-E149,"")</f>
        <v/>
      </c>
      <c r="AA149" s="12" t="s">
        <v>315</v>
      </c>
      <c r="AB149" s="12">
        <v>745.72500000000002</v>
      </c>
      <c r="AC149">
        <v>744.82500000000005</v>
      </c>
      <c r="AD149" s="12">
        <v>745.3</v>
      </c>
      <c r="AE149" s="12">
        <v>746.7</v>
      </c>
      <c r="AF149" s="12">
        <f t="shared" si="30"/>
        <v>762.35</v>
      </c>
      <c r="AG149" s="12">
        <f t="shared" si="31"/>
        <v>6.7135199411337148</v>
      </c>
      <c r="AH149" s="12">
        <f t="shared" si="32"/>
        <v>748.98</v>
      </c>
      <c r="AI149" s="12">
        <f t="shared" si="33"/>
        <v>762.40703988226744</v>
      </c>
      <c r="AJ149" s="12">
        <f t="shared" si="34"/>
        <v>735.5529601177326</v>
      </c>
      <c r="AK149" t="str">
        <f t="shared" si="35"/>
        <v>sell</v>
      </c>
      <c r="BA149" t="s">
        <v>315</v>
      </c>
      <c r="BB149" s="5">
        <v>780</v>
      </c>
      <c r="BC149" s="5">
        <v>799.70001000000002</v>
      </c>
      <c r="BD149" s="5">
        <v>798.04998999999998</v>
      </c>
      <c r="BE149" s="5">
        <v>784.59997999999996</v>
      </c>
      <c r="BF149" s="5">
        <v>774</v>
      </c>
      <c r="BG149" s="5">
        <v>763.79998999999998</v>
      </c>
      <c r="BH149" s="5">
        <v>753.90002000000004</v>
      </c>
      <c r="BI149" s="5">
        <v>750</v>
      </c>
      <c r="BJ149" s="5" t="str">
        <f t="shared" si="36"/>
        <v>-</v>
      </c>
      <c r="BK149" t="str">
        <f t="shared" si="37"/>
        <v/>
      </c>
      <c r="BM149" t="s">
        <v>24</v>
      </c>
      <c r="BN149" t="s">
        <v>315</v>
      </c>
      <c r="BO149">
        <v>855</v>
      </c>
      <c r="BP149">
        <v>830</v>
      </c>
      <c r="BQ149">
        <v>816.90002000000004</v>
      </c>
      <c r="BR149">
        <v>806</v>
      </c>
      <c r="BS149">
        <v>779.95001000000002</v>
      </c>
      <c r="BT149">
        <v>785.34997999999996</v>
      </c>
      <c r="BU149">
        <v>799.70001000000002</v>
      </c>
      <c r="BV149">
        <v>784.59997999999996</v>
      </c>
      <c r="BW149" s="5" t="str">
        <f t="shared" si="38"/>
        <v>-</v>
      </c>
      <c r="BX149" t="str">
        <f t="shared" si="27"/>
        <v/>
      </c>
      <c r="BZ149" t="str">
        <f t="shared" si="28"/>
        <v/>
      </c>
    </row>
    <row r="150" spans="2:78" x14ac:dyDescent="0.3">
      <c r="B150" s="28" t="s">
        <v>821</v>
      </c>
      <c r="C150" s="28" t="s">
        <v>821</v>
      </c>
      <c r="D150" s="28" t="s">
        <v>821</v>
      </c>
      <c r="E150" s="30" t="s">
        <v>821</v>
      </c>
      <c r="F150" s="11"/>
      <c r="G150" s="11"/>
      <c r="H150" s="36"/>
      <c r="I150" s="28">
        <v>267.5</v>
      </c>
      <c r="J150" s="28">
        <v>235</v>
      </c>
      <c r="K150" s="30">
        <v>245.7</v>
      </c>
      <c r="L150" s="10">
        <v>1</v>
      </c>
      <c r="M150" s="12" t="str">
        <f>IFERROR(IF(AND(#REF!="sell",B150&gt;=AI150),"sell",""),"")</f>
        <v/>
      </c>
      <c r="S150" t="str">
        <f>IFERROR(IF(AND(#REF!="sell",C150&gt;=#REF!),"sell",""),"")</f>
        <v/>
      </c>
      <c r="W150" s="40" t="e">
        <f t="shared" si="29"/>
        <v>#VALUE!</v>
      </c>
      <c r="X150" s="12" t="str">
        <f>IF(S150="sell",#REF!-E150,"")</f>
        <v/>
      </c>
      <c r="AA150" s="12" t="s">
        <v>317</v>
      </c>
      <c r="AB150" s="12">
        <v>242.4</v>
      </c>
      <c r="AC150">
        <v>241.92500000000001</v>
      </c>
      <c r="AD150" s="12">
        <v>242.67500000000001</v>
      </c>
      <c r="AE150" s="12">
        <v>243.07499999999999</v>
      </c>
      <c r="AF150" s="12">
        <f t="shared" si="30"/>
        <v>251.25</v>
      </c>
      <c r="AG150" s="12">
        <f t="shared" si="31"/>
        <v>3.5124991103201699</v>
      </c>
      <c r="AH150" s="12">
        <f t="shared" si="32"/>
        <v>244.26500000000001</v>
      </c>
      <c r="AI150" s="12">
        <f t="shared" si="33"/>
        <v>251.28999822064034</v>
      </c>
      <c r="AJ150" s="12">
        <f t="shared" si="34"/>
        <v>237.24000177935969</v>
      </c>
      <c r="AK150" t="str">
        <f t="shared" si="35"/>
        <v>sell</v>
      </c>
      <c r="BA150" t="s">
        <v>317</v>
      </c>
      <c r="BB150" s="5">
        <v>252.55</v>
      </c>
      <c r="BC150" s="5">
        <v>255.85001</v>
      </c>
      <c r="BD150" s="5">
        <v>256.54998999999998</v>
      </c>
      <c r="BE150" s="5">
        <v>256.5</v>
      </c>
      <c r="BF150" s="5">
        <v>254.60001</v>
      </c>
      <c r="BG150" s="5">
        <v>252.5</v>
      </c>
      <c r="BH150" s="5">
        <v>249.8</v>
      </c>
      <c r="BI150" s="5">
        <v>248</v>
      </c>
      <c r="BJ150" s="5" t="str">
        <f t="shared" si="36"/>
        <v>-</v>
      </c>
      <c r="BK150" t="str">
        <f t="shared" si="37"/>
        <v/>
      </c>
      <c r="BM150" t="s">
        <v>24</v>
      </c>
      <c r="BN150" t="s">
        <v>317</v>
      </c>
      <c r="BO150">
        <v>262.70001000000002</v>
      </c>
      <c r="BP150">
        <v>255.64999</v>
      </c>
      <c r="BQ150">
        <v>268.60001</v>
      </c>
      <c r="BR150">
        <v>272.04998999999998</v>
      </c>
      <c r="BS150">
        <v>266.5</v>
      </c>
      <c r="BT150">
        <v>254.64999</v>
      </c>
      <c r="BU150">
        <v>256.54998999999998</v>
      </c>
      <c r="BV150">
        <v>256.5</v>
      </c>
      <c r="BW150" s="5" t="str">
        <f t="shared" si="38"/>
        <v>-</v>
      </c>
      <c r="BX150" t="str">
        <f t="shared" si="27"/>
        <v/>
      </c>
      <c r="BZ150" t="str">
        <f t="shared" si="28"/>
        <v/>
      </c>
    </row>
    <row r="151" spans="2:78" x14ac:dyDescent="0.3">
      <c r="B151" s="28" t="s">
        <v>821</v>
      </c>
      <c r="C151" s="28" t="s">
        <v>821</v>
      </c>
      <c r="D151" s="28" t="s">
        <v>821</v>
      </c>
      <c r="E151" s="30" t="s">
        <v>821</v>
      </c>
      <c r="F151" s="11"/>
      <c r="G151" s="11"/>
      <c r="H151" s="36"/>
      <c r="I151" s="28">
        <v>580</v>
      </c>
      <c r="J151" s="28">
        <v>484</v>
      </c>
      <c r="K151" s="30">
        <v>537.75</v>
      </c>
      <c r="L151" s="10">
        <v>1</v>
      </c>
      <c r="M151" s="12" t="str">
        <f>IFERROR(IF(AND(#REF!="sell",B151&gt;=AI151),"sell",""),"")</f>
        <v/>
      </c>
      <c r="S151" t="str">
        <f>IFERROR(IF(AND(#REF!="sell",C151&gt;=#REF!),"sell",""),"")</f>
        <v/>
      </c>
      <c r="W151" s="40" t="e">
        <f t="shared" si="29"/>
        <v>#VALUE!</v>
      </c>
      <c r="X151" s="12" t="str">
        <f>IF(S151="sell",#REF!-E151,"")</f>
        <v/>
      </c>
      <c r="AA151" s="12" t="s">
        <v>319</v>
      </c>
      <c r="AB151" s="12">
        <v>548.79999999999995</v>
      </c>
      <c r="AC151">
        <v>547.42499999999995</v>
      </c>
      <c r="AD151" s="12">
        <v>548.4</v>
      </c>
      <c r="AE151" s="12">
        <v>549.22500000000002</v>
      </c>
      <c r="AF151" s="12">
        <f t="shared" si="30"/>
        <v>532</v>
      </c>
      <c r="AG151" s="12">
        <f t="shared" si="31"/>
        <v>6.6119097090023775</v>
      </c>
      <c r="AH151" s="12">
        <f t="shared" si="32"/>
        <v>545.16999999999996</v>
      </c>
      <c r="AI151" s="12">
        <f t="shared" si="33"/>
        <v>558.39381941800468</v>
      </c>
      <c r="AJ151" s="12">
        <f t="shared" si="34"/>
        <v>531.94618058199524</v>
      </c>
      <c r="AK151" t="str">
        <f t="shared" si="35"/>
        <v>sell</v>
      </c>
      <c r="BA151" t="s">
        <v>319</v>
      </c>
      <c r="BB151" s="5">
        <v>548.40002000000004</v>
      </c>
      <c r="BC151" s="5">
        <v>547.25</v>
      </c>
      <c r="BD151" s="5">
        <v>563.5</v>
      </c>
      <c r="BE151" s="5">
        <v>591.40002000000004</v>
      </c>
      <c r="BF151" s="5">
        <v>583.90002000000004</v>
      </c>
      <c r="BG151" s="5">
        <v>582.75</v>
      </c>
      <c r="BH151" s="5">
        <v>572.15002000000004</v>
      </c>
      <c r="BI151" s="5">
        <v>557.90002000000004</v>
      </c>
      <c r="BJ151" s="5" t="str">
        <f t="shared" si="36"/>
        <v>-</v>
      </c>
      <c r="BK151" t="str">
        <f t="shared" si="37"/>
        <v/>
      </c>
      <c r="BM151" t="s">
        <v>24</v>
      </c>
      <c r="BN151" t="s">
        <v>319</v>
      </c>
      <c r="BO151">
        <v>474.14999</v>
      </c>
      <c r="BP151">
        <v>440.29998999999998</v>
      </c>
      <c r="BQ151">
        <v>461.75</v>
      </c>
      <c r="BR151">
        <v>567.15002000000004</v>
      </c>
      <c r="BS151">
        <v>543.40002000000004</v>
      </c>
      <c r="BT151">
        <v>547.65002000000004</v>
      </c>
      <c r="BU151">
        <v>563.5</v>
      </c>
      <c r="BV151">
        <v>591.40002000000004</v>
      </c>
      <c r="BW151" s="5" t="str">
        <f t="shared" si="38"/>
        <v>-</v>
      </c>
      <c r="BX151" t="str">
        <f t="shared" si="27"/>
        <v/>
      </c>
      <c r="BZ151" t="str">
        <f t="shared" si="28"/>
        <v/>
      </c>
    </row>
    <row r="152" spans="2:78" x14ac:dyDescent="0.3">
      <c r="B152" s="28" t="s">
        <v>821</v>
      </c>
      <c r="C152" s="28" t="s">
        <v>821</v>
      </c>
      <c r="D152" s="28" t="s">
        <v>821</v>
      </c>
      <c r="E152" s="30" t="s">
        <v>821</v>
      </c>
      <c r="F152" s="11"/>
      <c r="G152" s="11"/>
      <c r="H152" s="36"/>
      <c r="I152" s="28">
        <v>3146.85</v>
      </c>
      <c r="J152" s="28">
        <v>2152</v>
      </c>
      <c r="K152" s="30">
        <v>2860.8</v>
      </c>
      <c r="L152" s="10">
        <v>1</v>
      </c>
      <c r="M152" s="12" t="str">
        <f>IFERROR(IF(AND(#REF!="sell",B152&gt;=AI152),"sell",""),"")</f>
        <v/>
      </c>
      <c r="S152" t="str">
        <f>IFERROR(IF(AND(#REF!="sell",C152&gt;=#REF!),"sell",""),"")</f>
        <v/>
      </c>
      <c r="W152" s="40" t="e">
        <f t="shared" si="29"/>
        <v>#VALUE!</v>
      </c>
      <c r="X152" s="12" t="str">
        <f>IF(S152="sell",#REF!-E152,"")</f>
        <v/>
      </c>
      <c r="AA152" s="12" t="s">
        <v>321</v>
      </c>
      <c r="AB152" s="12">
        <v>2849.75</v>
      </c>
      <c r="AC152">
        <v>2846.2750000000001</v>
      </c>
      <c r="AD152" s="12">
        <v>2853.2</v>
      </c>
      <c r="AE152" s="12">
        <v>2857.9</v>
      </c>
      <c r="AF152" s="12">
        <f t="shared" si="30"/>
        <v>2649.4250000000002</v>
      </c>
      <c r="AG152" s="12">
        <f t="shared" si="31"/>
        <v>81.033743897218457</v>
      </c>
      <c r="AH152" s="12">
        <f t="shared" si="32"/>
        <v>2811.31</v>
      </c>
      <c r="AI152" s="12">
        <f t="shared" si="33"/>
        <v>2973.377487794437</v>
      </c>
      <c r="AJ152" s="12">
        <f t="shared" si="34"/>
        <v>2649.2425122055629</v>
      </c>
      <c r="AK152" t="str">
        <f t="shared" si="35"/>
        <v>sell</v>
      </c>
      <c r="BA152" t="s">
        <v>321</v>
      </c>
      <c r="BB152" s="5">
        <v>2937.55</v>
      </c>
      <c r="BC152" s="5">
        <v>2984.45</v>
      </c>
      <c r="BD152" s="5">
        <v>2977</v>
      </c>
      <c r="BE152" s="5">
        <v>2969.8</v>
      </c>
      <c r="BF152" s="5">
        <v>2957</v>
      </c>
      <c r="BG152" s="5">
        <v>2916</v>
      </c>
      <c r="BH152" s="5">
        <v>2880.8</v>
      </c>
      <c r="BI152" s="5">
        <v>2884.5</v>
      </c>
      <c r="BJ152" s="5" t="str">
        <f t="shared" si="36"/>
        <v>-</v>
      </c>
      <c r="BK152" t="str">
        <f t="shared" si="37"/>
        <v/>
      </c>
      <c r="BM152" t="s">
        <v>24</v>
      </c>
      <c r="BN152" t="s">
        <v>321</v>
      </c>
      <c r="BO152">
        <v>2981.95</v>
      </c>
      <c r="BP152">
        <v>2972</v>
      </c>
      <c r="BQ152">
        <v>2987</v>
      </c>
      <c r="BR152">
        <v>2966.1498999999999</v>
      </c>
      <c r="BS152">
        <v>2880</v>
      </c>
      <c r="BT152">
        <v>2879</v>
      </c>
      <c r="BU152">
        <v>2984.45</v>
      </c>
      <c r="BV152">
        <v>2969.8</v>
      </c>
      <c r="BW152" s="5" t="str">
        <f t="shared" si="38"/>
        <v>-</v>
      </c>
      <c r="BX152" t="str">
        <f t="shared" si="27"/>
        <v/>
      </c>
      <c r="BZ152" t="str">
        <f t="shared" si="28"/>
        <v/>
      </c>
    </row>
    <row r="153" spans="2:78" x14ac:dyDescent="0.3">
      <c r="B153" s="28" t="s">
        <v>821</v>
      </c>
      <c r="C153" s="28" t="s">
        <v>821</v>
      </c>
      <c r="D153" s="28" t="s">
        <v>821</v>
      </c>
      <c r="E153" s="30" t="s">
        <v>821</v>
      </c>
      <c r="F153" s="11"/>
      <c r="G153" s="11"/>
      <c r="H153" s="36"/>
      <c r="I153" s="28">
        <v>172.95</v>
      </c>
      <c r="J153" s="28">
        <v>145.05000000000001</v>
      </c>
      <c r="K153" s="30">
        <v>158.5</v>
      </c>
      <c r="L153" s="10">
        <v>1</v>
      </c>
      <c r="M153" s="12" t="str">
        <f>IFERROR(IF(AND(#REF!="sell",B153&gt;=AI153),"sell",""),"")</f>
        <v/>
      </c>
      <c r="S153" t="str">
        <f>IFERROR(IF(AND(#REF!="sell",C153&gt;=#REF!),"sell",""),"")</f>
        <v/>
      </c>
      <c r="W153" s="40" t="e">
        <f t="shared" si="29"/>
        <v>#VALUE!</v>
      </c>
      <c r="X153" s="12" t="str">
        <f>IF(S153="sell",#REF!-E153,"")</f>
        <v/>
      </c>
      <c r="AA153" s="12" t="s">
        <v>323</v>
      </c>
      <c r="AB153" s="12">
        <v>157.69999999999999</v>
      </c>
      <c r="AC153">
        <v>157.35</v>
      </c>
      <c r="AD153" s="12">
        <v>157.67500000000001</v>
      </c>
      <c r="AE153" s="12">
        <v>158.72499999999999</v>
      </c>
      <c r="AF153" s="12">
        <f t="shared" si="30"/>
        <v>159</v>
      </c>
      <c r="AG153" s="12">
        <f t="shared" si="31"/>
        <v>0.64857536185088016</v>
      </c>
      <c r="AH153" s="12">
        <f t="shared" si="32"/>
        <v>158.08999999999997</v>
      </c>
      <c r="AI153" s="12">
        <f t="shared" si="33"/>
        <v>159.38715072370172</v>
      </c>
      <c r="AJ153" s="12">
        <f t="shared" si="34"/>
        <v>156.79284927629823</v>
      </c>
      <c r="AK153" t="str">
        <f t="shared" si="35"/>
        <v>sell</v>
      </c>
      <c r="BA153" t="s">
        <v>323</v>
      </c>
      <c r="BB153" s="5">
        <v>175.35001</v>
      </c>
      <c r="BC153" s="5">
        <v>169.95</v>
      </c>
      <c r="BD153" s="5">
        <v>172.5</v>
      </c>
      <c r="BE153" s="5">
        <v>171.3</v>
      </c>
      <c r="BF153" s="5">
        <v>169.2</v>
      </c>
      <c r="BG153" s="5">
        <v>165.7</v>
      </c>
      <c r="BH153" s="5">
        <v>162.25</v>
      </c>
      <c r="BI153" s="5">
        <v>161.25</v>
      </c>
      <c r="BJ153" s="5" t="str">
        <f t="shared" si="36"/>
        <v>-</v>
      </c>
      <c r="BK153" t="str">
        <f t="shared" si="37"/>
        <v/>
      </c>
      <c r="BM153" t="s">
        <v>24</v>
      </c>
      <c r="BN153" t="s">
        <v>323</v>
      </c>
      <c r="BO153">
        <v>156.60001</v>
      </c>
      <c r="BP153">
        <v>157.39999</v>
      </c>
      <c r="BQ153">
        <v>170.5</v>
      </c>
      <c r="BR153">
        <v>170.95</v>
      </c>
      <c r="BS153">
        <v>168.85001</v>
      </c>
      <c r="BT153">
        <v>171.60001</v>
      </c>
      <c r="BU153">
        <v>175.35001</v>
      </c>
      <c r="BV153">
        <v>171.3</v>
      </c>
      <c r="BW153" s="5" t="str">
        <f t="shared" si="38"/>
        <v>-</v>
      </c>
      <c r="BX153" t="str">
        <f t="shared" si="27"/>
        <v>Pivot sell</v>
      </c>
      <c r="BZ153" t="str">
        <f t="shared" si="28"/>
        <v/>
      </c>
    </row>
    <row r="154" spans="2:78" x14ac:dyDescent="0.3">
      <c r="B154" s="28" t="s">
        <v>821</v>
      </c>
      <c r="C154" s="28" t="s">
        <v>821</v>
      </c>
      <c r="D154" s="28" t="s">
        <v>821</v>
      </c>
      <c r="E154" s="30" t="s">
        <v>821</v>
      </c>
      <c r="F154" s="11"/>
      <c r="G154" s="11"/>
      <c r="H154" s="36"/>
      <c r="I154" s="28">
        <v>750</v>
      </c>
      <c r="J154" s="28">
        <v>622.9</v>
      </c>
      <c r="K154" s="30">
        <v>692.1</v>
      </c>
      <c r="L154" s="10">
        <v>1</v>
      </c>
      <c r="M154" s="12" t="str">
        <f>IFERROR(IF(AND(#REF!="sell",B154&gt;=AI154),"sell",""),"")</f>
        <v/>
      </c>
      <c r="S154" t="str">
        <f>IFERROR(IF(AND(#REF!="sell",C154&gt;=#REF!),"sell",""),"")</f>
        <v/>
      </c>
      <c r="W154" s="40" t="e">
        <f t="shared" si="29"/>
        <v>#VALUE!</v>
      </c>
      <c r="X154" s="12" t="str">
        <f>IF(S154="sell",#REF!-E154,"")</f>
        <v/>
      </c>
      <c r="AA154" s="12" t="s">
        <v>325</v>
      </c>
      <c r="AB154" s="12">
        <v>696.1</v>
      </c>
      <c r="AC154">
        <v>692.84999999999991</v>
      </c>
      <c r="AD154" s="12">
        <v>691.47500000000002</v>
      </c>
      <c r="AE154" s="12">
        <v>692.8</v>
      </c>
      <c r="AF154" s="12">
        <f t="shared" si="30"/>
        <v>686.45</v>
      </c>
      <c r="AG154" s="12">
        <f t="shared" si="31"/>
        <v>3.1378177129973439</v>
      </c>
      <c r="AH154" s="12">
        <f t="shared" si="32"/>
        <v>691.93499999999983</v>
      </c>
      <c r="AI154" s="12">
        <f t="shared" si="33"/>
        <v>698.2106354259945</v>
      </c>
      <c r="AJ154" s="12">
        <f t="shared" si="34"/>
        <v>685.65936457400517</v>
      </c>
      <c r="AK154" t="str">
        <f t="shared" si="35"/>
        <v>sell</v>
      </c>
      <c r="BA154" t="s">
        <v>325</v>
      </c>
      <c r="BB154" s="5">
        <v>713.29998999999998</v>
      </c>
      <c r="BC154" s="5">
        <v>715.09997999999996</v>
      </c>
      <c r="BD154" s="5">
        <v>713</v>
      </c>
      <c r="BE154" s="5">
        <v>711.40002000000004</v>
      </c>
      <c r="BF154" s="5">
        <v>706.84997999999996</v>
      </c>
      <c r="BG154" s="5">
        <v>705.34997999999996</v>
      </c>
      <c r="BH154" s="5">
        <v>702.5</v>
      </c>
      <c r="BI154" s="5">
        <v>699.90002000000004</v>
      </c>
      <c r="BJ154" s="5" t="str">
        <f t="shared" si="36"/>
        <v>-</v>
      </c>
      <c r="BK154" t="str">
        <f t="shared" si="37"/>
        <v/>
      </c>
      <c r="BM154" t="s">
        <v>24</v>
      </c>
      <c r="BN154" t="s">
        <v>325</v>
      </c>
      <c r="BO154">
        <v>756.95001000000002</v>
      </c>
      <c r="BP154">
        <v>741.59997999999996</v>
      </c>
      <c r="BQ154">
        <v>765</v>
      </c>
      <c r="BR154">
        <v>743</v>
      </c>
      <c r="BS154">
        <v>727.75</v>
      </c>
      <c r="BT154">
        <v>723.54998999999998</v>
      </c>
      <c r="BU154">
        <v>717.45001000000002</v>
      </c>
      <c r="BV154">
        <v>711.40002000000004</v>
      </c>
      <c r="BW154" s="5" t="str">
        <f t="shared" si="38"/>
        <v>-</v>
      </c>
      <c r="BX154" t="str">
        <f t="shared" si="27"/>
        <v/>
      </c>
      <c r="BZ154" t="str">
        <f t="shared" si="28"/>
        <v/>
      </c>
    </row>
    <row r="155" spans="2:78" x14ac:dyDescent="0.3">
      <c r="B155" s="28" t="s">
        <v>821</v>
      </c>
      <c r="C155" s="28" t="s">
        <v>821</v>
      </c>
      <c r="D155" s="28" t="s">
        <v>821</v>
      </c>
      <c r="E155" s="30" t="s">
        <v>821</v>
      </c>
      <c r="F155" s="11"/>
      <c r="G155" s="11"/>
      <c r="H155" s="36"/>
      <c r="I155" s="28">
        <v>1393.4</v>
      </c>
      <c r="J155" s="28">
        <v>1247.8</v>
      </c>
      <c r="K155" s="30">
        <v>1386.4</v>
      </c>
      <c r="L155" s="10">
        <v>1</v>
      </c>
      <c r="M155" s="12" t="str">
        <f>IFERROR(IF(AND(#REF!="sell",B155&gt;=AI155),"sell",""),"")</f>
        <v/>
      </c>
      <c r="S155" t="str">
        <f>IFERROR(IF(AND(#REF!="sell",C155&gt;=#REF!),"sell",""),"")</f>
        <v/>
      </c>
      <c r="W155" s="40" t="e">
        <f t="shared" si="29"/>
        <v>#VALUE!</v>
      </c>
      <c r="X155" s="12" t="str">
        <f>IF(S155="sell",#REF!-E155,"")</f>
        <v/>
      </c>
      <c r="AA155" s="12" t="s">
        <v>327</v>
      </c>
      <c r="AB155" s="12">
        <v>1381.15</v>
      </c>
      <c r="AC155">
        <v>1382.7249999999999</v>
      </c>
      <c r="AD155" s="12">
        <v>1385.675</v>
      </c>
      <c r="AE155" s="12">
        <v>1384.675</v>
      </c>
      <c r="AF155" s="12">
        <f t="shared" si="30"/>
        <v>1320.6</v>
      </c>
      <c r="AG155" s="12">
        <f t="shared" si="31"/>
        <v>25.230985910185936</v>
      </c>
      <c r="AH155" s="12">
        <f t="shared" si="32"/>
        <v>1370.9650000000001</v>
      </c>
      <c r="AI155" s="12">
        <f t="shared" si="33"/>
        <v>1421.426971820372</v>
      </c>
      <c r="AJ155" s="12">
        <f t="shared" si="34"/>
        <v>1320.5030281796282</v>
      </c>
      <c r="AK155" t="str">
        <f t="shared" si="35"/>
        <v>sell</v>
      </c>
      <c r="BA155" t="s">
        <v>327</v>
      </c>
      <c r="BB155" s="5">
        <v>1435.55</v>
      </c>
      <c r="BC155" s="5">
        <v>1452.95</v>
      </c>
      <c r="BD155" s="5">
        <v>1448.45</v>
      </c>
      <c r="BE155" s="5">
        <v>1448</v>
      </c>
      <c r="BF155" s="5">
        <v>1455</v>
      </c>
      <c r="BG155" s="5">
        <v>1449.45</v>
      </c>
      <c r="BH155" s="5">
        <v>1418.8</v>
      </c>
      <c r="BI155" s="5">
        <v>1401.15</v>
      </c>
      <c r="BJ155" s="5" t="str">
        <f t="shared" si="36"/>
        <v>-</v>
      </c>
      <c r="BK155" t="str">
        <f t="shared" si="37"/>
        <v/>
      </c>
      <c r="BM155" t="s">
        <v>24</v>
      </c>
      <c r="BN155" t="s">
        <v>327</v>
      </c>
      <c r="BO155">
        <v>1528</v>
      </c>
      <c r="BP155">
        <v>1489.9</v>
      </c>
      <c r="BQ155">
        <v>1489.2</v>
      </c>
      <c r="BR155">
        <v>1472.7</v>
      </c>
      <c r="BS155">
        <v>1465.95</v>
      </c>
      <c r="BT155">
        <v>1458.2</v>
      </c>
      <c r="BU155">
        <v>1452.95</v>
      </c>
      <c r="BV155">
        <v>1455</v>
      </c>
      <c r="BW155" s="5" t="str">
        <f t="shared" si="38"/>
        <v>-</v>
      </c>
      <c r="BX155" t="str">
        <f t="shared" si="27"/>
        <v/>
      </c>
      <c r="BZ155" t="str">
        <f t="shared" si="28"/>
        <v/>
      </c>
    </row>
    <row r="156" spans="2:78" x14ac:dyDescent="0.3">
      <c r="B156" s="28" t="s">
        <v>821</v>
      </c>
      <c r="C156" s="28" t="s">
        <v>821</v>
      </c>
      <c r="D156" s="28" t="s">
        <v>821</v>
      </c>
      <c r="E156" s="30" t="s">
        <v>821</v>
      </c>
      <c r="F156" s="11"/>
      <c r="G156" s="11"/>
      <c r="H156" s="36"/>
      <c r="I156" s="28">
        <v>954.9</v>
      </c>
      <c r="J156" s="28">
        <v>705.8</v>
      </c>
      <c r="K156" s="30">
        <v>830.35</v>
      </c>
      <c r="L156" s="10">
        <v>1</v>
      </c>
      <c r="M156" s="12" t="str">
        <f>IFERROR(IF(AND(#REF!="sell",B156&gt;=AI156),"sell",""),"")</f>
        <v/>
      </c>
      <c r="S156" t="str">
        <f>IFERROR(IF(AND(#REF!="sell",C156&gt;=#REF!),"sell",""),"")</f>
        <v/>
      </c>
      <c r="W156" s="40" t="e">
        <f t="shared" si="29"/>
        <v>#VALUE!</v>
      </c>
      <c r="X156" s="12" t="str">
        <f>IF(S156="sell",#REF!-E156,"")</f>
        <v/>
      </c>
      <c r="AA156" s="12" t="s">
        <v>329</v>
      </c>
      <c r="AB156" s="12">
        <v>825.1</v>
      </c>
      <c r="AC156">
        <v>825.625</v>
      </c>
      <c r="AD156" s="12">
        <v>826.875</v>
      </c>
      <c r="AE156" s="12">
        <v>828.17499999999995</v>
      </c>
      <c r="AF156" s="12">
        <f t="shared" si="30"/>
        <v>830.34999999999991</v>
      </c>
      <c r="AG156" s="12">
        <f t="shared" si="31"/>
        <v>1.8903042083219965</v>
      </c>
      <c r="AH156" s="12">
        <f t="shared" si="32"/>
        <v>827.22500000000002</v>
      </c>
      <c r="AI156" s="12">
        <f t="shared" si="33"/>
        <v>831.00560841664401</v>
      </c>
      <c r="AJ156" s="12">
        <f t="shared" si="34"/>
        <v>823.44439158335604</v>
      </c>
      <c r="AK156" t="str">
        <f t="shared" si="35"/>
        <v>sell</v>
      </c>
      <c r="BA156" t="s">
        <v>329</v>
      </c>
      <c r="BB156" s="5">
        <v>826.65002000000004</v>
      </c>
      <c r="BC156" s="5">
        <v>835.5</v>
      </c>
      <c r="BD156" s="5">
        <v>841.25</v>
      </c>
      <c r="BE156" s="5">
        <v>839.40002000000004</v>
      </c>
      <c r="BF156" s="5">
        <v>840.70001000000002</v>
      </c>
      <c r="BG156" s="5">
        <v>834.45001000000002</v>
      </c>
      <c r="BH156" s="5">
        <v>836</v>
      </c>
      <c r="BI156" s="5">
        <v>835</v>
      </c>
      <c r="BJ156" s="5" t="str">
        <f t="shared" si="36"/>
        <v>-</v>
      </c>
      <c r="BK156" t="str">
        <f t="shared" si="37"/>
        <v/>
      </c>
      <c r="BM156" t="s">
        <v>24</v>
      </c>
      <c r="BN156" t="s">
        <v>329</v>
      </c>
      <c r="BO156">
        <v>780.70001000000002</v>
      </c>
      <c r="BP156">
        <v>763.29998999999998</v>
      </c>
      <c r="BQ156">
        <v>816.90002000000004</v>
      </c>
      <c r="BR156">
        <v>836.20001000000002</v>
      </c>
      <c r="BS156">
        <v>839.65002000000004</v>
      </c>
      <c r="BT156">
        <v>826.15002000000004</v>
      </c>
      <c r="BU156">
        <v>841.25</v>
      </c>
      <c r="BV156">
        <v>840.70001000000002</v>
      </c>
      <c r="BW156" s="5" t="str">
        <f t="shared" si="38"/>
        <v>-</v>
      </c>
      <c r="BX156" t="str">
        <f t="shared" si="27"/>
        <v>Pivot sell</v>
      </c>
      <c r="BZ156" t="str">
        <f t="shared" si="28"/>
        <v/>
      </c>
    </row>
    <row r="157" spans="2:78" x14ac:dyDescent="0.3">
      <c r="B157" s="28" t="s">
        <v>821</v>
      </c>
      <c r="C157" s="28" t="s">
        <v>821</v>
      </c>
      <c r="D157" s="28" t="s">
        <v>821</v>
      </c>
      <c r="E157" s="30" t="s">
        <v>821</v>
      </c>
      <c r="F157" s="11"/>
      <c r="G157" s="11"/>
      <c r="H157" s="36"/>
      <c r="I157" s="28">
        <v>25386.75</v>
      </c>
      <c r="J157" s="28">
        <v>22212.55</v>
      </c>
      <c r="K157" s="30">
        <v>24680.6</v>
      </c>
      <c r="L157" s="10">
        <v>1</v>
      </c>
      <c r="M157" s="12" t="str">
        <f>IFERROR(IF(AND(#REF!="sell",B157&gt;=AI157),"sell",""),"")</f>
        <v/>
      </c>
      <c r="S157" t="str">
        <f>IFERROR(IF(AND(#REF!="sell",C157&gt;=#REF!),"sell",""),"")</f>
        <v/>
      </c>
      <c r="W157" s="40" t="e">
        <f t="shared" si="29"/>
        <v>#VALUE!</v>
      </c>
      <c r="X157" s="12" t="str">
        <f>IF(S157="sell",#REF!-E157,"")</f>
        <v/>
      </c>
      <c r="AA157" s="12" t="s">
        <v>331</v>
      </c>
      <c r="AB157" s="12">
        <v>25061.075000000001</v>
      </c>
      <c r="AC157">
        <v>25082.5</v>
      </c>
      <c r="AD157" s="12">
        <v>25037.025000000001</v>
      </c>
      <c r="AE157" s="12">
        <v>25088.85</v>
      </c>
      <c r="AF157" s="12">
        <f t="shared" si="30"/>
        <v>23799.65</v>
      </c>
      <c r="AG157" s="12">
        <f t="shared" si="31"/>
        <v>507.41043332789235</v>
      </c>
      <c r="AH157" s="12">
        <f t="shared" si="32"/>
        <v>24813.82</v>
      </c>
      <c r="AI157" s="12">
        <f t="shared" si="33"/>
        <v>25828.640866655784</v>
      </c>
      <c r="AJ157" s="12">
        <f t="shared" si="34"/>
        <v>23798.999133344216</v>
      </c>
      <c r="AK157" t="str">
        <f t="shared" si="35"/>
        <v>sell</v>
      </c>
      <c r="BA157" t="s">
        <v>331</v>
      </c>
      <c r="BB157" s="5">
        <v>25950</v>
      </c>
      <c r="BC157" s="5">
        <v>25851</v>
      </c>
      <c r="BD157" s="5">
        <v>25750.1</v>
      </c>
      <c r="BE157" s="5">
        <v>25500</v>
      </c>
      <c r="BF157" s="5">
        <v>25725.050999999999</v>
      </c>
      <c r="BG157" s="5">
        <v>25500</v>
      </c>
      <c r="BH157" s="5">
        <v>25322.25</v>
      </c>
      <c r="BI157" s="5">
        <v>25425</v>
      </c>
      <c r="BJ157" s="5" t="str">
        <f t="shared" si="36"/>
        <v>-</v>
      </c>
      <c r="BK157" t="str">
        <f t="shared" si="37"/>
        <v/>
      </c>
      <c r="BM157" t="s">
        <v>24</v>
      </c>
      <c r="BN157" t="s">
        <v>331</v>
      </c>
      <c r="BO157">
        <v>26711.800999999999</v>
      </c>
      <c r="BP157">
        <v>25528.15</v>
      </c>
      <c r="BQ157">
        <v>24675</v>
      </c>
      <c r="BR157">
        <v>25895.800999999999</v>
      </c>
      <c r="BS157">
        <v>26561.65</v>
      </c>
      <c r="BT157">
        <v>26824.85</v>
      </c>
      <c r="BU157">
        <v>26300</v>
      </c>
      <c r="BV157">
        <v>25725.050999999999</v>
      </c>
      <c r="BW157" s="5" t="str">
        <f t="shared" si="38"/>
        <v>-</v>
      </c>
      <c r="BX157" t="str">
        <f t="shared" si="27"/>
        <v/>
      </c>
      <c r="BZ157" t="str">
        <f t="shared" si="28"/>
        <v/>
      </c>
    </row>
    <row r="158" spans="2:78" x14ac:dyDescent="0.3">
      <c r="B158" s="28" t="s">
        <v>821</v>
      </c>
      <c r="C158" s="28" t="s">
        <v>821</v>
      </c>
      <c r="D158" s="28" t="s">
        <v>821</v>
      </c>
      <c r="E158" s="30" t="s">
        <v>821</v>
      </c>
      <c r="F158" s="11"/>
      <c r="G158" s="11"/>
      <c r="H158" s="36"/>
      <c r="I158" s="28">
        <v>2344.4499999999998</v>
      </c>
      <c r="J158" s="28">
        <v>2118.65</v>
      </c>
      <c r="K158" s="30">
        <v>2354.0500000000002</v>
      </c>
      <c r="L158" s="10">
        <v>1</v>
      </c>
      <c r="M158" s="12" t="str">
        <f>IFERROR(IF(AND(#REF!="sell",B158&gt;=AI158),"sell",""),"")</f>
        <v/>
      </c>
      <c r="S158" t="str">
        <f>IFERROR(IF(AND(#REF!="sell",C158&gt;=#REF!),"sell",""),"")</f>
        <v/>
      </c>
      <c r="W158" s="40" t="e">
        <f t="shared" si="29"/>
        <v>#VALUE!</v>
      </c>
      <c r="X158" s="12" t="str">
        <f>IF(S158="sell",#REF!-E158,"")</f>
        <v/>
      </c>
      <c r="AA158" s="12" t="s">
        <v>333</v>
      </c>
      <c r="AB158" s="12">
        <v>2306.35</v>
      </c>
      <c r="AC158">
        <v>2300.6</v>
      </c>
      <c r="AD158" s="12">
        <v>2304.375</v>
      </c>
      <c r="AE158" s="12">
        <v>2304.7249999999999</v>
      </c>
      <c r="AF158" s="12">
        <f t="shared" si="30"/>
        <v>2231.5500000000002</v>
      </c>
      <c r="AG158" s="12">
        <f t="shared" si="31"/>
        <v>29.046167561315112</v>
      </c>
      <c r="AH158" s="12">
        <f t="shared" si="32"/>
        <v>2289.5199999999995</v>
      </c>
      <c r="AI158" s="12">
        <f t="shared" si="33"/>
        <v>2347.6123351226297</v>
      </c>
      <c r="AJ158" s="12">
        <f t="shared" si="34"/>
        <v>2231.4276648773694</v>
      </c>
      <c r="AK158" t="str">
        <f t="shared" si="35"/>
        <v>sell</v>
      </c>
      <c r="BA158" t="s">
        <v>333</v>
      </c>
      <c r="BB158" s="5">
        <v>2379.8501000000001</v>
      </c>
      <c r="BC158" s="5">
        <v>2409.6999999999998</v>
      </c>
      <c r="BD158" s="5">
        <v>2428.9499999999998</v>
      </c>
      <c r="BE158" s="5">
        <v>2423.5</v>
      </c>
      <c r="BF158" s="5">
        <v>2433</v>
      </c>
      <c r="BG158" s="5">
        <v>2397.6498999999999</v>
      </c>
      <c r="BH158" s="5">
        <v>2380</v>
      </c>
      <c r="BI158" s="5">
        <v>2387.3501000000001</v>
      </c>
      <c r="BJ158" s="5" t="str">
        <f t="shared" si="36"/>
        <v>-</v>
      </c>
      <c r="BK158" t="str">
        <f t="shared" si="37"/>
        <v/>
      </c>
      <c r="BM158" t="s">
        <v>24</v>
      </c>
      <c r="BN158" t="s">
        <v>333</v>
      </c>
      <c r="BO158">
        <v>2605.6498999999999</v>
      </c>
      <c r="BP158">
        <v>2493</v>
      </c>
      <c r="BQ158">
        <v>2536.9499999999998</v>
      </c>
      <c r="BR158">
        <v>2658</v>
      </c>
      <c r="BS158">
        <v>2608.9499999999998</v>
      </c>
      <c r="BT158">
        <v>2417.8501000000001</v>
      </c>
      <c r="BU158">
        <v>2428.9499999999998</v>
      </c>
      <c r="BV158">
        <v>2433</v>
      </c>
      <c r="BW158" s="5" t="str">
        <f t="shared" si="38"/>
        <v>-</v>
      </c>
      <c r="BX158" t="str">
        <f t="shared" si="27"/>
        <v/>
      </c>
      <c r="BZ158" t="str">
        <f t="shared" si="28"/>
        <v/>
      </c>
    </row>
    <row r="159" spans="2:78" x14ac:dyDescent="0.3">
      <c r="B159" s="28">
        <v>6834.5</v>
      </c>
      <c r="C159" s="28">
        <v>7040</v>
      </c>
      <c r="D159" s="28">
        <v>6271.15</v>
      </c>
      <c r="E159" s="30">
        <v>6967.95</v>
      </c>
      <c r="F159" s="11">
        <f t="shared" ref="F159:F183" si="39">IFERROR(B159-(B159*$F$1),"")</f>
        <v>6813.9965000000002</v>
      </c>
      <c r="G159" s="11">
        <f t="shared" ref="G159:G183" si="40">IFERROR(T159+(T159*$G$1),"")</f>
        <v>0</v>
      </c>
      <c r="H159" s="36"/>
      <c r="I159" s="28">
        <v>7040</v>
      </c>
      <c r="J159" s="28">
        <v>6271.15</v>
      </c>
      <c r="K159" s="30">
        <v>6967.95</v>
      </c>
      <c r="L159" s="10">
        <v>1</v>
      </c>
      <c r="M159" s="12" t="str">
        <f>IFERROR(IF(AND(#REF!="sell",B159&gt;=AI159),"sell",""),"")</f>
        <v/>
      </c>
      <c r="S159" t="str">
        <f>IFERROR(IF(AND(#REF!="sell",C159&gt;=#REF!),"sell",""),"")</f>
        <v/>
      </c>
      <c r="W159" s="40" t="str">
        <f t="shared" si="29"/>
        <v/>
      </c>
      <c r="X159" s="12" t="str">
        <f>IF(S159="sell",#REF!-E159,"")</f>
        <v/>
      </c>
      <c r="AA159" s="12" t="s">
        <v>335</v>
      </c>
      <c r="AB159" s="12">
        <v>6983.2000000000007</v>
      </c>
      <c r="AC159">
        <v>6978.45</v>
      </c>
      <c r="AD159" s="12">
        <v>6988.1749999999993</v>
      </c>
      <c r="AE159" s="12">
        <v>6993.2</v>
      </c>
      <c r="AF159" s="12">
        <f t="shared" si="30"/>
        <v>6655.5749999999998</v>
      </c>
      <c r="AG159" s="12">
        <f t="shared" si="31"/>
        <v>132.16421735855741</v>
      </c>
      <c r="AH159" s="12">
        <f t="shared" si="32"/>
        <v>6919.7199999999993</v>
      </c>
      <c r="AI159" s="12">
        <f t="shared" si="33"/>
        <v>7184.0484347171141</v>
      </c>
      <c r="AJ159" s="12">
        <f t="shared" si="34"/>
        <v>6655.3915652828846</v>
      </c>
      <c r="AK159" t="str">
        <f t="shared" si="35"/>
        <v/>
      </c>
      <c r="BA159" t="s">
        <v>335</v>
      </c>
      <c r="BB159" s="5">
        <v>7334</v>
      </c>
      <c r="BC159" s="5">
        <v>7387.2002000000002</v>
      </c>
      <c r="BD159" s="5">
        <v>7345</v>
      </c>
      <c r="BE159" s="5">
        <v>7321.9502000000002</v>
      </c>
      <c r="BF159" s="5">
        <v>7275</v>
      </c>
      <c r="BG159" s="5">
        <v>7154.5497999999998</v>
      </c>
      <c r="BH159" s="5">
        <v>7050</v>
      </c>
      <c r="BI159" s="5">
        <v>7062.1000999999997</v>
      </c>
      <c r="BJ159" s="5">
        <f t="shared" si="36"/>
        <v>7040</v>
      </c>
      <c r="BK159" t="str">
        <f t="shared" si="37"/>
        <v/>
      </c>
      <c r="BM159" t="s">
        <v>24</v>
      </c>
      <c r="BN159" t="s">
        <v>335</v>
      </c>
      <c r="BO159">
        <v>5737.4502000000002</v>
      </c>
      <c r="BP159">
        <v>5645.75</v>
      </c>
      <c r="BQ159">
        <v>5835</v>
      </c>
      <c r="BR159">
        <v>5975.4502000000002</v>
      </c>
      <c r="BS159">
        <v>6337</v>
      </c>
      <c r="BT159">
        <v>7249.0497999999998</v>
      </c>
      <c r="BU159">
        <v>7387.2002000000002</v>
      </c>
      <c r="BV159">
        <v>7321.9502000000002</v>
      </c>
      <c r="BW159" s="5">
        <f t="shared" si="38"/>
        <v>7321.9502000000002</v>
      </c>
      <c r="BX159" t="str">
        <f t="shared" si="27"/>
        <v>Pivot sell</v>
      </c>
      <c r="BZ159" t="str">
        <f t="shared" si="28"/>
        <v/>
      </c>
    </row>
    <row r="160" spans="2:78" x14ac:dyDescent="0.3">
      <c r="B160" s="28">
        <v>2160.85</v>
      </c>
      <c r="C160" s="28">
        <v>2232</v>
      </c>
      <c r="D160" s="28">
        <v>1990.25</v>
      </c>
      <c r="E160" s="30">
        <v>2211.35</v>
      </c>
      <c r="F160" s="11">
        <f t="shared" si="39"/>
        <v>2154.3674499999997</v>
      </c>
      <c r="G160" s="11">
        <f t="shared" si="40"/>
        <v>0</v>
      </c>
      <c r="H160" s="36"/>
      <c r="I160" s="28">
        <v>2232</v>
      </c>
      <c r="J160" s="28">
        <v>1990.25</v>
      </c>
      <c r="K160" s="30">
        <v>2211.35</v>
      </c>
      <c r="L160" s="10">
        <v>1</v>
      </c>
      <c r="M160" s="12" t="str">
        <f>IFERROR(IF(AND(#REF!="sell",B160&gt;=AI160),"sell",""),"")</f>
        <v/>
      </c>
      <c r="S160" t="str">
        <f>IFERROR(IF(AND(#REF!="sell",C160&gt;=#REF!),"sell",""),"")</f>
        <v/>
      </c>
      <c r="W160" s="40" t="str">
        <f t="shared" si="29"/>
        <v/>
      </c>
      <c r="X160" s="12" t="str">
        <f>IF(S160="sell",#REF!-E160,"")</f>
        <v/>
      </c>
      <c r="AA160" s="12" t="s">
        <v>337</v>
      </c>
      <c r="AB160" s="12">
        <v>2223.8249999999998</v>
      </c>
      <c r="AC160">
        <v>2217.5749999999998</v>
      </c>
      <c r="AD160" s="12">
        <v>2222.6</v>
      </c>
      <c r="AE160" s="12">
        <v>2227.1499999999996</v>
      </c>
      <c r="AF160" s="12">
        <f t="shared" si="30"/>
        <v>2111.125</v>
      </c>
      <c r="AG160" s="12">
        <f t="shared" si="31"/>
        <v>44.770803544274173</v>
      </c>
      <c r="AH160" s="12">
        <f t="shared" si="32"/>
        <v>2200.4549999999999</v>
      </c>
      <c r="AI160" s="12">
        <f t="shared" si="33"/>
        <v>2289.9966070885484</v>
      </c>
      <c r="AJ160" s="12">
        <f t="shared" si="34"/>
        <v>2110.9133929114514</v>
      </c>
      <c r="AK160" t="str">
        <f t="shared" si="35"/>
        <v/>
      </c>
      <c r="BA160" t="s">
        <v>337</v>
      </c>
      <c r="BB160" s="5">
        <v>2308</v>
      </c>
      <c r="BC160" s="5">
        <v>2309.5</v>
      </c>
      <c r="BD160" s="5">
        <v>2326.8000000000002</v>
      </c>
      <c r="BE160" s="5">
        <v>2318.1001000000001</v>
      </c>
      <c r="BF160" s="5">
        <v>2324.8998999999999</v>
      </c>
      <c r="BG160" s="5">
        <v>2281.8501000000001</v>
      </c>
      <c r="BH160" s="5">
        <v>2242.75</v>
      </c>
      <c r="BI160" s="5">
        <v>2234.1498999999999</v>
      </c>
      <c r="BJ160" s="5">
        <f t="shared" si="36"/>
        <v>2232</v>
      </c>
      <c r="BK160" t="str">
        <f t="shared" si="37"/>
        <v/>
      </c>
      <c r="BM160" t="s">
        <v>24</v>
      </c>
      <c r="BN160" t="s">
        <v>337</v>
      </c>
      <c r="BO160">
        <v>2687.5</v>
      </c>
      <c r="BP160">
        <v>2618</v>
      </c>
      <c r="BQ160">
        <v>2659.3</v>
      </c>
      <c r="BR160">
        <v>2693.95</v>
      </c>
      <c r="BS160">
        <v>2614</v>
      </c>
      <c r="BT160">
        <v>2319</v>
      </c>
      <c r="BU160">
        <v>2326.8000000000002</v>
      </c>
      <c r="BV160">
        <v>2324.8998999999999</v>
      </c>
      <c r="BW160" s="5">
        <f t="shared" si="38"/>
        <v>2324.8998999999999</v>
      </c>
      <c r="BX160" t="str">
        <f t="shared" si="27"/>
        <v/>
      </c>
      <c r="BZ160" t="str">
        <f t="shared" si="28"/>
        <v/>
      </c>
    </row>
    <row r="161" spans="2:78" x14ac:dyDescent="0.3">
      <c r="B161" s="28">
        <v>1440.05</v>
      </c>
      <c r="C161" s="28">
        <v>1478.8</v>
      </c>
      <c r="D161" s="28">
        <v>1240.8499999999999</v>
      </c>
      <c r="E161" s="30">
        <v>1459.8</v>
      </c>
      <c r="F161" s="11">
        <f t="shared" si="39"/>
        <v>1435.7298499999999</v>
      </c>
      <c r="G161" s="11">
        <f t="shared" si="40"/>
        <v>0</v>
      </c>
      <c r="H161" s="36"/>
      <c r="I161" s="28">
        <v>1478.8</v>
      </c>
      <c r="J161" s="28">
        <v>1240.8499999999999</v>
      </c>
      <c r="K161" s="30">
        <v>1459.8</v>
      </c>
      <c r="L161" s="10">
        <v>1</v>
      </c>
      <c r="M161" s="12" t="str">
        <f>IFERROR(IF(AND(#REF!="sell",B161&gt;=AI161),"sell",""),"")</f>
        <v/>
      </c>
      <c r="S161" t="str">
        <f>IFERROR(IF(AND(#REF!="sell",C161&gt;=#REF!),"sell",""),"")</f>
        <v/>
      </c>
      <c r="W161" s="40" t="str">
        <f t="shared" si="29"/>
        <v/>
      </c>
      <c r="X161" s="12" t="str">
        <f>IF(S161="sell",#REF!-E161,"")</f>
        <v/>
      </c>
      <c r="AA161" s="12" t="s">
        <v>339</v>
      </c>
      <c r="AB161" s="12">
        <v>1458.45</v>
      </c>
      <c r="AC161">
        <v>1459.75</v>
      </c>
      <c r="AD161" s="12">
        <v>1459.4250000000002</v>
      </c>
      <c r="AE161" s="12">
        <v>1461.65</v>
      </c>
      <c r="AF161" s="12">
        <f t="shared" si="30"/>
        <v>1359.8249999999998</v>
      </c>
      <c r="AG161" s="12">
        <f t="shared" si="31"/>
        <v>40.010965372007817</v>
      </c>
      <c r="AH161" s="12">
        <f t="shared" si="32"/>
        <v>1439.82</v>
      </c>
      <c r="AI161" s="12">
        <f t="shared" si="33"/>
        <v>1519.8419307440156</v>
      </c>
      <c r="AJ161" s="12">
        <f t="shared" si="34"/>
        <v>1359.7980692559843</v>
      </c>
      <c r="AK161" t="str">
        <f t="shared" si="35"/>
        <v/>
      </c>
      <c r="BA161" t="s">
        <v>339</v>
      </c>
      <c r="BB161" s="5">
        <v>1564</v>
      </c>
      <c r="BC161" s="5">
        <v>1510</v>
      </c>
      <c r="BD161" s="5">
        <v>1505.7</v>
      </c>
      <c r="BE161" s="5">
        <v>1501</v>
      </c>
      <c r="BF161" s="5">
        <v>1479.1</v>
      </c>
      <c r="BG161" s="5">
        <v>1495</v>
      </c>
      <c r="BH161" s="5">
        <v>1477.4</v>
      </c>
      <c r="BI161" s="5">
        <v>1479.4</v>
      </c>
      <c r="BJ161" s="5">
        <f t="shared" si="36"/>
        <v>1478.8</v>
      </c>
      <c r="BK161" t="str">
        <f t="shared" si="37"/>
        <v/>
      </c>
      <c r="BM161" t="s">
        <v>24</v>
      </c>
      <c r="BN161" t="s">
        <v>339</v>
      </c>
      <c r="BO161">
        <v>1618.9</v>
      </c>
      <c r="BP161">
        <v>1545.55</v>
      </c>
      <c r="BQ161">
        <v>1562.45</v>
      </c>
      <c r="BR161">
        <v>1537</v>
      </c>
      <c r="BS161">
        <v>1543.15</v>
      </c>
      <c r="BT161">
        <v>1550.25</v>
      </c>
      <c r="BU161">
        <v>1564</v>
      </c>
      <c r="BV161">
        <v>1501</v>
      </c>
      <c r="BW161" s="5">
        <f t="shared" si="38"/>
        <v>1501</v>
      </c>
      <c r="BX161" t="str">
        <f t="shared" si="27"/>
        <v/>
      </c>
      <c r="BZ161" t="str">
        <f t="shared" si="28"/>
        <v/>
      </c>
    </row>
    <row r="162" spans="2:78" x14ac:dyDescent="0.3">
      <c r="B162" s="28">
        <v>650</v>
      </c>
      <c r="C162" s="28">
        <v>718.7</v>
      </c>
      <c r="D162" s="28">
        <v>636.75</v>
      </c>
      <c r="E162" s="30">
        <v>656.45</v>
      </c>
      <c r="F162" s="11">
        <f t="shared" si="39"/>
        <v>648.04999999999995</v>
      </c>
      <c r="G162" s="11">
        <f t="shared" si="40"/>
        <v>0</v>
      </c>
      <c r="H162" s="36"/>
      <c r="I162" s="28">
        <v>718.7</v>
      </c>
      <c r="J162" s="28">
        <v>636.75</v>
      </c>
      <c r="K162" s="30">
        <v>656.45</v>
      </c>
      <c r="L162" s="10">
        <v>1</v>
      </c>
      <c r="M162" s="12" t="str">
        <f>IFERROR(IF(AND(#REF!="sell",B162&gt;=AI162),"sell",""),"")</f>
        <v/>
      </c>
      <c r="S162" t="str">
        <f>IFERROR(IF(AND(#REF!="sell",C162&gt;=#REF!),"sell",""),"")</f>
        <v/>
      </c>
      <c r="W162" s="40" t="str">
        <f t="shared" si="29"/>
        <v/>
      </c>
      <c r="X162" s="12" t="str">
        <f>IF(S162="sell",#REF!-E162,"")</f>
        <v/>
      </c>
      <c r="AA162" s="12" t="s">
        <v>341</v>
      </c>
      <c r="AB162" s="12">
        <v>670.72500000000002</v>
      </c>
      <c r="AC162">
        <v>670.625</v>
      </c>
      <c r="AD162" s="12">
        <v>670.92499999999995</v>
      </c>
      <c r="AE162" s="12">
        <v>669.75</v>
      </c>
      <c r="AF162" s="12">
        <f t="shared" si="30"/>
        <v>677.72500000000002</v>
      </c>
      <c r="AG162" s="12">
        <f t="shared" si="31"/>
        <v>2.915390196869033</v>
      </c>
      <c r="AH162" s="12">
        <f t="shared" si="32"/>
        <v>671.94999999999993</v>
      </c>
      <c r="AI162" s="12">
        <f t="shared" si="33"/>
        <v>677.78078039373804</v>
      </c>
      <c r="AJ162" s="12">
        <f t="shared" si="34"/>
        <v>666.11921960626182</v>
      </c>
      <c r="AK162" t="str">
        <f t="shared" si="35"/>
        <v/>
      </c>
      <c r="BA162" t="s">
        <v>341</v>
      </c>
      <c r="BB162" s="5">
        <v>677.45001000000002</v>
      </c>
      <c r="BC162" s="5">
        <v>673.84997999999996</v>
      </c>
      <c r="BD162" s="5">
        <v>672.5</v>
      </c>
      <c r="BE162" s="5">
        <v>670.79998999999998</v>
      </c>
      <c r="BF162" s="5">
        <v>676.25</v>
      </c>
      <c r="BG162" s="5">
        <v>668.95001000000002</v>
      </c>
      <c r="BH162" s="5">
        <v>675</v>
      </c>
      <c r="BI162" s="5">
        <v>677.40002000000004</v>
      </c>
      <c r="BJ162" s="5">
        <f t="shared" si="36"/>
        <v>718.7</v>
      </c>
      <c r="BK162" t="str">
        <f t="shared" si="37"/>
        <v/>
      </c>
      <c r="BM162" t="s">
        <v>24</v>
      </c>
      <c r="BN162" t="s">
        <v>341</v>
      </c>
      <c r="BO162">
        <v>638.29998999999998</v>
      </c>
      <c r="BP162">
        <v>623</v>
      </c>
      <c r="BQ162">
        <v>667.59997999999996</v>
      </c>
      <c r="BR162">
        <v>667</v>
      </c>
      <c r="BS162">
        <v>675.75</v>
      </c>
      <c r="BT162">
        <v>681.20001000000002</v>
      </c>
      <c r="BU162">
        <v>679.59997999999996</v>
      </c>
      <c r="BV162">
        <v>677.40002000000004</v>
      </c>
      <c r="BW162" s="5">
        <f t="shared" si="38"/>
        <v>718.7</v>
      </c>
      <c r="BX162" t="str">
        <f t="shared" ref="BX162:BX184" si="41">IF(AND(BU162&gt;MAX(BO162:BT162), BU162&gt;MAX(BW162)), "Pivot sell", "")</f>
        <v/>
      </c>
      <c r="BZ162" t="str">
        <f t="shared" si="28"/>
        <v/>
      </c>
    </row>
    <row r="163" spans="2:78" x14ac:dyDescent="0.3">
      <c r="B163" s="28">
        <v>672.1</v>
      </c>
      <c r="C163" s="28">
        <v>678</v>
      </c>
      <c r="D163" s="28">
        <v>638.5</v>
      </c>
      <c r="E163" s="30">
        <v>672.1</v>
      </c>
      <c r="F163" s="11">
        <f t="shared" si="39"/>
        <v>670.08370000000002</v>
      </c>
      <c r="G163" s="11">
        <f t="shared" si="40"/>
        <v>0</v>
      </c>
      <c r="H163" s="36"/>
      <c r="I163" s="28">
        <v>678</v>
      </c>
      <c r="J163" s="28">
        <v>638.5</v>
      </c>
      <c r="K163" s="30">
        <v>672.1</v>
      </c>
      <c r="L163" s="10">
        <v>1</v>
      </c>
      <c r="M163" s="12" t="str">
        <f>IFERROR(IF(AND(#REF!="sell",B163&gt;=AI163),"sell",""),"")</f>
        <v/>
      </c>
      <c r="S163" t="str">
        <f>IFERROR(IF(AND(#REF!="sell",C163&gt;=#REF!),"sell",""),"")</f>
        <v/>
      </c>
      <c r="W163" s="40" t="str">
        <f t="shared" si="29"/>
        <v/>
      </c>
      <c r="X163" s="12" t="str">
        <f>IF(S163="sell",#REF!-E163,"")</f>
        <v/>
      </c>
      <c r="AA163" s="12" t="s">
        <v>343</v>
      </c>
      <c r="AB163" s="12">
        <v>674.875</v>
      </c>
      <c r="AC163">
        <v>675.25</v>
      </c>
      <c r="AD163" s="12">
        <v>676.95</v>
      </c>
      <c r="AE163" s="12">
        <v>677</v>
      </c>
      <c r="AF163" s="12">
        <f t="shared" si="30"/>
        <v>658.25</v>
      </c>
      <c r="AG163" s="12">
        <f t="shared" si="31"/>
        <v>7.1597765328255942</v>
      </c>
      <c r="AH163" s="12">
        <f t="shared" si="32"/>
        <v>672.46499999999992</v>
      </c>
      <c r="AI163" s="12">
        <f t="shared" si="33"/>
        <v>686.78455306565115</v>
      </c>
      <c r="AJ163" s="12">
        <f t="shared" si="34"/>
        <v>658.14544693434868</v>
      </c>
      <c r="AK163" t="str">
        <f t="shared" si="35"/>
        <v/>
      </c>
      <c r="BA163" t="s">
        <v>343</v>
      </c>
      <c r="BB163" s="5">
        <v>703.84997999999996</v>
      </c>
      <c r="BC163" s="5">
        <v>705.40002000000004</v>
      </c>
      <c r="BD163" s="5">
        <v>687.5</v>
      </c>
      <c r="BE163" s="5">
        <v>679.25</v>
      </c>
      <c r="BF163" s="5">
        <v>691</v>
      </c>
      <c r="BG163" s="5">
        <v>693.25</v>
      </c>
      <c r="BH163" s="5">
        <v>688.54998999999998</v>
      </c>
      <c r="BI163" s="5">
        <v>679.84997999999996</v>
      </c>
      <c r="BJ163" s="5">
        <f t="shared" si="36"/>
        <v>678</v>
      </c>
      <c r="BK163" t="str">
        <f t="shared" si="37"/>
        <v/>
      </c>
      <c r="BM163" t="s">
        <v>24</v>
      </c>
      <c r="BN163" t="s">
        <v>343</v>
      </c>
      <c r="BO163">
        <v>767</v>
      </c>
      <c r="BP163">
        <v>749.04998999999998</v>
      </c>
      <c r="BQ163">
        <v>732.79998999999998</v>
      </c>
      <c r="BR163">
        <v>701.79998999999998</v>
      </c>
      <c r="BS163">
        <v>686.95001000000002</v>
      </c>
      <c r="BT163">
        <v>694</v>
      </c>
      <c r="BU163">
        <v>705.40002000000004</v>
      </c>
      <c r="BV163">
        <v>693.25</v>
      </c>
      <c r="BW163" s="5">
        <f t="shared" si="38"/>
        <v>693.25</v>
      </c>
      <c r="BX163" t="str">
        <f t="shared" si="41"/>
        <v/>
      </c>
      <c r="BZ163" t="str">
        <f t="shared" si="28"/>
        <v/>
      </c>
    </row>
    <row r="164" spans="2:78" x14ac:dyDescent="0.3">
      <c r="B164" s="28">
        <v>1021</v>
      </c>
      <c r="C164" s="28">
        <v>1133.1500000000001</v>
      </c>
      <c r="D164" s="28">
        <v>980</v>
      </c>
      <c r="E164" s="30">
        <v>1030.1500000000001</v>
      </c>
      <c r="F164" s="11">
        <f t="shared" si="39"/>
        <v>1017.937</v>
      </c>
      <c r="G164" s="11">
        <f t="shared" si="40"/>
        <v>0</v>
      </c>
      <c r="H164" s="36"/>
      <c r="I164" s="28">
        <v>1133.1500000000001</v>
      </c>
      <c r="J164" s="28">
        <v>980</v>
      </c>
      <c r="K164" s="30">
        <v>1030.1500000000001</v>
      </c>
      <c r="L164" s="10">
        <v>1</v>
      </c>
      <c r="M164" s="12" t="str">
        <f>IFERROR(IF(AND(#REF!="sell",B164&gt;=AI164),"sell",""),"")</f>
        <v/>
      </c>
      <c r="S164" t="str">
        <f>IFERROR(IF(AND(#REF!="sell",C164&gt;=#REF!),"sell",""),"")</f>
        <v/>
      </c>
      <c r="W164" s="40" t="str">
        <f t="shared" si="29"/>
        <v/>
      </c>
      <c r="X164" s="12" t="str">
        <f>IF(S164="sell",#REF!-E164,"")</f>
        <v/>
      </c>
      <c r="AA164" s="12" t="s">
        <v>345</v>
      </c>
      <c r="AB164" s="12">
        <v>1043.4749999999999</v>
      </c>
      <c r="AC164">
        <v>1039.9749999999999</v>
      </c>
      <c r="AD164" s="12">
        <v>1043.1500000000001</v>
      </c>
      <c r="AE164" s="12">
        <v>1046.925</v>
      </c>
      <c r="AF164" s="12">
        <f t="shared" si="30"/>
        <v>1056.575</v>
      </c>
      <c r="AG164" s="12">
        <f t="shared" si="31"/>
        <v>5.7180940880681899</v>
      </c>
      <c r="AH164" s="12">
        <f t="shared" si="32"/>
        <v>1046.02</v>
      </c>
      <c r="AI164" s="12">
        <f t="shared" si="33"/>
        <v>1057.4561881761363</v>
      </c>
      <c r="AJ164" s="12">
        <f t="shared" si="34"/>
        <v>1034.5838118238637</v>
      </c>
      <c r="AK164" t="str">
        <f t="shared" si="35"/>
        <v/>
      </c>
      <c r="BA164" t="s">
        <v>345</v>
      </c>
      <c r="BB164" s="5">
        <v>1094.8499999999999</v>
      </c>
      <c r="BC164" s="5">
        <v>1094.8499999999999</v>
      </c>
      <c r="BD164" s="5">
        <v>1118.4000000000001</v>
      </c>
      <c r="BE164" s="5">
        <v>1117</v>
      </c>
      <c r="BF164" s="5">
        <v>1129</v>
      </c>
      <c r="BG164" s="5">
        <v>1101.45</v>
      </c>
      <c r="BH164" s="5">
        <v>1078.95</v>
      </c>
      <c r="BI164" s="5">
        <v>1055.95</v>
      </c>
      <c r="BJ164" s="5">
        <f t="shared" si="36"/>
        <v>1133.1500000000001</v>
      </c>
      <c r="BK164" t="str">
        <f t="shared" si="37"/>
        <v/>
      </c>
      <c r="BM164" t="s">
        <v>24</v>
      </c>
      <c r="BN164" t="s">
        <v>345</v>
      </c>
      <c r="BO164">
        <v>1188.8</v>
      </c>
      <c r="BP164">
        <v>1155.95</v>
      </c>
      <c r="BQ164">
        <v>1144.9000000000001</v>
      </c>
      <c r="BR164">
        <v>1136</v>
      </c>
      <c r="BS164">
        <v>1103.5</v>
      </c>
      <c r="BT164">
        <v>1105.25</v>
      </c>
      <c r="BU164">
        <v>1118.4000000000001</v>
      </c>
      <c r="BV164">
        <v>1129</v>
      </c>
      <c r="BW164" s="5">
        <f t="shared" si="38"/>
        <v>1133.1500000000001</v>
      </c>
      <c r="BX164" t="str">
        <f t="shared" si="41"/>
        <v/>
      </c>
      <c r="BZ164" t="str">
        <f t="shared" si="28"/>
        <v/>
      </c>
    </row>
    <row r="165" spans="2:78" x14ac:dyDescent="0.3">
      <c r="B165" s="28">
        <v>1743.45</v>
      </c>
      <c r="C165" s="28">
        <v>1956</v>
      </c>
      <c r="D165" s="28">
        <v>1600.5</v>
      </c>
      <c r="E165" s="30">
        <v>1778.3</v>
      </c>
      <c r="F165" s="11">
        <f t="shared" si="39"/>
        <v>1738.21965</v>
      </c>
      <c r="G165" s="11">
        <f t="shared" si="40"/>
        <v>0</v>
      </c>
      <c r="H165" s="36"/>
      <c r="I165" s="28">
        <v>1956</v>
      </c>
      <c r="J165" s="28">
        <v>1600.5</v>
      </c>
      <c r="K165" s="30">
        <v>1778.3</v>
      </c>
      <c r="L165" s="10">
        <v>1</v>
      </c>
      <c r="M165" s="12" t="str">
        <f>IFERROR(IF(AND(#REF!="sell",B165&gt;=AI165),"sell",""),"")</f>
        <v/>
      </c>
      <c r="S165" t="str">
        <f>IFERROR(IF(AND(#REF!="sell",C165&gt;=#REF!),"sell",""),"")</f>
        <v/>
      </c>
      <c r="W165" s="40" t="str">
        <f t="shared" si="29"/>
        <v/>
      </c>
      <c r="X165" s="12" t="str">
        <f>IF(S165="sell",#REF!-E165,"")</f>
        <v/>
      </c>
      <c r="AA165" s="12" t="s">
        <v>347</v>
      </c>
      <c r="AB165" s="12">
        <v>1765</v>
      </c>
      <c r="AC165">
        <v>1759.9499999999998</v>
      </c>
      <c r="AD165" s="12">
        <v>1762.1</v>
      </c>
      <c r="AE165" s="12">
        <v>1762.4749999999999</v>
      </c>
      <c r="AF165" s="12">
        <f t="shared" si="30"/>
        <v>1778.25</v>
      </c>
      <c r="AG165" s="12">
        <f t="shared" si="31"/>
        <v>6.5469153041719306</v>
      </c>
      <c r="AH165" s="12">
        <f t="shared" si="32"/>
        <v>1765.5549999999998</v>
      </c>
      <c r="AI165" s="12">
        <f t="shared" si="33"/>
        <v>1778.6488306083436</v>
      </c>
      <c r="AJ165" s="12">
        <f t="shared" si="34"/>
        <v>1752.4611693916561</v>
      </c>
      <c r="AK165" t="str">
        <f t="shared" si="35"/>
        <v/>
      </c>
      <c r="BA165" t="s">
        <v>347</v>
      </c>
      <c r="BB165" s="5">
        <v>1830</v>
      </c>
      <c r="BC165" s="5">
        <v>1845</v>
      </c>
      <c r="BD165" s="5">
        <v>1845</v>
      </c>
      <c r="BE165" s="5">
        <v>1842.4</v>
      </c>
      <c r="BF165" s="5">
        <v>1828.1</v>
      </c>
      <c r="BG165" s="5">
        <v>1808.8</v>
      </c>
      <c r="BH165" s="5">
        <v>1796.45</v>
      </c>
      <c r="BI165" s="5">
        <v>1784</v>
      </c>
      <c r="BJ165" s="5">
        <f t="shared" si="36"/>
        <v>1956</v>
      </c>
      <c r="BK165" t="str">
        <f t="shared" si="37"/>
        <v/>
      </c>
      <c r="BM165" t="s">
        <v>24</v>
      </c>
      <c r="BN165" t="s">
        <v>347</v>
      </c>
      <c r="BO165">
        <v>2073.1001000000001</v>
      </c>
      <c r="BP165">
        <v>1969.9</v>
      </c>
      <c r="BQ165">
        <v>1773.25</v>
      </c>
      <c r="BR165">
        <v>1768</v>
      </c>
      <c r="BS165">
        <v>1773.5</v>
      </c>
      <c r="BT165">
        <v>1813</v>
      </c>
      <c r="BU165">
        <v>1845</v>
      </c>
      <c r="BV165">
        <v>1842.4</v>
      </c>
      <c r="BW165" s="5">
        <f t="shared" si="38"/>
        <v>1956</v>
      </c>
      <c r="BX165" t="str">
        <f t="shared" si="41"/>
        <v/>
      </c>
      <c r="BZ165" t="str">
        <f t="shared" si="28"/>
        <v/>
      </c>
    </row>
    <row r="166" spans="2:78" x14ac:dyDescent="0.3">
      <c r="B166" s="28">
        <v>1000</v>
      </c>
      <c r="C166" s="28">
        <v>1166.25</v>
      </c>
      <c r="D166" s="28">
        <v>954.25</v>
      </c>
      <c r="E166" s="30">
        <v>1060.25</v>
      </c>
      <c r="F166" s="11">
        <f t="shared" si="39"/>
        <v>997</v>
      </c>
      <c r="G166" s="11">
        <f t="shared" si="40"/>
        <v>0</v>
      </c>
      <c r="H166" s="36"/>
      <c r="I166" s="28">
        <v>1166.25</v>
      </c>
      <c r="J166" s="28">
        <v>954.25</v>
      </c>
      <c r="K166" s="30">
        <v>1060.25</v>
      </c>
      <c r="L166" s="10">
        <v>1</v>
      </c>
      <c r="M166" s="12" t="str">
        <f>IFERROR(IF(AND(#REF!="sell",B166&gt;=AI166),"sell",""),"")</f>
        <v/>
      </c>
      <c r="S166" t="str">
        <f>IFERROR(IF(AND(#REF!="sell",C166&gt;=#REF!),"sell",""),"")</f>
        <v/>
      </c>
      <c r="W166" s="40" t="str">
        <f t="shared" si="29"/>
        <v/>
      </c>
      <c r="X166" s="12" t="str">
        <f>IF(S166="sell",#REF!-E166,"")</f>
        <v/>
      </c>
      <c r="AA166" s="12" t="s">
        <v>349</v>
      </c>
      <c r="AB166" s="12">
        <v>1068.925</v>
      </c>
      <c r="AC166">
        <v>1067.0749999999998</v>
      </c>
      <c r="AD166" s="12">
        <v>1067.8499999999999</v>
      </c>
      <c r="AE166" s="12">
        <v>1071.125</v>
      </c>
      <c r="AF166" s="12">
        <f t="shared" si="30"/>
        <v>1060.25</v>
      </c>
      <c r="AG166" s="12">
        <f t="shared" si="31"/>
        <v>3.6606488495893643</v>
      </c>
      <c r="AH166" s="12">
        <f t="shared" si="32"/>
        <v>1067.0450000000001</v>
      </c>
      <c r="AI166" s="12">
        <f t="shared" si="33"/>
        <v>1074.3662976991789</v>
      </c>
      <c r="AJ166" s="12">
        <f t="shared" si="34"/>
        <v>1059.7237023008213</v>
      </c>
      <c r="AK166" t="str">
        <f t="shared" si="35"/>
        <v/>
      </c>
      <c r="BA166" t="s">
        <v>349</v>
      </c>
      <c r="BB166" s="5">
        <v>1122</v>
      </c>
      <c r="BC166" s="5">
        <v>1131.2</v>
      </c>
      <c r="BD166" s="5">
        <v>1111</v>
      </c>
      <c r="BE166" s="5">
        <v>1110</v>
      </c>
      <c r="BF166" s="5">
        <v>1097.95</v>
      </c>
      <c r="BG166" s="5">
        <v>1090</v>
      </c>
      <c r="BH166" s="5">
        <v>1074.45</v>
      </c>
      <c r="BI166" s="5">
        <v>1070.8</v>
      </c>
      <c r="BJ166" s="5">
        <f t="shared" si="36"/>
        <v>1166.25</v>
      </c>
      <c r="BK166" t="str">
        <f t="shared" si="37"/>
        <v/>
      </c>
      <c r="BM166" t="s">
        <v>24</v>
      </c>
      <c r="BN166" t="s">
        <v>349</v>
      </c>
      <c r="BO166">
        <v>1156.6500000000001</v>
      </c>
      <c r="BP166">
        <v>1159</v>
      </c>
      <c r="BQ166">
        <v>1179.9000000000001</v>
      </c>
      <c r="BR166">
        <v>1114.9000000000001</v>
      </c>
      <c r="BS166">
        <v>1121.55</v>
      </c>
      <c r="BT166">
        <v>1102.55</v>
      </c>
      <c r="BU166">
        <v>1131.2</v>
      </c>
      <c r="BV166">
        <v>1110</v>
      </c>
      <c r="BW166" s="5">
        <f t="shared" si="38"/>
        <v>1166.25</v>
      </c>
      <c r="BX166" t="str">
        <f t="shared" si="41"/>
        <v/>
      </c>
      <c r="BZ166" t="str">
        <f t="shared" si="28"/>
        <v/>
      </c>
    </row>
    <row r="167" spans="2:78" x14ac:dyDescent="0.3">
      <c r="B167" s="28">
        <v>925</v>
      </c>
      <c r="C167" s="28">
        <v>1107.5999999999999</v>
      </c>
      <c r="D167" s="28">
        <v>830.7</v>
      </c>
      <c r="E167" s="30">
        <v>923</v>
      </c>
      <c r="F167" s="11">
        <f t="shared" si="39"/>
        <v>922.22500000000002</v>
      </c>
      <c r="G167" s="11">
        <f t="shared" si="40"/>
        <v>0</v>
      </c>
      <c r="H167" s="36"/>
      <c r="I167" s="28">
        <v>1107.5999999999999</v>
      </c>
      <c r="J167" s="28">
        <v>830.7</v>
      </c>
      <c r="K167" s="30">
        <v>923</v>
      </c>
      <c r="L167" s="10">
        <v>1</v>
      </c>
      <c r="M167" s="12" t="str">
        <f>IFERROR(IF(AND(#REF!="sell",B167&gt;=AI167),"sell",""),"")</f>
        <v/>
      </c>
      <c r="S167" t="str">
        <f>IFERROR(IF(AND(#REF!="sell",C167&gt;=#REF!),"sell",""),"")</f>
        <v/>
      </c>
      <c r="W167" s="40" t="str">
        <f t="shared" si="29"/>
        <v/>
      </c>
      <c r="X167" s="12" t="str">
        <f>IF(S167="sell",#REF!-E167,"")</f>
        <v/>
      </c>
      <c r="AA167" s="12" t="s">
        <v>351</v>
      </c>
      <c r="AB167" s="12">
        <v>923.8</v>
      </c>
      <c r="AC167">
        <v>922.05</v>
      </c>
      <c r="AD167" s="12">
        <v>922.95</v>
      </c>
      <c r="AE167" s="12">
        <v>926.65000000000009</v>
      </c>
      <c r="AF167" s="12">
        <f t="shared" si="30"/>
        <v>969.15</v>
      </c>
      <c r="AG167" s="12">
        <f t="shared" si="31"/>
        <v>18.180528045136633</v>
      </c>
      <c r="AH167" s="12">
        <f t="shared" si="32"/>
        <v>932.92000000000007</v>
      </c>
      <c r="AI167" s="12">
        <f t="shared" si="33"/>
        <v>969.2810560902733</v>
      </c>
      <c r="AJ167" s="12">
        <f t="shared" si="34"/>
        <v>896.55894390972685</v>
      </c>
      <c r="AK167" t="str">
        <f t="shared" si="35"/>
        <v/>
      </c>
      <c r="BA167" t="s">
        <v>351</v>
      </c>
      <c r="BB167" s="5">
        <v>954.90002000000004</v>
      </c>
      <c r="BC167" s="5">
        <v>963.45001000000002</v>
      </c>
      <c r="BD167" s="5">
        <v>970.95001000000002</v>
      </c>
      <c r="BE167" s="5">
        <v>966.45001000000002</v>
      </c>
      <c r="BF167" s="5">
        <v>961.90002000000004</v>
      </c>
      <c r="BG167" s="5">
        <v>950.5</v>
      </c>
      <c r="BH167" s="5">
        <v>951.45001000000002</v>
      </c>
      <c r="BI167" s="5">
        <v>937.25</v>
      </c>
      <c r="BJ167" s="5">
        <f t="shared" si="36"/>
        <v>1107.5999999999999</v>
      </c>
      <c r="BK167" t="str">
        <f t="shared" si="37"/>
        <v/>
      </c>
      <c r="BM167" t="s">
        <v>24</v>
      </c>
      <c r="BN167" t="s">
        <v>351</v>
      </c>
      <c r="BO167">
        <v>1029.5</v>
      </c>
      <c r="BP167">
        <v>1006.95</v>
      </c>
      <c r="BQ167">
        <v>1008.95</v>
      </c>
      <c r="BR167">
        <v>1040.2</v>
      </c>
      <c r="BS167">
        <v>1050.3499999999999</v>
      </c>
      <c r="BT167">
        <v>1008.7</v>
      </c>
      <c r="BU167">
        <v>970.95001000000002</v>
      </c>
      <c r="BV167">
        <v>966.45001000000002</v>
      </c>
      <c r="BW167" s="5">
        <f t="shared" si="38"/>
        <v>1107.5999999999999</v>
      </c>
      <c r="BX167" t="str">
        <f t="shared" si="41"/>
        <v/>
      </c>
      <c r="BZ167" t="str">
        <f t="shared" si="28"/>
        <v/>
      </c>
    </row>
    <row r="168" spans="2:78" x14ac:dyDescent="0.3">
      <c r="B168" s="28">
        <v>429.05</v>
      </c>
      <c r="C168" s="28">
        <v>450</v>
      </c>
      <c r="D168" s="28">
        <v>371.25</v>
      </c>
      <c r="E168" s="30">
        <v>436.75</v>
      </c>
      <c r="F168" s="11">
        <f t="shared" si="39"/>
        <v>427.76285000000001</v>
      </c>
      <c r="G168" s="11">
        <f t="shared" si="40"/>
        <v>0</v>
      </c>
      <c r="H168" s="36"/>
      <c r="I168" s="28">
        <v>450</v>
      </c>
      <c r="J168" s="28">
        <v>371.25</v>
      </c>
      <c r="K168" s="30">
        <v>436.75</v>
      </c>
      <c r="L168" s="10">
        <v>1</v>
      </c>
      <c r="M168" s="12" t="str">
        <f>IFERROR(IF(AND(#REF!="sell",B168&gt;=AI168),"sell",""),"")</f>
        <v/>
      </c>
      <c r="S168" t="str">
        <f>IFERROR(IF(AND(#REF!="sell",C168&gt;=#REF!),"sell",""),"")</f>
        <v/>
      </c>
      <c r="W168" s="40" t="str">
        <f t="shared" si="29"/>
        <v/>
      </c>
      <c r="X168" s="12" t="str">
        <f>IF(S168="sell",#REF!-E168,"")</f>
        <v/>
      </c>
      <c r="AA168" s="12" t="s">
        <v>353</v>
      </c>
      <c r="AB168" s="12">
        <v>424.6</v>
      </c>
      <c r="AC168">
        <v>424.6</v>
      </c>
      <c r="AD168" s="12">
        <v>425.9</v>
      </c>
      <c r="AE168" s="12">
        <v>427.02499999999998</v>
      </c>
      <c r="AF168" s="12">
        <f t="shared" si="30"/>
        <v>410.625</v>
      </c>
      <c r="AG168" s="12">
        <f t="shared" si="31"/>
        <v>6.0308996012203657</v>
      </c>
      <c r="AH168" s="12">
        <f t="shared" si="32"/>
        <v>422.55</v>
      </c>
      <c r="AI168" s="12">
        <f t="shared" si="33"/>
        <v>434.61179920244075</v>
      </c>
      <c r="AJ168" s="12">
        <f t="shared" si="34"/>
        <v>410.48820079755927</v>
      </c>
      <c r="AK168" t="str">
        <f t="shared" si="35"/>
        <v/>
      </c>
      <c r="BA168" t="s">
        <v>353</v>
      </c>
      <c r="BB168" s="5">
        <v>450.04998999999998</v>
      </c>
      <c r="BC168" s="5">
        <v>452.10001</v>
      </c>
      <c r="BD168" s="5">
        <v>452.95001000000002</v>
      </c>
      <c r="BE168" s="5">
        <v>452.54998999999998</v>
      </c>
      <c r="BF168" s="5">
        <v>449.39999</v>
      </c>
      <c r="BG168" s="5">
        <v>439.45001000000002</v>
      </c>
      <c r="BH168" s="5">
        <v>433.5</v>
      </c>
      <c r="BI168" s="5">
        <v>438.70001000000002</v>
      </c>
      <c r="BJ168" s="5">
        <f t="shared" si="36"/>
        <v>450</v>
      </c>
      <c r="BK168" t="str">
        <f t="shared" si="37"/>
        <v/>
      </c>
      <c r="BM168" t="s">
        <v>24</v>
      </c>
      <c r="BN168" t="s">
        <v>353</v>
      </c>
      <c r="BO168">
        <v>444.20001000000002</v>
      </c>
      <c r="BP168">
        <v>442.79998999999998</v>
      </c>
      <c r="BQ168">
        <v>440.5</v>
      </c>
      <c r="BR168">
        <v>464.20001000000002</v>
      </c>
      <c r="BS168">
        <v>458.60001</v>
      </c>
      <c r="BT168">
        <v>443.75</v>
      </c>
      <c r="BU168">
        <v>452.95001000000002</v>
      </c>
      <c r="BV168">
        <v>452.54998999999998</v>
      </c>
      <c r="BW168" s="5">
        <f t="shared" si="38"/>
        <v>452.54998999999998</v>
      </c>
      <c r="BX168" t="str">
        <f t="shared" si="41"/>
        <v/>
      </c>
      <c r="BZ168" t="str">
        <f t="shared" si="28"/>
        <v/>
      </c>
    </row>
    <row r="169" spans="2:78" x14ac:dyDescent="0.3">
      <c r="B169" s="28">
        <v>160</v>
      </c>
      <c r="C169" s="28">
        <v>183.9</v>
      </c>
      <c r="D169" s="28">
        <v>142.15</v>
      </c>
      <c r="E169" s="30">
        <v>167.2</v>
      </c>
      <c r="F169" s="11">
        <f t="shared" si="39"/>
        <v>159.52000000000001</v>
      </c>
      <c r="G169" s="11">
        <f t="shared" si="40"/>
        <v>0</v>
      </c>
      <c r="H169" s="36"/>
      <c r="I169" s="28">
        <v>183.9</v>
      </c>
      <c r="J169" s="28">
        <v>142.15</v>
      </c>
      <c r="K169" s="30">
        <v>167.2</v>
      </c>
      <c r="L169" s="10">
        <v>1</v>
      </c>
      <c r="M169" s="12" t="str">
        <f>IFERROR(IF(AND(#REF!="sell",B169&gt;=AI169),"sell",""),"")</f>
        <v/>
      </c>
      <c r="S169" t="str">
        <f>IFERROR(IF(AND(#REF!="sell",C169&gt;=#REF!),"sell",""),"")</f>
        <v/>
      </c>
      <c r="W169" s="40" t="str">
        <f t="shared" si="29"/>
        <v/>
      </c>
      <c r="X169" s="12" t="str">
        <f>IF(S169="sell",#REF!-E169,"")</f>
        <v/>
      </c>
      <c r="AA169" s="12" t="s">
        <v>355</v>
      </c>
      <c r="AB169" s="12">
        <v>164.35000000000002</v>
      </c>
      <c r="AC169">
        <v>163.77499999999998</v>
      </c>
      <c r="AD169" s="12">
        <v>163.97499999999999</v>
      </c>
      <c r="AE169" s="12">
        <v>164.82499999999999</v>
      </c>
      <c r="AF169" s="12">
        <f t="shared" si="30"/>
        <v>163.02500000000001</v>
      </c>
      <c r="AG169" s="12">
        <f t="shared" si="31"/>
        <v>0.600749531835023</v>
      </c>
      <c r="AH169" s="12">
        <f t="shared" si="32"/>
        <v>163.98999999999998</v>
      </c>
      <c r="AI169" s="12">
        <f t="shared" si="33"/>
        <v>165.19149906367002</v>
      </c>
      <c r="AJ169" s="12">
        <f t="shared" si="34"/>
        <v>162.78850093632994</v>
      </c>
      <c r="AK169" t="str">
        <f t="shared" si="35"/>
        <v/>
      </c>
      <c r="BA169" t="s">
        <v>355</v>
      </c>
      <c r="BB169" s="5">
        <v>175.5</v>
      </c>
      <c r="BC169" s="5">
        <v>175.8</v>
      </c>
      <c r="BD169" s="5">
        <v>177.55</v>
      </c>
      <c r="BE169" s="5">
        <v>177.7</v>
      </c>
      <c r="BF169" s="5">
        <v>177.5</v>
      </c>
      <c r="BG169" s="5">
        <v>176</v>
      </c>
      <c r="BH169" s="5">
        <v>172</v>
      </c>
      <c r="BI169" s="5">
        <v>167.95</v>
      </c>
      <c r="BJ169" s="5">
        <f t="shared" si="36"/>
        <v>183.9</v>
      </c>
      <c r="BK169" t="str">
        <f t="shared" si="37"/>
        <v/>
      </c>
      <c r="BM169" t="s">
        <v>24</v>
      </c>
      <c r="BN169" t="s">
        <v>355</v>
      </c>
      <c r="BO169">
        <v>169.8</v>
      </c>
      <c r="BP169">
        <v>164.7</v>
      </c>
      <c r="BQ169">
        <v>170.7</v>
      </c>
      <c r="BR169">
        <v>170.75</v>
      </c>
      <c r="BS169">
        <v>168.64999</v>
      </c>
      <c r="BT169">
        <v>168.45</v>
      </c>
      <c r="BU169">
        <v>177.55</v>
      </c>
      <c r="BV169">
        <v>177.7</v>
      </c>
      <c r="BW169" s="5">
        <f t="shared" si="38"/>
        <v>183.9</v>
      </c>
      <c r="BX169" t="str">
        <f t="shared" si="41"/>
        <v/>
      </c>
      <c r="BZ169" t="str">
        <f t="shared" si="28"/>
        <v/>
      </c>
    </row>
    <row r="170" spans="2:78" x14ac:dyDescent="0.3">
      <c r="B170" s="28">
        <v>3653.75</v>
      </c>
      <c r="C170" s="28">
        <v>4220</v>
      </c>
      <c r="D170" s="28">
        <v>3120.3</v>
      </c>
      <c r="E170" s="30">
        <v>3670.95</v>
      </c>
      <c r="F170" s="11">
        <f t="shared" si="39"/>
        <v>3642.7887500000002</v>
      </c>
      <c r="G170" s="11">
        <f t="shared" si="40"/>
        <v>0</v>
      </c>
      <c r="H170" s="36"/>
      <c r="I170" s="28">
        <v>4220</v>
      </c>
      <c r="J170" s="28">
        <v>3120.3</v>
      </c>
      <c r="K170" s="30">
        <v>3670.95</v>
      </c>
      <c r="L170" s="10">
        <v>1</v>
      </c>
      <c r="M170" s="12" t="str">
        <f>IFERROR(IF(AND(#REF!="sell",B170&gt;=AI170),"sell",""),"")</f>
        <v/>
      </c>
      <c r="S170" t="str">
        <f>IFERROR(IF(AND(#REF!="sell",C170&gt;=#REF!),"sell",""),"")</f>
        <v/>
      </c>
      <c r="W170" s="40" t="str">
        <f t="shared" si="29"/>
        <v/>
      </c>
      <c r="X170" s="12" t="str">
        <f>IF(S170="sell",#REF!-E170,"")</f>
        <v/>
      </c>
      <c r="AA170" s="12" t="s">
        <v>357</v>
      </c>
      <c r="AB170" s="12">
        <v>3736.5</v>
      </c>
      <c r="AC170">
        <v>3738.95</v>
      </c>
      <c r="AD170" s="12">
        <v>3735.3</v>
      </c>
      <c r="AE170" s="12">
        <v>3735.5250000000001</v>
      </c>
      <c r="AF170" s="12">
        <f t="shared" si="30"/>
        <v>3670.15</v>
      </c>
      <c r="AG170" s="12">
        <f t="shared" si="31"/>
        <v>26.59900186097212</v>
      </c>
      <c r="AH170" s="12">
        <f t="shared" si="32"/>
        <v>3723.2849999999999</v>
      </c>
      <c r="AI170" s="12">
        <f t="shared" si="33"/>
        <v>3776.483003721944</v>
      </c>
      <c r="AJ170" s="12">
        <f t="shared" si="34"/>
        <v>3670.0869962780557</v>
      </c>
      <c r="AK170" t="str">
        <f t="shared" si="35"/>
        <v/>
      </c>
      <c r="BA170" t="s">
        <v>357</v>
      </c>
      <c r="BB170" s="5">
        <v>3841.25</v>
      </c>
      <c r="BC170" s="5">
        <v>3905</v>
      </c>
      <c r="BD170" s="5">
        <v>3883.8</v>
      </c>
      <c r="BE170" s="5">
        <v>3908.3501000000001</v>
      </c>
      <c r="BF170" s="5">
        <v>3870</v>
      </c>
      <c r="BG170" s="5">
        <v>3848.8998999999999</v>
      </c>
      <c r="BH170" s="5">
        <v>3794.3998999999999</v>
      </c>
      <c r="BI170" s="5">
        <v>3749.8</v>
      </c>
      <c r="BJ170" s="5">
        <f t="shared" si="36"/>
        <v>4220</v>
      </c>
      <c r="BK170" t="str">
        <f t="shared" si="37"/>
        <v/>
      </c>
      <c r="BM170" t="s">
        <v>24</v>
      </c>
      <c r="BN170" t="s">
        <v>357</v>
      </c>
      <c r="BO170">
        <v>4032.6498999999999</v>
      </c>
      <c r="BP170">
        <v>4064.2</v>
      </c>
      <c r="BQ170">
        <v>3898</v>
      </c>
      <c r="BR170">
        <v>3893.6001000000001</v>
      </c>
      <c r="BS170">
        <v>3988</v>
      </c>
      <c r="BT170">
        <v>3955</v>
      </c>
      <c r="BU170">
        <v>3905</v>
      </c>
      <c r="BV170">
        <v>3908.3501000000001</v>
      </c>
      <c r="BW170" s="5">
        <f t="shared" si="38"/>
        <v>4220</v>
      </c>
      <c r="BX170" t="str">
        <f t="shared" si="41"/>
        <v/>
      </c>
      <c r="BZ170" t="str">
        <f t="shared" si="28"/>
        <v/>
      </c>
    </row>
    <row r="171" spans="2:78" x14ac:dyDescent="0.3">
      <c r="B171" s="28">
        <v>1207.6500000000001</v>
      </c>
      <c r="C171" s="28">
        <v>1351.25</v>
      </c>
      <c r="D171" s="28">
        <v>1105.5999999999999</v>
      </c>
      <c r="E171" s="30">
        <v>1228.45</v>
      </c>
      <c r="F171" s="11">
        <f t="shared" si="39"/>
        <v>1204.0270500000001</v>
      </c>
      <c r="G171" s="11">
        <f t="shared" si="40"/>
        <v>0</v>
      </c>
      <c r="H171" s="36"/>
      <c r="I171" s="28">
        <v>1351.25</v>
      </c>
      <c r="J171" s="28">
        <v>1105.5999999999999</v>
      </c>
      <c r="K171" s="30">
        <v>1228.45</v>
      </c>
      <c r="L171" s="10">
        <v>1</v>
      </c>
      <c r="M171" s="12" t="str">
        <f>IFERROR(IF(AND(#REF!="sell",B171&gt;=AI171),"sell",""),"")</f>
        <v/>
      </c>
      <c r="S171" t="str">
        <f>IFERROR(IF(AND(#REF!="sell",C171&gt;=#REF!),"sell",""),"")</f>
        <v/>
      </c>
      <c r="W171" s="40" t="str">
        <f t="shared" si="29"/>
        <v/>
      </c>
      <c r="X171" s="12" t="str">
        <f>IF(S171="sell",#REF!-E171,"")</f>
        <v/>
      </c>
      <c r="AA171" s="12" t="s">
        <v>359</v>
      </c>
      <c r="AB171" s="12">
        <v>1240</v>
      </c>
      <c r="AC171">
        <v>1237.6500000000001</v>
      </c>
      <c r="AD171" s="12">
        <v>1237.2249999999999</v>
      </c>
      <c r="AE171" s="12">
        <v>1241.7750000000001</v>
      </c>
      <c r="AF171" s="12">
        <f t="shared" si="30"/>
        <v>1228.425</v>
      </c>
      <c r="AG171" s="12">
        <f t="shared" si="31"/>
        <v>4.6000706516313796</v>
      </c>
      <c r="AH171" s="12">
        <f t="shared" si="32"/>
        <v>1237.0149999999999</v>
      </c>
      <c r="AI171" s="12">
        <f t="shared" si="33"/>
        <v>1246.2151413032627</v>
      </c>
      <c r="AJ171" s="12">
        <f t="shared" si="34"/>
        <v>1227.814858696737</v>
      </c>
      <c r="AK171" t="str">
        <f t="shared" si="35"/>
        <v/>
      </c>
      <c r="BA171" t="s">
        <v>359</v>
      </c>
      <c r="BB171" s="5">
        <v>1335.4</v>
      </c>
      <c r="BC171" s="5">
        <v>1343.95</v>
      </c>
      <c r="BD171" s="5">
        <v>1345</v>
      </c>
      <c r="BE171" s="5">
        <v>1342.8</v>
      </c>
      <c r="BF171" s="5">
        <v>1330.35</v>
      </c>
      <c r="BG171" s="5">
        <v>1314</v>
      </c>
      <c r="BH171" s="5">
        <v>1287.75</v>
      </c>
      <c r="BI171" s="5">
        <v>1255.25</v>
      </c>
      <c r="BJ171" s="5">
        <f t="shared" si="36"/>
        <v>1351.25</v>
      </c>
      <c r="BK171" t="str">
        <f t="shared" si="37"/>
        <v/>
      </c>
      <c r="BM171" t="s">
        <v>24</v>
      </c>
      <c r="BN171" t="s">
        <v>359</v>
      </c>
      <c r="BO171">
        <v>1281</v>
      </c>
      <c r="BP171">
        <v>1240.6500000000001</v>
      </c>
      <c r="BQ171">
        <v>1347</v>
      </c>
      <c r="BR171">
        <v>1311</v>
      </c>
      <c r="BS171">
        <v>1300</v>
      </c>
      <c r="BT171">
        <v>1320</v>
      </c>
      <c r="BU171">
        <v>1345</v>
      </c>
      <c r="BV171">
        <v>1342.8</v>
      </c>
      <c r="BW171" s="5">
        <f t="shared" si="38"/>
        <v>1351.25</v>
      </c>
      <c r="BX171" t="str">
        <f t="shared" si="41"/>
        <v/>
      </c>
      <c r="BZ171" t="str">
        <f t="shared" si="28"/>
        <v/>
      </c>
    </row>
    <row r="172" spans="2:78" x14ac:dyDescent="0.3">
      <c r="B172" s="28">
        <v>3185.9</v>
      </c>
      <c r="C172" s="28">
        <v>3566</v>
      </c>
      <c r="D172" s="28">
        <v>2917.75</v>
      </c>
      <c r="E172" s="30">
        <v>3241.9</v>
      </c>
      <c r="F172" s="11">
        <f t="shared" si="39"/>
        <v>3176.3423000000003</v>
      </c>
      <c r="G172" s="11">
        <f t="shared" si="40"/>
        <v>0</v>
      </c>
      <c r="H172" s="36"/>
      <c r="I172" s="28">
        <v>3566</v>
      </c>
      <c r="J172" s="28">
        <v>2917.75</v>
      </c>
      <c r="K172" s="30">
        <v>3241.9</v>
      </c>
      <c r="L172" s="10">
        <v>1</v>
      </c>
      <c r="M172" s="12" t="str">
        <f>IFERROR(IF(AND(#REF!="sell",B172&gt;=AI172),"sell",""),"")</f>
        <v/>
      </c>
      <c r="S172" t="str">
        <f>IFERROR(IF(AND(#REF!="sell",C172&gt;=#REF!),"sell",""),"")</f>
        <v/>
      </c>
      <c r="W172" s="40" t="str">
        <f t="shared" si="29"/>
        <v/>
      </c>
      <c r="X172" s="12" t="str">
        <f>IF(S172="sell",#REF!-E172,"")</f>
        <v/>
      </c>
      <c r="AA172" s="12" t="s">
        <v>361</v>
      </c>
      <c r="AB172" s="12">
        <v>3276.1750000000002</v>
      </c>
      <c r="AC172">
        <v>3273.8249999999998</v>
      </c>
      <c r="AD172" s="12">
        <v>3272.65</v>
      </c>
      <c r="AE172" s="12">
        <v>3278.625</v>
      </c>
      <c r="AF172" s="12">
        <f t="shared" si="30"/>
        <v>3241.875</v>
      </c>
      <c r="AG172" s="12">
        <f t="shared" si="31"/>
        <v>13.533702375920653</v>
      </c>
      <c r="AH172" s="12">
        <f t="shared" si="32"/>
        <v>3268.63</v>
      </c>
      <c r="AI172" s="12">
        <f t="shared" si="33"/>
        <v>3295.6974047518415</v>
      </c>
      <c r="AJ172" s="12">
        <f t="shared" si="34"/>
        <v>3241.5625952481587</v>
      </c>
      <c r="AK172" t="str">
        <f t="shared" si="35"/>
        <v/>
      </c>
      <c r="BA172" t="s">
        <v>361</v>
      </c>
      <c r="BB172" s="5">
        <v>3403.1001000000001</v>
      </c>
      <c r="BC172" s="5">
        <v>3460.3998999999999</v>
      </c>
      <c r="BD172" s="5">
        <v>3455.05</v>
      </c>
      <c r="BE172" s="5">
        <v>3436.3</v>
      </c>
      <c r="BF172" s="5">
        <v>3423</v>
      </c>
      <c r="BG172" s="5">
        <v>3418</v>
      </c>
      <c r="BH172" s="5">
        <v>3365</v>
      </c>
      <c r="BI172" s="5">
        <v>3328.8</v>
      </c>
      <c r="BJ172" s="5">
        <f t="shared" si="36"/>
        <v>3566</v>
      </c>
      <c r="BK172" t="str">
        <f t="shared" si="37"/>
        <v/>
      </c>
      <c r="BM172" t="s">
        <v>24</v>
      </c>
      <c r="BN172" t="s">
        <v>361</v>
      </c>
      <c r="BO172">
        <v>3808.3</v>
      </c>
      <c r="BP172">
        <v>3660</v>
      </c>
      <c r="BQ172">
        <v>3648</v>
      </c>
      <c r="BR172">
        <v>3619.5</v>
      </c>
      <c r="BS172">
        <v>3488.8</v>
      </c>
      <c r="BT172">
        <v>3376</v>
      </c>
      <c r="BU172">
        <v>3460.3998999999999</v>
      </c>
      <c r="BV172">
        <v>3436.3</v>
      </c>
      <c r="BW172" s="5">
        <f t="shared" si="38"/>
        <v>3566</v>
      </c>
      <c r="BX172" t="str">
        <f t="shared" si="41"/>
        <v/>
      </c>
      <c r="BZ172" t="str">
        <f t="shared" si="28"/>
        <v/>
      </c>
    </row>
    <row r="173" spans="2:78" x14ac:dyDescent="0.3">
      <c r="B173" s="28">
        <v>2643.95</v>
      </c>
      <c r="C173" s="28">
        <v>2668.8</v>
      </c>
      <c r="D173" s="28">
        <v>2426.4499999999998</v>
      </c>
      <c r="E173" s="30">
        <v>2696.05</v>
      </c>
      <c r="F173" s="11">
        <f t="shared" si="39"/>
        <v>2636.0181499999999</v>
      </c>
      <c r="G173" s="11">
        <f t="shared" si="40"/>
        <v>0</v>
      </c>
      <c r="H173" s="36"/>
      <c r="I173" s="28">
        <v>2668.8</v>
      </c>
      <c r="J173" s="28">
        <v>2426.4499999999998</v>
      </c>
      <c r="K173" s="30">
        <v>2696.05</v>
      </c>
      <c r="L173" s="10">
        <v>1</v>
      </c>
      <c r="M173" s="12" t="str">
        <f>IFERROR(IF(AND(#REF!="sell",B173&gt;=AI173),"sell",""),"")</f>
        <v/>
      </c>
      <c r="S173" t="str">
        <f>IFERROR(IF(AND(#REF!="sell",C173&gt;=#REF!),"sell",""),"")</f>
        <v/>
      </c>
      <c r="W173" s="40" t="str">
        <f t="shared" si="29"/>
        <v/>
      </c>
      <c r="X173" s="12" t="str">
        <f>IF(S173="sell",#REF!-E173,"")</f>
        <v/>
      </c>
      <c r="AA173" s="12" t="s">
        <v>363</v>
      </c>
      <c r="AB173" s="12">
        <v>2659.5749999999998</v>
      </c>
      <c r="AC173">
        <v>2654.8249999999998</v>
      </c>
      <c r="AD173" s="12">
        <v>2655.45</v>
      </c>
      <c r="AE173" s="12">
        <v>2658.6000000000004</v>
      </c>
      <c r="AF173" s="12">
        <f t="shared" si="30"/>
        <v>2547.625</v>
      </c>
      <c r="AG173" s="12">
        <f t="shared" si="31"/>
        <v>43.832141745527316</v>
      </c>
      <c r="AH173" s="12">
        <f t="shared" si="32"/>
        <v>2635.2150000000001</v>
      </c>
      <c r="AI173" s="12">
        <f t="shared" si="33"/>
        <v>2722.8792834910546</v>
      </c>
      <c r="AJ173" s="12">
        <f t="shared" si="34"/>
        <v>2547.5507165089457</v>
      </c>
      <c r="AK173" t="str">
        <f t="shared" si="35"/>
        <v/>
      </c>
      <c r="BA173" t="s">
        <v>363</v>
      </c>
      <c r="BB173" s="5">
        <v>2702.8998999999999</v>
      </c>
      <c r="BC173" s="5">
        <v>2697.75</v>
      </c>
      <c r="BD173" s="5">
        <v>2705</v>
      </c>
      <c r="BE173" s="5">
        <v>2795</v>
      </c>
      <c r="BF173" s="5">
        <v>2674</v>
      </c>
      <c r="BG173" s="5">
        <v>2735</v>
      </c>
      <c r="BH173" s="5">
        <v>2740</v>
      </c>
      <c r="BI173" s="5">
        <v>2722.8501000000001</v>
      </c>
      <c r="BJ173" s="5">
        <f t="shared" si="36"/>
        <v>2668.8</v>
      </c>
      <c r="BK173" t="str">
        <f t="shared" si="37"/>
        <v/>
      </c>
      <c r="BM173" t="s">
        <v>24</v>
      </c>
      <c r="BN173" t="s">
        <v>363</v>
      </c>
      <c r="BO173">
        <v>2626.8998999999999</v>
      </c>
      <c r="BP173">
        <v>2585.5</v>
      </c>
      <c r="BQ173">
        <v>2729.2</v>
      </c>
      <c r="BR173">
        <v>2782.8501000000001</v>
      </c>
      <c r="BS173">
        <v>2761.8998999999999</v>
      </c>
      <c r="BT173">
        <v>2721.6001000000001</v>
      </c>
      <c r="BU173">
        <v>2706.95</v>
      </c>
      <c r="BV173">
        <v>2795</v>
      </c>
      <c r="BW173" s="5">
        <f t="shared" si="38"/>
        <v>2795</v>
      </c>
      <c r="BX173" t="str">
        <f t="shared" si="41"/>
        <v/>
      </c>
      <c r="BZ173" t="str">
        <f t="shared" si="28"/>
        <v/>
      </c>
    </row>
    <row r="174" spans="2:78" x14ac:dyDescent="0.3">
      <c r="B174" s="28">
        <v>4429.6000000000004</v>
      </c>
      <c r="C174" s="28">
        <v>4682</v>
      </c>
      <c r="D174" s="28">
        <v>4103.25</v>
      </c>
      <c r="E174" s="30">
        <v>4559.1400000000003</v>
      </c>
      <c r="F174" s="11">
        <f t="shared" si="39"/>
        <v>4416.3112000000001</v>
      </c>
      <c r="G174" s="11">
        <f t="shared" si="40"/>
        <v>0</v>
      </c>
      <c r="H174" s="36"/>
      <c r="I174" s="28">
        <v>4682</v>
      </c>
      <c r="J174" s="28">
        <v>4103.25</v>
      </c>
      <c r="K174" s="30">
        <v>4559.1400000000003</v>
      </c>
      <c r="L174" s="10">
        <v>1</v>
      </c>
      <c r="M174" s="12" t="str">
        <f>IFERROR(IF(AND(#REF!="sell",B174&gt;=AI174),"sell",""),"")</f>
        <v/>
      </c>
      <c r="S174" t="str">
        <f>IFERROR(IF(AND(#REF!="sell",C174&gt;=#REF!),"sell",""),"")</f>
        <v/>
      </c>
      <c r="W174" s="40" t="str">
        <f t="shared" si="29"/>
        <v/>
      </c>
      <c r="X174" s="12" t="str">
        <f>IF(S174="sell",#REF!-E174,"")</f>
        <v/>
      </c>
      <c r="AA174" s="12" t="s">
        <v>365</v>
      </c>
      <c r="AB174" s="12">
        <v>4643.2250000000004</v>
      </c>
      <c r="AC174">
        <v>4642.0499999999993</v>
      </c>
      <c r="AD174" s="12">
        <v>4654.45</v>
      </c>
      <c r="AE174" s="12">
        <v>4662.5</v>
      </c>
      <c r="AF174" s="12">
        <f t="shared" si="30"/>
        <v>4392.625</v>
      </c>
      <c r="AG174" s="12">
        <f t="shared" si="31"/>
        <v>103.44732161829995</v>
      </c>
      <c r="AH174" s="12">
        <f t="shared" si="32"/>
        <v>4598.9699999999993</v>
      </c>
      <c r="AI174" s="12">
        <f t="shared" si="33"/>
        <v>4805.8646432365995</v>
      </c>
      <c r="AJ174" s="12">
        <f t="shared" si="34"/>
        <v>4392.0753567633992</v>
      </c>
      <c r="AK174" t="str">
        <f t="shared" si="35"/>
        <v/>
      </c>
      <c r="BA174" t="s">
        <v>365</v>
      </c>
      <c r="BB174" s="5">
        <v>4713.8500999999997</v>
      </c>
      <c r="BC174" s="5">
        <v>4712</v>
      </c>
      <c r="BD174" s="5">
        <v>4777.8999000000003</v>
      </c>
      <c r="BE174" s="5">
        <v>4760.8500999999997</v>
      </c>
      <c r="BF174" s="5">
        <v>4723.75</v>
      </c>
      <c r="BG174" s="5">
        <v>4719.5</v>
      </c>
      <c r="BH174" s="5">
        <v>4698</v>
      </c>
      <c r="BI174" s="5">
        <v>4710</v>
      </c>
      <c r="BJ174" s="5">
        <f t="shared" si="36"/>
        <v>4682</v>
      </c>
      <c r="BK174" t="str">
        <f t="shared" si="37"/>
        <v/>
      </c>
      <c r="BM174" t="s">
        <v>24</v>
      </c>
      <c r="BN174" t="s">
        <v>365</v>
      </c>
      <c r="BO174">
        <v>4113.9502000000002</v>
      </c>
      <c r="BP174">
        <v>4177.8999000000003</v>
      </c>
      <c r="BQ174">
        <v>4373</v>
      </c>
      <c r="BR174">
        <v>4680.5497999999998</v>
      </c>
      <c r="BS174">
        <v>4580</v>
      </c>
      <c r="BT174">
        <v>4674.8999000000003</v>
      </c>
      <c r="BU174">
        <v>4777.8999000000003</v>
      </c>
      <c r="BV174">
        <v>4760.8500999999997</v>
      </c>
      <c r="BW174" s="5">
        <f t="shared" si="38"/>
        <v>4760.8500999999997</v>
      </c>
      <c r="BX174" t="str">
        <f t="shared" si="41"/>
        <v>Pivot sell</v>
      </c>
      <c r="BZ174" t="str">
        <f t="shared" si="28"/>
        <v/>
      </c>
    </row>
    <row r="175" spans="2:78" x14ac:dyDescent="0.3">
      <c r="B175" s="28">
        <v>2148.15</v>
      </c>
      <c r="C175" s="28">
        <v>2300</v>
      </c>
      <c r="D175" s="28">
        <v>1961.35</v>
      </c>
      <c r="E175" s="30">
        <v>2179.25</v>
      </c>
      <c r="F175" s="11">
        <f t="shared" si="39"/>
        <v>2141.7055500000001</v>
      </c>
      <c r="G175" s="11">
        <f t="shared" si="40"/>
        <v>0</v>
      </c>
      <c r="H175" s="36"/>
      <c r="I175" s="28">
        <v>2300</v>
      </c>
      <c r="J175" s="28">
        <v>1961.35</v>
      </c>
      <c r="K175" s="30">
        <v>2179.25</v>
      </c>
      <c r="L175" s="10">
        <v>1</v>
      </c>
      <c r="M175" s="12" t="str">
        <f>IFERROR(IF(AND(#REF!="sell",B175&gt;=AI175),"sell",""),"")</f>
        <v/>
      </c>
      <c r="S175" t="str">
        <f>IFERROR(IF(AND(#REF!="sell",C175&gt;=#REF!),"sell",""),"")</f>
        <v/>
      </c>
      <c r="W175" s="40" t="str">
        <f t="shared" si="29"/>
        <v/>
      </c>
      <c r="X175" s="12" t="str">
        <f>IF(S175="sell",#REF!-E175,"")</f>
        <v/>
      </c>
      <c r="AA175" s="12" t="s">
        <v>367</v>
      </c>
      <c r="AB175" s="12">
        <v>2231.5749999999998</v>
      </c>
      <c r="AC175">
        <v>2227.4499999999998</v>
      </c>
      <c r="AD175" s="12">
        <v>2229.3000000000002</v>
      </c>
      <c r="AE175" s="12">
        <v>2233.1000000000004</v>
      </c>
      <c r="AF175" s="12">
        <f t="shared" si="30"/>
        <v>2130.6750000000002</v>
      </c>
      <c r="AG175" s="12">
        <f t="shared" si="31"/>
        <v>39.919059983922416</v>
      </c>
      <c r="AH175" s="12">
        <f t="shared" si="32"/>
        <v>2210.4199999999996</v>
      </c>
      <c r="AI175" s="12">
        <f t="shared" si="33"/>
        <v>2290.2581199678443</v>
      </c>
      <c r="AJ175" s="12">
        <f t="shared" si="34"/>
        <v>2130.5818800321549</v>
      </c>
      <c r="AK175" t="str">
        <f t="shared" si="35"/>
        <v/>
      </c>
      <c r="BA175" t="s">
        <v>367</v>
      </c>
      <c r="BB175" s="5">
        <v>2170</v>
      </c>
      <c r="BC175" s="5">
        <v>2181</v>
      </c>
      <c r="BD175" s="5">
        <v>2254</v>
      </c>
      <c r="BE175" s="5">
        <v>2264.3998999999999</v>
      </c>
      <c r="BF175" s="5">
        <v>2270.9499999999998</v>
      </c>
      <c r="BG175" s="5">
        <v>2265.1001000000001</v>
      </c>
      <c r="BH175" s="5">
        <v>2259.25</v>
      </c>
      <c r="BI175" s="5">
        <v>2238.8000000000002</v>
      </c>
      <c r="BJ175" s="5">
        <f t="shared" si="36"/>
        <v>2300</v>
      </c>
      <c r="BK175" t="str">
        <f t="shared" si="37"/>
        <v/>
      </c>
      <c r="BM175" t="s">
        <v>24</v>
      </c>
      <c r="BN175" t="s">
        <v>367</v>
      </c>
      <c r="BO175">
        <v>2144</v>
      </c>
      <c r="BP175">
        <v>2046.65</v>
      </c>
      <c r="BQ175">
        <v>2038.8</v>
      </c>
      <c r="BR175">
        <v>2117.8501000000001</v>
      </c>
      <c r="BS175">
        <v>2123</v>
      </c>
      <c r="BT175">
        <v>2204</v>
      </c>
      <c r="BU175">
        <v>2254</v>
      </c>
      <c r="BV175">
        <v>2270.9499999999998</v>
      </c>
      <c r="BW175" s="5">
        <f t="shared" si="38"/>
        <v>2300</v>
      </c>
      <c r="BX175" t="str">
        <f t="shared" si="41"/>
        <v/>
      </c>
      <c r="BZ175" t="str">
        <f t="shared" si="28"/>
        <v/>
      </c>
    </row>
    <row r="176" spans="2:78" x14ac:dyDescent="0.3">
      <c r="B176" s="28">
        <v>1799.9</v>
      </c>
      <c r="C176" s="28">
        <v>1962</v>
      </c>
      <c r="D176" s="28">
        <v>1675</v>
      </c>
      <c r="E176" s="30">
        <v>1860.4</v>
      </c>
      <c r="F176" s="11">
        <f t="shared" si="39"/>
        <v>1794.5003000000002</v>
      </c>
      <c r="G176" s="11">
        <f t="shared" si="40"/>
        <v>0</v>
      </c>
      <c r="H176" s="36"/>
      <c r="I176" s="28">
        <v>1962</v>
      </c>
      <c r="J176" s="28">
        <v>1675</v>
      </c>
      <c r="K176" s="30">
        <v>1860.4</v>
      </c>
      <c r="L176" s="10">
        <v>1</v>
      </c>
      <c r="M176" s="12" t="str">
        <f>IFERROR(IF(AND(#REF!="sell",B176&gt;=AI176),"sell",""),"")</f>
        <v/>
      </c>
      <c r="S176" t="str">
        <f>IFERROR(IF(AND(#REF!="sell",C176&gt;=#REF!),"sell",""),"")</f>
        <v/>
      </c>
      <c r="W176" s="40" t="str">
        <f t="shared" si="29"/>
        <v/>
      </c>
      <c r="X176" s="12" t="str">
        <f>IF(S176="sell",#REF!-E176,"")</f>
        <v/>
      </c>
      <c r="AA176" s="12" t="s">
        <v>369</v>
      </c>
      <c r="AB176" s="12">
        <v>1841.05</v>
      </c>
      <c r="AC176">
        <v>1838.5</v>
      </c>
      <c r="AD176" s="12">
        <v>1840.4499999999998</v>
      </c>
      <c r="AE176" s="12">
        <v>1852.45</v>
      </c>
      <c r="AF176" s="12">
        <f t="shared" si="30"/>
        <v>1818.5</v>
      </c>
      <c r="AG176" s="12">
        <f t="shared" si="31"/>
        <v>10.994789675114301</v>
      </c>
      <c r="AH176" s="12">
        <f t="shared" si="32"/>
        <v>1838.19</v>
      </c>
      <c r="AI176" s="12">
        <f t="shared" si="33"/>
        <v>1860.1795793502286</v>
      </c>
      <c r="AJ176" s="12">
        <f t="shared" si="34"/>
        <v>1816.2004206497716</v>
      </c>
      <c r="AK176" t="str">
        <f t="shared" si="35"/>
        <v/>
      </c>
      <c r="BA176" t="s">
        <v>369</v>
      </c>
      <c r="BB176" s="5">
        <v>1897.5</v>
      </c>
      <c r="BC176" s="5">
        <v>1893.3</v>
      </c>
      <c r="BD176" s="5">
        <v>1884</v>
      </c>
      <c r="BE176" s="5">
        <v>1886.85</v>
      </c>
      <c r="BF176" s="5">
        <v>1885</v>
      </c>
      <c r="BG176" s="5">
        <v>1883</v>
      </c>
      <c r="BH176" s="5">
        <v>1870</v>
      </c>
      <c r="BI176" s="5">
        <v>1876.8</v>
      </c>
      <c r="BJ176" s="5">
        <f t="shared" si="36"/>
        <v>1962</v>
      </c>
      <c r="BK176" t="str">
        <f t="shared" si="37"/>
        <v/>
      </c>
      <c r="BM176" t="s">
        <v>24</v>
      </c>
      <c r="BN176" t="s">
        <v>369</v>
      </c>
      <c r="BW176" s="5">
        <f t="shared" si="38"/>
        <v>1962</v>
      </c>
      <c r="BX176" t="str">
        <f t="shared" si="41"/>
        <v/>
      </c>
      <c r="BZ176" t="str">
        <f t="shared" si="28"/>
        <v/>
      </c>
    </row>
    <row r="177" spans="2:78" x14ac:dyDescent="0.3">
      <c r="B177" s="28">
        <v>9682.4</v>
      </c>
      <c r="C177" s="28">
        <v>10907.05</v>
      </c>
      <c r="D177" s="28">
        <v>8923.9500000000007</v>
      </c>
      <c r="E177" s="30">
        <v>9915.5</v>
      </c>
      <c r="F177" s="11">
        <f t="shared" si="39"/>
        <v>9653.3527999999988</v>
      </c>
      <c r="G177" s="11">
        <f t="shared" si="40"/>
        <v>0</v>
      </c>
      <c r="H177" s="36"/>
      <c r="I177" s="28">
        <v>10907.05</v>
      </c>
      <c r="J177" s="28">
        <v>8923.9500000000007</v>
      </c>
      <c r="K177" s="30">
        <v>9915.5</v>
      </c>
      <c r="L177" s="10">
        <v>1</v>
      </c>
      <c r="M177" s="12" t="str">
        <f>IFERROR(IF(AND(#REF!="sell",B177&gt;=AI177),"sell",""),"")</f>
        <v/>
      </c>
      <c r="S177" t="str">
        <f>IFERROR(IF(AND(#REF!="sell",C177&gt;=#REF!),"sell",""),"")</f>
        <v/>
      </c>
      <c r="W177" s="40" t="str">
        <f t="shared" si="29"/>
        <v/>
      </c>
      <c r="X177" s="12" t="str">
        <f>IF(S177="sell",#REF!-E177,"")</f>
        <v/>
      </c>
      <c r="AA177" s="12" t="s">
        <v>371</v>
      </c>
      <c r="AB177" s="12">
        <v>9876.0499999999993</v>
      </c>
      <c r="AC177">
        <v>9866.125</v>
      </c>
      <c r="AD177" s="12">
        <v>9860.7000000000007</v>
      </c>
      <c r="AE177" s="12">
        <v>9854.9750000000004</v>
      </c>
      <c r="AF177" s="12">
        <f t="shared" si="30"/>
        <v>9915.5</v>
      </c>
      <c r="AG177" s="12">
        <f t="shared" si="31"/>
        <v>21.564156603029776</v>
      </c>
      <c r="AH177" s="12">
        <f t="shared" si="32"/>
        <v>9874.67</v>
      </c>
      <c r="AI177" s="12">
        <f t="shared" si="33"/>
        <v>9917.7983132060599</v>
      </c>
      <c r="AJ177" s="12">
        <f t="shared" si="34"/>
        <v>9831.5416867939402</v>
      </c>
      <c r="AK177" t="str">
        <f t="shared" si="35"/>
        <v/>
      </c>
      <c r="BA177" t="s">
        <v>371</v>
      </c>
      <c r="BB177" s="5">
        <v>9950</v>
      </c>
      <c r="BC177" s="5">
        <v>10199.85</v>
      </c>
      <c r="BD177" s="5">
        <v>10369</v>
      </c>
      <c r="BE177" s="5">
        <v>10353.950000000001</v>
      </c>
      <c r="BF177" s="5">
        <v>10365.85</v>
      </c>
      <c r="BG177" s="5">
        <v>10177.950000000001</v>
      </c>
      <c r="BH177" s="5">
        <v>10025</v>
      </c>
      <c r="BI177" s="5">
        <v>10080</v>
      </c>
      <c r="BJ177" s="5">
        <f t="shared" si="36"/>
        <v>10907.05</v>
      </c>
      <c r="BK177" t="str">
        <f t="shared" si="37"/>
        <v/>
      </c>
      <c r="BM177" t="s">
        <v>24</v>
      </c>
      <c r="BN177" t="s">
        <v>371</v>
      </c>
      <c r="BO177">
        <v>9993.7998000000007</v>
      </c>
      <c r="BP177">
        <v>9617.9004000000004</v>
      </c>
      <c r="BQ177">
        <v>9777</v>
      </c>
      <c r="BR177">
        <v>10180</v>
      </c>
      <c r="BS177">
        <v>9948</v>
      </c>
      <c r="BT177">
        <v>9948</v>
      </c>
      <c r="BU177">
        <v>10369</v>
      </c>
      <c r="BV177">
        <v>10365.85</v>
      </c>
      <c r="BW177" s="5">
        <f t="shared" si="38"/>
        <v>10907.05</v>
      </c>
      <c r="BX177" t="str">
        <f t="shared" si="41"/>
        <v/>
      </c>
      <c r="BZ177" t="str">
        <f t="shared" si="28"/>
        <v/>
      </c>
    </row>
    <row r="178" spans="2:78" x14ac:dyDescent="0.3">
      <c r="B178" s="28">
        <v>502.8</v>
      </c>
      <c r="C178" s="28">
        <v>555</v>
      </c>
      <c r="D178" s="28">
        <v>457.95</v>
      </c>
      <c r="E178" s="30">
        <v>508.8</v>
      </c>
      <c r="F178" s="11">
        <f t="shared" si="39"/>
        <v>501.29160000000002</v>
      </c>
      <c r="G178" s="11">
        <f t="shared" si="40"/>
        <v>0</v>
      </c>
      <c r="H178" s="36"/>
      <c r="I178" s="28">
        <v>555</v>
      </c>
      <c r="J178" s="28">
        <v>457.95</v>
      </c>
      <c r="K178" s="30">
        <v>508.8</v>
      </c>
      <c r="L178" s="10">
        <v>1</v>
      </c>
      <c r="M178" s="12" t="str">
        <f>IFERROR(IF(AND(#REF!="sell",B178&gt;=AI178),"sell",""),"")</f>
        <v/>
      </c>
      <c r="S178" t="str">
        <f>IFERROR(IF(AND(#REF!="sell",C178&gt;=#REF!),"sell",""),"")</f>
        <v/>
      </c>
      <c r="W178" s="40" t="str">
        <f t="shared" si="29"/>
        <v/>
      </c>
      <c r="X178" s="12" t="str">
        <f>IF(S178="sell",#REF!-E178,"")</f>
        <v/>
      </c>
      <c r="AA178" s="12" t="s">
        <v>373</v>
      </c>
      <c r="AB178" s="12">
        <v>506.32499999999999</v>
      </c>
      <c r="AC178">
        <v>505.47500000000002</v>
      </c>
      <c r="AD178" s="12">
        <v>505.9</v>
      </c>
      <c r="AE178" s="12">
        <v>506.75</v>
      </c>
      <c r="AF178" s="12">
        <f t="shared" si="30"/>
        <v>506.47500000000002</v>
      </c>
      <c r="AG178" s="12">
        <f t="shared" si="31"/>
        <v>0.44905456238635205</v>
      </c>
      <c r="AH178" s="12">
        <f t="shared" si="32"/>
        <v>506.18499999999995</v>
      </c>
      <c r="AI178" s="12">
        <f t="shared" si="33"/>
        <v>507.08310912477265</v>
      </c>
      <c r="AJ178" s="12">
        <f t="shared" si="34"/>
        <v>505.28689087522724</v>
      </c>
      <c r="AK178" t="str">
        <f t="shared" si="35"/>
        <v/>
      </c>
      <c r="BA178" t="s">
        <v>373</v>
      </c>
      <c r="BB178" s="5">
        <v>522.04998999999998</v>
      </c>
      <c r="BC178" s="5">
        <v>517.70001000000002</v>
      </c>
      <c r="BD178" s="5">
        <v>522</v>
      </c>
      <c r="BE178" s="5">
        <v>529.65002000000004</v>
      </c>
      <c r="BF178" s="5">
        <v>529</v>
      </c>
      <c r="BG178" s="5">
        <v>522.59997999999996</v>
      </c>
      <c r="BH178" s="5">
        <v>518.34997999999996</v>
      </c>
      <c r="BI178" s="5">
        <v>517.90002000000004</v>
      </c>
      <c r="BJ178" s="5">
        <f t="shared" si="36"/>
        <v>555</v>
      </c>
      <c r="BK178" t="str">
        <f t="shared" si="37"/>
        <v/>
      </c>
      <c r="BM178" t="s">
        <v>24</v>
      </c>
      <c r="BN178" t="s">
        <v>373</v>
      </c>
      <c r="BO178">
        <v>511.10001</v>
      </c>
      <c r="BP178">
        <v>499.54998999999998</v>
      </c>
      <c r="BQ178">
        <v>513.90002000000004</v>
      </c>
      <c r="BR178">
        <v>513.70001000000002</v>
      </c>
      <c r="BS178">
        <v>505</v>
      </c>
      <c r="BT178">
        <v>540</v>
      </c>
      <c r="BU178">
        <v>522.04998999999998</v>
      </c>
      <c r="BV178">
        <v>529.65002000000004</v>
      </c>
      <c r="BW178" s="5">
        <f t="shared" si="38"/>
        <v>555</v>
      </c>
      <c r="BX178" t="str">
        <f t="shared" si="41"/>
        <v/>
      </c>
      <c r="BZ178" t="str">
        <f t="shared" si="28"/>
        <v/>
      </c>
    </row>
    <row r="179" spans="2:78" x14ac:dyDescent="0.3">
      <c r="B179" s="28">
        <v>450</v>
      </c>
      <c r="C179" s="28">
        <v>517.5</v>
      </c>
      <c r="D179" s="28">
        <v>405.5</v>
      </c>
      <c r="E179" s="30">
        <v>450</v>
      </c>
      <c r="F179" s="11">
        <f t="shared" si="39"/>
        <v>448.65</v>
      </c>
      <c r="G179" s="11">
        <f t="shared" si="40"/>
        <v>0</v>
      </c>
      <c r="H179" s="36"/>
      <c r="I179" s="28">
        <v>517.5</v>
      </c>
      <c r="J179" s="28">
        <v>405.5</v>
      </c>
      <c r="K179" s="30">
        <v>450</v>
      </c>
      <c r="L179" s="10">
        <v>1</v>
      </c>
      <c r="M179" s="12" t="str">
        <f>IFERROR(IF(AND(#REF!="sell",B179&gt;=AI179),"sell",""),"")</f>
        <v/>
      </c>
      <c r="S179" t="str">
        <f>IFERROR(IF(AND(#REF!="sell",C179&gt;=#REF!),"sell",""),"")</f>
        <v/>
      </c>
      <c r="W179" s="40" t="str">
        <f t="shared" si="29"/>
        <v/>
      </c>
      <c r="X179" s="12" t="str">
        <f>IF(S179="sell",#REF!-E179,"")</f>
        <v/>
      </c>
      <c r="AA179" s="12" t="s">
        <v>375</v>
      </c>
      <c r="AB179" s="12">
        <v>440.27499999999998</v>
      </c>
      <c r="AC179">
        <v>440.125</v>
      </c>
      <c r="AD179" s="12">
        <v>441.22500000000002</v>
      </c>
      <c r="AE179" s="12">
        <v>442.85</v>
      </c>
      <c r="AF179" s="12">
        <f t="shared" si="30"/>
        <v>461.5</v>
      </c>
      <c r="AG179" s="12">
        <f t="shared" si="31"/>
        <v>8.2100456758778133</v>
      </c>
      <c r="AH179" s="12">
        <f t="shared" si="32"/>
        <v>445.19499999999999</v>
      </c>
      <c r="AI179" s="12">
        <f t="shared" si="33"/>
        <v>461.61509135175561</v>
      </c>
      <c r="AJ179" s="12">
        <f t="shared" si="34"/>
        <v>428.77490864824438</v>
      </c>
      <c r="AK179" t="str">
        <f t="shared" si="35"/>
        <v/>
      </c>
      <c r="BA179" t="s">
        <v>375</v>
      </c>
      <c r="BB179" s="5">
        <v>506.75</v>
      </c>
      <c r="BC179" s="5">
        <v>480.10001</v>
      </c>
      <c r="BD179" s="5">
        <v>470</v>
      </c>
      <c r="BE179" s="5">
        <v>468.5</v>
      </c>
      <c r="BF179" s="5">
        <v>471.89999</v>
      </c>
      <c r="BG179" s="5">
        <v>462.29998999999998</v>
      </c>
      <c r="BH179" s="5">
        <v>458</v>
      </c>
      <c r="BI179" s="5">
        <v>455.85001</v>
      </c>
      <c r="BJ179" s="5">
        <f t="shared" si="36"/>
        <v>517.5</v>
      </c>
      <c r="BK179" t="str">
        <f t="shared" si="37"/>
        <v/>
      </c>
      <c r="BM179" t="s">
        <v>24</v>
      </c>
      <c r="BN179" t="s">
        <v>375</v>
      </c>
      <c r="BO179">
        <v>374.89999</v>
      </c>
      <c r="BP179">
        <v>396.75</v>
      </c>
      <c r="BQ179">
        <v>402.95001000000002</v>
      </c>
      <c r="BR179">
        <v>420</v>
      </c>
      <c r="BS179">
        <v>418.70001000000002</v>
      </c>
      <c r="BT179">
        <v>461.45001000000002</v>
      </c>
      <c r="BU179">
        <v>506.75</v>
      </c>
      <c r="BV179">
        <v>471.89999</v>
      </c>
      <c r="BW179" s="5">
        <f t="shared" si="38"/>
        <v>517.5</v>
      </c>
      <c r="BX179" t="str">
        <f t="shared" si="41"/>
        <v/>
      </c>
      <c r="BZ179" t="str">
        <f t="shared" si="28"/>
        <v/>
      </c>
    </row>
    <row r="180" spans="2:78" x14ac:dyDescent="0.3">
      <c r="B180" s="28">
        <v>1291.75</v>
      </c>
      <c r="C180" s="28">
        <v>1385.95</v>
      </c>
      <c r="D180" s="28">
        <v>1223.75</v>
      </c>
      <c r="E180" s="30">
        <v>1359.7</v>
      </c>
      <c r="F180" s="11">
        <f t="shared" si="39"/>
        <v>1287.8747499999999</v>
      </c>
      <c r="G180" s="11">
        <f t="shared" si="40"/>
        <v>0</v>
      </c>
      <c r="H180" s="36"/>
      <c r="I180" s="28">
        <v>1385.95</v>
      </c>
      <c r="J180" s="28">
        <v>1223.75</v>
      </c>
      <c r="K180" s="30">
        <v>1359.7</v>
      </c>
      <c r="L180" s="10">
        <v>1</v>
      </c>
      <c r="M180" s="12" t="str">
        <f>IFERROR(IF(AND(#REF!="sell",B180&gt;=AI180),"sell",""),"")</f>
        <v/>
      </c>
      <c r="S180" t="str">
        <f>IFERROR(IF(AND(#REF!="sell",C180&gt;=#REF!),"sell",""),"")</f>
        <v/>
      </c>
      <c r="W180" s="40" t="str">
        <f t="shared" si="29"/>
        <v/>
      </c>
      <c r="X180" s="12" t="str">
        <f>IF(S180="sell",#REF!-E180,"")</f>
        <v/>
      </c>
      <c r="AA180" s="12" t="s">
        <v>377</v>
      </c>
      <c r="AB180" s="12">
        <v>1349.85</v>
      </c>
      <c r="AC180">
        <v>1348.2</v>
      </c>
      <c r="AD180" s="12">
        <v>1348.65</v>
      </c>
      <c r="AE180" s="12">
        <v>1353.2750000000001</v>
      </c>
      <c r="AF180" s="12">
        <f t="shared" si="30"/>
        <v>1304.8499999999999</v>
      </c>
      <c r="AG180" s="12">
        <f t="shared" si="31"/>
        <v>18.144844997960217</v>
      </c>
      <c r="AH180" s="12">
        <f t="shared" si="32"/>
        <v>1340.9650000000001</v>
      </c>
      <c r="AI180" s="12">
        <f t="shared" si="33"/>
        <v>1377.2546899959207</v>
      </c>
      <c r="AJ180" s="12">
        <f t="shared" si="34"/>
        <v>1304.6753100040796</v>
      </c>
      <c r="AK180" t="str">
        <f t="shared" si="35"/>
        <v/>
      </c>
      <c r="BA180" t="s">
        <v>377</v>
      </c>
      <c r="BB180" s="5">
        <v>1307</v>
      </c>
      <c r="BC180" s="5">
        <v>1351.75</v>
      </c>
      <c r="BD180" s="5">
        <v>1382.45</v>
      </c>
      <c r="BE180" s="5">
        <v>1437.85</v>
      </c>
      <c r="BF180" s="5">
        <v>1428.95</v>
      </c>
      <c r="BG180" s="5">
        <v>1409.3</v>
      </c>
      <c r="BH180" s="5">
        <v>1375.3</v>
      </c>
      <c r="BI180" s="5">
        <v>1386.75</v>
      </c>
      <c r="BJ180" s="5">
        <f t="shared" si="36"/>
        <v>1385.95</v>
      </c>
      <c r="BK180" t="str">
        <f t="shared" si="37"/>
        <v/>
      </c>
      <c r="BM180" t="s">
        <v>24</v>
      </c>
      <c r="BN180" t="s">
        <v>377</v>
      </c>
      <c r="BO180">
        <v>1392</v>
      </c>
      <c r="BP180">
        <v>1315</v>
      </c>
      <c r="BQ180">
        <v>1461</v>
      </c>
      <c r="BR180">
        <v>1501</v>
      </c>
      <c r="BS180">
        <v>1502.3</v>
      </c>
      <c r="BT180">
        <v>1328.5</v>
      </c>
      <c r="BU180">
        <v>1382.45</v>
      </c>
      <c r="BV180">
        <v>1437.85</v>
      </c>
      <c r="BW180" s="5">
        <f t="shared" si="38"/>
        <v>1437.85</v>
      </c>
      <c r="BX180" t="str">
        <f t="shared" si="41"/>
        <v/>
      </c>
      <c r="BZ180" t="str">
        <f t="shared" si="28"/>
        <v/>
      </c>
    </row>
    <row r="181" spans="2:78" x14ac:dyDescent="0.3">
      <c r="B181" s="28">
        <v>430.25</v>
      </c>
      <c r="C181" s="28">
        <v>482</v>
      </c>
      <c r="D181" s="28">
        <v>372.5</v>
      </c>
      <c r="E181" s="30">
        <v>438.2</v>
      </c>
      <c r="F181" s="11">
        <f t="shared" si="39"/>
        <v>428.95925</v>
      </c>
      <c r="G181" s="11">
        <f t="shared" si="40"/>
        <v>0</v>
      </c>
      <c r="H181" s="36"/>
      <c r="I181" s="28">
        <v>482</v>
      </c>
      <c r="J181" s="28">
        <v>372.5</v>
      </c>
      <c r="K181" s="30">
        <v>438.2</v>
      </c>
      <c r="L181" s="10">
        <v>1</v>
      </c>
      <c r="M181" s="12" t="str">
        <f>IFERROR(IF(AND(#REF!="sell",B181&gt;=AI181),"sell",""),"")</f>
        <v/>
      </c>
      <c r="S181" t="str">
        <f>IFERROR(IF(AND(#REF!="sell",C181&gt;=#REF!),"sell",""),"")</f>
        <v/>
      </c>
      <c r="W181" s="40" t="str">
        <f t="shared" si="29"/>
        <v/>
      </c>
      <c r="X181" s="12" t="str">
        <f>IF(S181="sell",#REF!-E181,"")</f>
        <v/>
      </c>
      <c r="AA181" s="12" t="s">
        <v>379</v>
      </c>
      <c r="AB181" s="12">
        <v>436.82499999999999</v>
      </c>
      <c r="AC181">
        <v>436.9</v>
      </c>
      <c r="AD181" s="12">
        <v>436.45</v>
      </c>
      <c r="AE181" s="12">
        <v>437.32500000000005</v>
      </c>
      <c r="AF181" s="12">
        <f t="shared" si="30"/>
        <v>427.25</v>
      </c>
      <c r="AG181" s="12">
        <f t="shared" si="31"/>
        <v>3.8600194300029123</v>
      </c>
      <c r="AH181" s="12">
        <f t="shared" si="32"/>
        <v>434.95</v>
      </c>
      <c r="AI181" s="12">
        <f t="shared" si="33"/>
        <v>442.67003886000583</v>
      </c>
      <c r="AJ181" s="12">
        <f t="shared" si="34"/>
        <v>427.22996113999415</v>
      </c>
      <c r="AK181" t="str">
        <f t="shared" si="35"/>
        <v/>
      </c>
      <c r="BA181" t="s">
        <v>379</v>
      </c>
      <c r="BB181" s="5">
        <v>463.45001000000002</v>
      </c>
      <c r="BC181" s="5">
        <v>468</v>
      </c>
      <c r="BD181" s="5">
        <v>470.5</v>
      </c>
      <c r="BE181" s="5">
        <v>462.14999</v>
      </c>
      <c r="BF181" s="5">
        <v>457.25</v>
      </c>
      <c r="BG181" s="5">
        <v>455.5</v>
      </c>
      <c r="BH181" s="5">
        <v>449.5</v>
      </c>
      <c r="BI181" s="5">
        <v>442.14999</v>
      </c>
      <c r="BJ181" s="5">
        <f t="shared" si="36"/>
        <v>482</v>
      </c>
      <c r="BK181" t="str">
        <f t="shared" si="37"/>
        <v/>
      </c>
      <c r="BM181" t="s">
        <v>24</v>
      </c>
      <c r="BN181" t="s">
        <v>379</v>
      </c>
      <c r="BO181">
        <v>491.60001</v>
      </c>
      <c r="BP181">
        <v>468.35001</v>
      </c>
      <c r="BQ181">
        <v>475.79998999999998</v>
      </c>
      <c r="BR181">
        <v>468</v>
      </c>
      <c r="BS181">
        <v>466.39999</v>
      </c>
      <c r="BT181">
        <v>467.5</v>
      </c>
      <c r="BU181">
        <v>470.5</v>
      </c>
      <c r="BV181">
        <v>462.14999</v>
      </c>
      <c r="BW181" s="5">
        <f t="shared" si="38"/>
        <v>482</v>
      </c>
      <c r="BX181" t="str">
        <f t="shared" si="41"/>
        <v/>
      </c>
      <c r="BZ181" t="str">
        <f t="shared" si="28"/>
        <v/>
      </c>
    </row>
    <row r="182" spans="2:78" x14ac:dyDescent="0.3">
      <c r="B182" s="28">
        <v>140</v>
      </c>
      <c r="C182" s="28">
        <v>163.75</v>
      </c>
      <c r="D182" s="28">
        <v>134.55000000000001</v>
      </c>
      <c r="E182" s="30">
        <v>148.9</v>
      </c>
      <c r="F182" s="11">
        <f t="shared" si="39"/>
        <v>139.58000000000001</v>
      </c>
      <c r="G182" s="11">
        <f t="shared" si="40"/>
        <v>0</v>
      </c>
      <c r="H182" s="36"/>
      <c r="I182" s="28">
        <v>163.75</v>
      </c>
      <c r="J182" s="28">
        <v>134.55000000000001</v>
      </c>
      <c r="K182" s="30">
        <v>148.9</v>
      </c>
      <c r="L182" s="10">
        <v>1</v>
      </c>
      <c r="M182" s="12" t="str">
        <f>IFERROR(IF(AND(#REF!="sell",B182&gt;=AI182),"sell",""),"")</f>
        <v/>
      </c>
      <c r="S182" t="str">
        <f>IFERROR(IF(AND(#REF!="sell",C182&gt;=#REF!),"sell",""),"")</f>
        <v/>
      </c>
      <c r="W182" s="40" t="str">
        <f t="shared" si="29"/>
        <v/>
      </c>
      <c r="X182" s="12" t="str">
        <f>IF(S182="sell",#REF!-E182,"")</f>
        <v/>
      </c>
      <c r="AA182" s="12" t="s">
        <v>381</v>
      </c>
      <c r="AB182" s="12">
        <v>151.89999999999998</v>
      </c>
      <c r="AC182">
        <v>151.42500000000001</v>
      </c>
      <c r="AD182" s="12">
        <v>151.92500000000001</v>
      </c>
      <c r="AE182" s="12">
        <v>152.19999999999999</v>
      </c>
      <c r="AF182" s="12">
        <f t="shared" si="30"/>
        <v>149.15</v>
      </c>
      <c r="AG182" s="12">
        <f t="shared" si="31"/>
        <v>1.1132609756925771</v>
      </c>
      <c r="AH182" s="12">
        <f t="shared" si="32"/>
        <v>151.32</v>
      </c>
      <c r="AI182" s="12">
        <f t="shared" si="33"/>
        <v>153.54652195138516</v>
      </c>
      <c r="AJ182" s="12">
        <f t="shared" si="34"/>
        <v>149.09347804861483</v>
      </c>
      <c r="AK182" t="str">
        <f t="shared" si="35"/>
        <v/>
      </c>
      <c r="BA182" t="s">
        <v>381</v>
      </c>
      <c r="BB182" s="5">
        <v>151.80000000000001</v>
      </c>
      <c r="BC182" s="5">
        <v>152.5</v>
      </c>
      <c r="BD182" s="5">
        <v>152.94999999999999</v>
      </c>
      <c r="BE182" s="5">
        <v>152.80000000000001</v>
      </c>
      <c r="BF182" s="5">
        <v>152.80000000000001</v>
      </c>
      <c r="BG182" s="5">
        <v>154.5</v>
      </c>
      <c r="BH182" s="5">
        <v>156</v>
      </c>
      <c r="BI182" s="5">
        <v>154.25</v>
      </c>
      <c r="BJ182" s="5">
        <f t="shared" si="36"/>
        <v>163.75</v>
      </c>
      <c r="BK182" t="str">
        <f t="shared" si="37"/>
        <v/>
      </c>
      <c r="BM182" t="s">
        <v>33</v>
      </c>
      <c r="BN182" t="s">
        <v>381</v>
      </c>
      <c r="BO182">
        <v>154.89999</v>
      </c>
      <c r="BP182">
        <v>149.75</v>
      </c>
      <c r="BQ182">
        <v>149</v>
      </c>
      <c r="BR182">
        <v>152.64999</v>
      </c>
      <c r="BS182">
        <v>145.19999999999999</v>
      </c>
      <c r="BT182">
        <v>141.64999</v>
      </c>
      <c r="BU182">
        <v>152.94999999999999</v>
      </c>
      <c r="BV182">
        <v>156</v>
      </c>
      <c r="BW182" s="5">
        <f t="shared" si="38"/>
        <v>163.75</v>
      </c>
      <c r="BX182" t="str">
        <f t="shared" si="41"/>
        <v/>
      </c>
      <c r="BZ182" t="str">
        <f t="shared" si="28"/>
        <v/>
      </c>
    </row>
    <row r="183" spans="2:78" x14ac:dyDescent="0.3">
      <c r="B183" s="28">
        <v>975</v>
      </c>
      <c r="C183" s="28">
        <v>1090</v>
      </c>
      <c r="D183" s="28">
        <v>921.55</v>
      </c>
      <c r="E183" s="30">
        <v>1000.15</v>
      </c>
      <c r="F183" s="11">
        <f t="shared" si="39"/>
        <v>972.07500000000005</v>
      </c>
      <c r="G183" s="11">
        <f t="shared" si="40"/>
        <v>0</v>
      </c>
      <c r="H183" s="36"/>
      <c r="I183" s="28">
        <v>1090</v>
      </c>
      <c r="J183" s="28">
        <v>921.55</v>
      </c>
      <c r="K183" s="30">
        <v>1000.15</v>
      </c>
      <c r="L183" s="10">
        <v>1</v>
      </c>
      <c r="M183" s="12" t="str">
        <f>IFERROR(IF(AND(#REF!="sell",B183&gt;=AI183),"sell",""),"")</f>
        <v/>
      </c>
      <c r="S183" t="str">
        <f>IFERROR(IF(AND(#REF!="sell",C183&gt;=#REF!),"sell",""),"")</f>
        <v/>
      </c>
      <c r="W183" s="40" t="str">
        <f t="shared" si="29"/>
        <v/>
      </c>
      <c r="X183" s="12" t="str">
        <f>IF(S183="sell",#REF!-E183,"")</f>
        <v/>
      </c>
      <c r="AA183" s="12" t="s">
        <v>383</v>
      </c>
      <c r="AB183" s="12">
        <v>1024.5</v>
      </c>
      <c r="AC183">
        <v>1022.15</v>
      </c>
      <c r="AD183" s="12">
        <v>1023.35</v>
      </c>
      <c r="AE183" s="12">
        <v>1026.075</v>
      </c>
      <c r="AF183" s="12">
        <f t="shared" si="30"/>
        <v>1005.775</v>
      </c>
      <c r="AG183" s="12">
        <f t="shared" si="31"/>
        <v>7.4117035828478901</v>
      </c>
      <c r="AH183" s="12">
        <f t="shared" si="32"/>
        <v>1020.3699999999999</v>
      </c>
      <c r="AI183" s="12">
        <f t="shared" si="33"/>
        <v>1035.1934071656956</v>
      </c>
      <c r="AJ183" s="12">
        <f t="shared" si="34"/>
        <v>1005.5465928343041</v>
      </c>
      <c r="AK183" t="str">
        <f t="shared" si="35"/>
        <v/>
      </c>
      <c r="BA183" t="s">
        <v>383</v>
      </c>
      <c r="BB183" s="5">
        <v>1096.55</v>
      </c>
      <c r="BC183" s="5">
        <v>1105</v>
      </c>
      <c r="BD183" s="5">
        <v>1096.5</v>
      </c>
      <c r="BE183" s="5">
        <v>1086</v>
      </c>
      <c r="BF183" s="5">
        <v>1067.75</v>
      </c>
      <c r="BG183" s="5">
        <v>1050.8499999999999</v>
      </c>
      <c r="BH183" s="5">
        <v>1046.45</v>
      </c>
      <c r="BI183" s="5">
        <v>1036.6500000000001</v>
      </c>
      <c r="BJ183" s="5">
        <f t="shared" si="36"/>
        <v>1090</v>
      </c>
      <c r="BM183" t="s">
        <v>24</v>
      </c>
      <c r="BN183" t="s">
        <v>383</v>
      </c>
      <c r="BO183">
        <v>1013.55</v>
      </c>
      <c r="BP183">
        <v>971.5</v>
      </c>
      <c r="BQ183">
        <v>968.04998999999998</v>
      </c>
      <c r="BR183">
        <v>999.75</v>
      </c>
      <c r="BS183">
        <v>1033</v>
      </c>
      <c r="BT183">
        <v>1103.95</v>
      </c>
      <c r="BU183">
        <v>1172.5</v>
      </c>
      <c r="BV183">
        <v>1086</v>
      </c>
      <c r="BW183" s="5">
        <f t="shared" si="38"/>
        <v>1090</v>
      </c>
      <c r="BX183" t="str">
        <f t="shared" si="41"/>
        <v>Pivot sell</v>
      </c>
      <c r="BZ183" t="str">
        <f>IF(AND(BK183="Pivot sell",BX183="Pivot sell"), "ok", "")</f>
        <v/>
      </c>
    </row>
    <row r="184" spans="2:78" x14ac:dyDescent="0.3">
      <c r="H184" s="36"/>
      <c r="I184" s="28"/>
      <c r="J184" s="28"/>
      <c r="K184" s="30"/>
      <c r="M184" s="12"/>
      <c r="AG184" s="12" t="e">
        <f t="shared" si="31"/>
        <v>#DIV/0!</v>
      </c>
      <c r="AH184" s="12" t="e">
        <f t="shared" si="32"/>
        <v>#DIV/0!</v>
      </c>
      <c r="AI184" s="12" t="e">
        <f t="shared" si="33"/>
        <v>#DIV/0!</v>
      </c>
      <c r="AJ184" s="12" t="e">
        <f t="shared" si="34"/>
        <v>#DIV/0!</v>
      </c>
      <c r="AK184" t="e">
        <f t="shared" si="35"/>
        <v>#DIV/0!</v>
      </c>
      <c r="BK184" t="str">
        <f t="shared" si="37"/>
        <v/>
      </c>
      <c r="BM184" t="s">
        <v>24</v>
      </c>
      <c r="BW184" s="5">
        <f t="shared" si="38"/>
        <v>0</v>
      </c>
      <c r="BX184" t="str">
        <f t="shared" si="41"/>
        <v/>
      </c>
      <c r="BZ184" t="str">
        <f>IFERROR(IF(BX184=BK184,ok,""),"")</f>
        <v/>
      </c>
    </row>
    <row r="185" spans="2:78" x14ac:dyDescent="0.3">
      <c r="H185" s="36"/>
      <c r="I185" s="28"/>
      <c r="J185" s="28"/>
      <c r="K185" s="30"/>
      <c r="M185" s="12"/>
      <c r="AI185" s="12"/>
    </row>
    <row r="186" spans="2:78" x14ac:dyDescent="0.3">
      <c r="H186" s="36"/>
      <c r="I186" s="28"/>
      <c r="J186" s="28"/>
      <c r="K186" s="30"/>
      <c r="M186" s="12"/>
      <c r="AI186" s="12"/>
    </row>
    <row r="187" spans="2:78" x14ac:dyDescent="0.3">
      <c r="I187" s="28"/>
      <c r="J187" s="28"/>
      <c r="K187" s="30"/>
      <c r="M187" s="12"/>
      <c r="AI187" s="12"/>
    </row>
    <row r="188" spans="2:78" x14ac:dyDescent="0.3">
      <c r="I188" s="28"/>
      <c r="J188" s="28"/>
      <c r="K188" s="30"/>
      <c r="AI188" s="12"/>
    </row>
    <row r="189" spans="2:78" x14ac:dyDescent="0.3">
      <c r="I189" s="28"/>
      <c r="J189" s="28"/>
      <c r="K189" s="30"/>
      <c r="AI189" s="12"/>
    </row>
    <row r="190" spans="2:78" x14ac:dyDescent="0.3">
      <c r="I190" s="28"/>
      <c r="J190" s="28"/>
      <c r="K190" s="30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CE2D5-4927-4225-9160-A26C22F7C422}">
  <sheetPr codeName="Sheet5">
    <tabColor rgb="FF7030A0"/>
  </sheetPr>
  <dimension ref="A1:S18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6" sqref="F16"/>
    </sheetView>
  </sheetViews>
  <sheetFormatPr defaultRowHeight="14.4" x14ac:dyDescent="0.3"/>
  <cols>
    <col min="1" max="1" width="14.88671875" customWidth="1"/>
    <col min="2" max="2" width="16.5546875" customWidth="1"/>
    <col min="3" max="6" width="9.109375" style="13"/>
    <col min="7" max="7" width="8" style="13" customWidth="1"/>
    <col min="8" max="17" width="9.109375" style="13"/>
    <col min="18" max="18" width="7.44140625" style="13" customWidth="1"/>
  </cols>
  <sheetData>
    <row r="1" spans="1:19" x14ac:dyDescent="0.3">
      <c r="A1" t="s">
        <v>384</v>
      </c>
      <c r="B1" t="s">
        <v>385</v>
      </c>
      <c r="C1" s="13" t="s">
        <v>386</v>
      </c>
      <c r="D1" s="13" t="s">
        <v>387</v>
      </c>
      <c r="E1" s="13" t="s">
        <v>388</v>
      </c>
      <c r="F1" s="13" t="s">
        <v>389</v>
      </c>
      <c r="G1" s="13" t="s">
        <v>390</v>
      </c>
      <c r="H1" s="13" t="s">
        <v>391</v>
      </c>
      <c r="I1" s="13" t="s">
        <v>392</v>
      </c>
      <c r="J1" s="13" t="s">
        <v>393</v>
      </c>
      <c r="K1" s="13" t="s">
        <v>394</v>
      </c>
      <c r="L1" s="13" t="s">
        <v>395</v>
      </c>
      <c r="M1" s="13" t="s">
        <v>396</v>
      </c>
      <c r="N1" s="13" t="s">
        <v>397</v>
      </c>
      <c r="O1" s="13" t="s">
        <v>398</v>
      </c>
      <c r="P1" s="13" t="s">
        <v>399</v>
      </c>
      <c r="Q1" s="13" t="s">
        <v>400</v>
      </c>
      <c r="R1" s="13" t="s">
        <v>401</v>
      </c>
      <c r="S1" t="s">
        <v>402</v>
      </c>
    </row>
    <row r="2" spans="1:19" x14ac:dyDescent="0.3">
      <c r="A2" s="54">
        <v>45442.385416666664</v>
      </c>
      <c r="B2" t="s">
        <v>403</v>
      </c>
      <c r="C2" s="13">
        <v>627.95001000000002</v>
      </c>
      <c r="D2" s="13">
        <v>627.95001000000002</v>
      </c>
      <c r="E2" s="13">
        <v>608.95001000000002</v>
      </c>
      <c r="F2" s="13">
        <v>611.04998999999998</v>
      </c>
      <c r="G2" s="13">
        <v>937460</v>
      </c>
      <c r="H2" s="13">
        <v>635.72</v>
      </c>
      <c r="I2" s="13">
        <v>611.04999999999995</v>
      </c>
      <c r="K2" s="13">
        <v>620.7215419545455</v>
      </c>
      <c r="L2" s="13">
        <v>616.73266191111122</v>
      </c>
      <c r="N2" s="13" t="s">
        <v>404</v>
      </c>
      <c r="O2" s="13" t="s">
        <v>405</v>
      </c>
      <c r="P2" s="13">
        <v>619.08000000000004</v>
      </c>
      <c r="Q2" s="13" t="s">
        <v>406</v>
      </c>
      <c r="S2" t="s">
        <v>402</v>
      </c>
    </row>
    <row r="3" spans="1:19" x14ac:dyDescent="0.3">
      <c r="A3" s="54">
        <v>45442.385416666664</v>
      </c>
      <c r="B3" t="s">
        <v>407</v>
      </c>
      <c r="C3" s="13">
        <v>8142.2997999999998</v>
      </c>
      <c r="D3" s="13">
        <v>8291.6504000000004</v>
      </c>
      <c r="E3" s="13">
        <v>8109.1499000000003</v>
      </c>
      <c r="F3" s="13">
        <v>8264.6504000000004</v>
      </c>
      <c r="G3" s="13">
        <v>319976</v>
      </c>
      <c r="H3" s="13">
        <v>8376.25</v>
      </c>
      <c r="I3" s="13">
        <v>8198.35</v>
      </c>
      <c r="J3" s="13" t="s">
        <v>408</v>
      </c>
      <c r="K3" s="13">
        <v>8234.0202169191925</v>
      </c>
      <c r="L3" s="13">
        <v>8206.7173004444448</v>
      </c>
      <c r="O3" s="13" t="s">
        <v>405</v>
      </c>
      <c r="P3" s="13">
        <v>8224.75</v>
      </c>
      <c r="Q3" s="13" t="s">
        <v>406</v>
      </c>
    </row>
    <row r="4" spans="1:19" x14ac:dyDescent="0.3">
      <c r="A4" s="54">
        <v>45442.385416666664</v>
      </c>
      <c r="B4" t="s">
        <v>409</v>
      </c>
      <c r="C4" s="13">
        <v>26200.050999999999</v>
      </c>
      <c r="D4" s="13">
        <v>26251</v>
      </c>
      <c r="E4" s="13">
        <v>25802.25</v>
      </c>
      <c r="F4" s="13">
        <v>25991</v>
      </c>
      <c r="G4" s="13">
        <v>13396</v>
      </c>
      <c r="H4" s="13">
        <v>26481.81</v>
      </c>
      <c r="I4" s="13">
        <v>25932.5</v>
      </c>
      <c r="J4" s="13" t="s">
        <v>408</v>
      </c>
      <c r="K4" s="13">
        <v>25989.197724242422</v>
      </c>
      <c r="L4" s="13">
        <v>26010.433666666668</v>
      </c>
      <c r="O4" s="13" t="s">
        <v>410</v>
      </c>
      <c r="P4" s="13">
        <v>26114.06</v>
      </c>
      <c r="Q4" s="13" t="s">
        <v>411</v>
      </c>
    </row>
    <row r="5" spans="1:19" x14ac:dyDescent="0.3">
      <c r="A5" s="54">
        <v>45442.385416666664</v>
      </c>
      <c r="B5" t="s">
        <v>412</v>
      </c>
      <c r="C5" s="13">
        <v>225</v>
      </c>
      <c r="D5" s="13">
        <v>226.7</v>
      </c>
      <c r="E5" s="13">
        <v>220.25</v>
      </c>
      <c r="F5" s="13">
        <v>221.3</v>
      </c>
      <c r="G5" s="13">
        <v>4694343</v>
      </c>
      <c r="H5" s="13">
        <v>228.55</v>
      </c>
      <c r="I5" s="13">
        <v>221.3</v>
      </c>
      <c r="J5" s="13" t="s">
        <v>408</v>
      </c>
      <c r="K5" s="13">
        <v>226.2012684646464</v>
      </c>
      <c r="L5" s="13">
        <v>223.09044782222222</v>
      </c>
      <c r="O5" s="13" t="s">
        <v>405</v>
      </c>
      <c r="P5" s="13">
        <v>224.65</v>
      </c>
      <c r="Q5" s="13" t="s">
        <v>406</v>
      </c>
    </row>
    <row r="6" spans="1:19" x14ac:dyDescent="0.3">
      <c r="A6" s="54">
        <v>45442.385416666664</v>
      </c>
      <c r="B6" t="s">
        <v>413</v>
      </c>
      <c r="C6" s="13">
        <v>299.29998999999998</v>
      </c>
      <c r="D6" s="13">
        <v>304.25</v>
      </c>
      <c r="E6" s="13">
        <v>289.04998999999998</v>
      </c>
      <c r="F6" s="13">
        <v>292.64999</v>
      </c>
      <c r="G6" s="13">
        <v>13928950</v>
      </c>
      <c r="H6" s="13">
        <v>299.3</v>
      </c>
      <c r="I6" s="13">
        <v>282.3</v>
      </c>
      <c r="J6" s="13" t="s">
        <v>408</v>
      </c>
      <c r="K6" s="13">
        <v>296.34959282828282</v>
      </c>
      <c r="L6" s="13">
        <v>295.63310337777773</v>
      </c>
      <c r="N6" s="13" t="s">
        <v>404</v>
      </c>
      <c r="O6" s="13" t="s">
        <v>405</v>
      </c>
      <c r="P6" s="13">
        <v>292.56</v>
      </c>
      <c r="Q6" s="13" t="s">
        <v>406</v>
      </c>
    </row>
    <row r="7" spans="1:19" x14ac:dyDescent="0.3">
      <c r="A7" s="54">
        <v>45442.385416666664</v>
      </c>
      <c r="B7" t="s">
        <v>414</v>
      </c>
      <c r="C7" s="13">
        <v>2528.75</v>
      </c>
      <c r="D7" s="13">
        <v>2545</v>
      </c>
      <c r="E7" s="13">
        <v>2485.0500000000002</v>
      </c>
      <c r="F7" s="13">
        <v>2496.9499999999998</v>
      </c>
      <c r="G7" s="13">
        <v>241520</v>
      </c>
      <c r="H7" s="13">
        <v>2573.42</v>
      </c>
      <c r="I7" s="13">
        <v>2496.9499999999998</v>
      </c>
      <c r="K7" s="13">
        <v>2559.2027107070712</v>
      </c>
      <c r="L7" s="13">
        <v>2506.1964542222217</v>
      </c>
      <c r="O7" s="13" t="s">
        <v>405</v>
      </c>
      <c r="P7" s="13">
        <v>2529.08</v>
      </c>
      <c r="Q7" s="13" t="s">
        <v>406</v>
      </c>
    </row>
    <row r="8" spans="1:19" x14ac:dyDescent="0.3">
      <c r="A8" s="54">
        <v>45442.385416666664</v>
      </c>
      <c r="B8" t="s">
        <v>415</v>
      </c>
      <c r="C8" s="13">
        <v>3254</v>
      </c>
      <c r="D8" s="13">
        <v>3274.3</v>
      </c>
      <c r="E8" s="13">
        <v>3174.5</v>
      </c>
      <c r="F8" s="13">
        <v>3194.25</v>
      </c>
      <c r="G8" s="13">
        <v>1990208</v>
      </c>
      <c r="H8" s="13">
        <v>3336.18</v>
      </c>
      <c r="I8" s="13">
        <v>3194.25</v>
      </c>
      <c r="K8" s="13">
        <v>3300.9318712121217</v>
      </c>
      <c r="L8" s="13">
        <v>3203.4388888888893</v>
      </c>
      <c r="O8" s="13" t="s">
        <v>405</v>
      </c>
      <c r="P8" s="13">
        <v>3239.65</v>
      </c>
      <c r="Q8" s="13" t="s">
        <v>406</v>
      </c>
    </row>
    <row r="9" spans="1:19" x14ac:dyDescent="0.3">
      <c r="A9" s="54">
        <v>45442.385416666664</v>
      </c>
      <c r="B9" t="s">
        <v>416</v>
      </c>
      <c r="C9" s="13">
        <v>1410</v>
      </c>
      <c r="D9" s="13">
        <v>1413.65</v>
      </c>
      <c r="E9" s="13">
        <v>1373.65</v>
      </c>
      <c r="F9" s="13">
        <v>1383.5</v>
      </c>
      <c r="G9" s="13">
        <v>3477661</v>
      </c>
      <c r="H9" s="13">
        <v>1438.31</v>
      </c>
      <c r="I9" s="13">
        <v>1383.5</v>
      </c>
      <c r="K9" s="13">
        <v>1418.4231060606062</v>
      </c>
      <c r="L9" s="13">
        <v>1389.9275555555557</v>
      </c>
      <c r="O9" s="13" t="s">
        <v>405</v>
      </c>
      <c r="P9" s="13">
        <v>1400.6</v>
      </c>
      <c r="Q9" s="13" t="s">
        <v>406</v>
      </c>
    </row>
    <row r="10" spans="1:19" x14ac:dyDescent="0.3">
      <c r="A10" s="54">
        <v>45442.385416666664</v>
      </c>
      <c r="B10" t="s">
        <v>417</v>
      </c>
      <c r="C10" s="13">
        <v>5120</v>
      </c>
      <c r="D10" s="13">
        <v>5150</v>
      </c>
      <c r="E10" s="13">
        <v>4894.6000999999997</v>
      </c>
      <c r="F10" s="13">
        <v>4946.7997999999998</v>
      </c>
      <c r="G10" s="13">
        <v>1490557</v>
      </c>
      <c r="H10" s="13">
        <v>5438.25</v>
      </c>
      <c r="I10" s="13">
        <v>4946.8</v>
      </c>
      <c r="J10" s="13" t="s">
        <v>408</v>
      </c>
      <c r="K10" s="13">
        <v>5210.0864159595958</v>
      </c>
      <c r="L10" s="13">
        <v>5030.7470582222213</v>
      </c>
      <c r="O10" s="13" t="s">
        <v>405</v>
      </c>
      <c r="P10" s="13">
        <v>5115.79</v>
      </c>
      <c r="Q10" s="13" t="s">
        <v>406</v>
      </c>
    </row>
    <row r="11" spans="1:19" x14ac:dyDescent="0.3">
      <c r="A11" s="54">
        <v>45442.385416666664</v>
      </c>
      <c r="B11" t="s">
        <v>418</v>
      </c>
      <c r="C11" s="13">
        <v>628.95001000000002</v>
      </c>
      <c r="D11" s="13">
        <v>630.95001000000002</v>
      </c>
      <c r="E11" s="13">
        <v>616.34997999999996</v>
      </c>
      <c r="F11" s="13">
        <v>619.15002000000004</v>
      </c>
      <c r="G11" s="13">
        <v>2485481</v>
      </c>
      <c r="H11" s="13">
        <v>638.94000000000005</v>
      </c>
      <c r="I11" s="13">
        <v>619.15</v>
      </c>
      <c r="K11" s="13">
        <v>629.38659354040396</v>
      </c>
      <c r="L11" s="13">
        <v>620.67578862222229</v>
      </c>
      <c r="O11" s="13" t="s">
        <v>405</v>
      </c>
      <c r="P11" s="13">
        <v>624.94000000000005</v>
      </c>
      <c r="Q11" s="13" t="s">
        <v>406</v>
      </c>
    </row>
    <row r="12" spans="1:19" x14ac:dyDescent="0.3">
      <c r="A12" s="54">
        <v>45442.385416666664</v>
      </c>
      <c r="B12" t="s">
        <v>419</v>
      </c>
      <c r="C12" s="13">
        <v>5900</v>
      </c>
      <c r="D12" s="13">
        <v>5901.75</v>
      </c>
      <c r="E12" s="13">
        <v>5750</v>
      </c>
      <c r="F12" s="13">
        <v>5766.4502000000002</v>
      </c>
      <c r="G12" s="13">
        <v>643549</v>
      </c>
      <c r="H12" s="13">
        <v>5927.36</v>
      </c>
      <c r="I12" s="13">
        <v>5766.45</v>
      </c>
      <c r="K12" s="13">
        <v>5872.1578935353537</v>
      </c>
      <c r="L12" s="13">
        <v>5806.7151004444449</v>
      </c>
      <c r="O12" s="13" t="s">
        <v>405</v>
      </c>
      <c r="P12" s="13">
        <v>5843.21</v>
      </c>
      <c r="Q12" s="13" t="s">
        <v>406</v>
      </c>
    </row>
    <row r="13" spans="1:19" x14ac:dyDescent="0.3">
      <c r="A13" s="54">
        <v>45442.385416666664</v>
      </c>
      <c r="B13" t="s">
        <v>420</v>
      </c>
      <c r="C13" s="13">
        <v>471.04998999999998</v>
      </c>
      <c r="D13" s="13">
        <v>477.60001</v>
      </c>
      <c r="E13" s="13">
        <v>463</v>
      </c>
      <c r="F13" s="13">
        <v>465.75</v>
      </c>
      <c r="G13" s="13">
        <v>4052768</v>
      </c>
      <c r="H13" s="13">
        <v>481.21</v>
      </c>
      <c r="I13" s="13">
        <v>465.75</v>
      </c>
      <c r="J13" s="13" t="s">
        <v>408</v>
      </c>
      <c r="K13" s="13">
        <v>468.53964669191919</v>
      </c>
      <c r="L13" s="13">
        <v>465.28222022222224</v>
      </c>
      <c r="O13" s="13" t="s">
        <v>405</v>
      </c>
      <c r="P13" s="13">
        <v>467.73</v>
      </c>
      <c r="Q13" s="13" t="s">
        <v>406</v>
      </c>
    </row>
    <row r="14" spans="1:19" x14ac:dyDescent="0.3">
      <c r="A14" s="54">
        <v>45442.385416666664</v>
      </c>
      <c r="B14" t="s">
        <v>421</v>
      </c>
      <c r="C14" s="13">
        <v>221.64999</v>
      </c>
      <c r="D14" s="13">
        <v>223.5</v>
      </c>
      <c r="E14" s="13">
        <v>218.3</v>
      </c>
      <c r="F14" s="13">
        <v>219.75</v>
      </c>
      <c r="G14" s="13">
        <v>10163073</v>
      </c>
      <c r="H14" s="13">
        <v>226.85</v>
      </c>
      <c r="I14" s="13">
        <v>218.99</v>
      </c>
      <c r="J14" s="13" t="s">
        <v>408</v>
      </c>
      <c r="K14" s="13">
        <v>226.42156407070706</v>
      </c>
      <c r="L14" s="13">
        <v>223.88155262222219</v>
      </c>
      <c r="N14" s="13" t="s">
        <v>404</v>
      </c>
      <c r="O14" s="13" t="s">
        <v>405</v>
      </c>
      <c r="P14" s="13">
        <v>224.38</v>
      </c>
      <c r="Q14" s="13" t="s">
        <v>406</v>
      </c>
    </row>
    <row r="15" spans="1:19" x14ac:dyDescent="0.3">
      <c r="A15" s="54">
        <v>45442.385416666664</v>
      </c>
      <c r="B15" t="s">
        <v>422</v>
      </c>
      <c r="C15" s="13">
        <v>2875.25</v>
      </c>
      <c r="D15" s="13">
        <v>2910.8501000000001</v>
      </c>
      <c r="E15" s="13">
        <v>2875</v>
      </c>
      <c r="F15" s="13">
        <v>2883.7</v>
      </c>
      <c r="G15" s="13">
        <v>1344426</v>
      </c>
      <c r="H15" s="13">
        <v>2911.2</v>
      </c>
      <c r="I15" s="13">
        <v>2850.2</v>
      </c>
      <c r="J15" s="13" t="s">
        <v>408</v>
      </c>
      <c r="K15" s="13">
        <v>2906.6089276262624</v>
      </c>
      <c r="L15" s="13">
        <v>2892.337966222221</v>
      </c>
      <c r="O15" s="13" t="s">
        <v>405</v>
      </c>
      <c r="P15" s="13">
        <v>2900.87</v>
      </c>
      <c r="Q15" s="13" t="s">
        <v>406</v>
      </c>
    </row>
    <row r="16" spans="1:19" x14ac:dyDescent="0.3">
      <c r="A16" s="54">
        <v>45442.385416666664</v>
      </c>
      <c r="B16" t="s">
        <v>423</v>
      </c>
      <c r="C16" s="13">
        <v>2115</v>
      </c>
      <c r="D16" s="13">
        <v>2123</v>
      </c>
      <c r="E16" s="13">
        <v>2088.5500000000002</v>
      </c>
      <c r="F16" s="13">
        <v>2101.5500000000002</v>
      </c>
      <c r="G16" s="13">
        <v>325338</v>
      </c>
      <c r="H16" s="13">
        <v>2162.98</v>
      </c>
      <c r="I16" s="13">
        <v>2078.1999999999998</v>
      </c>
      <c r="K16" s="13">
        <v>2125.8505213131316</v>
      </c>
      <c r="L16" s="13">
        <v>2114.7524271111115</v>
      </c>
      <c r="N16" s="13" t="s">
        <v>404</v>
      </c>
      <c r="O16" s="13" t="s">
        <v>405</v>
      </c>
      <c r="P16" s="13">
        <v>2146.0300000000002</v>
      </c>
      <c r="Q16" s="13" t="s">
        <v>411</v>
      </c>
    </row>
    <row r="17" spans="1:19" x14ac:dyDescent="0.3">
      <c r="A17" s="54">
        <v>45442.385416666664</v>
      </c>
      <c r="B17" t="s">
        <v>424</v>
      </c>
      <c r="C17" s="13">
        <v>5866.25</v>
      </c>
      <c r="D17" s="13">
        <v>5866.25</v>
      </c>
      <c r="E17" s="13">
        <v>5650</v>
      </c>
      <c r="F17" s="13">
        <v>5680.1499000000003</v>
      </c>
      <c r="G17" s="13">
        <v>61670</v>
      </c>
      <c r="H17" s="13">
        <v>5874.43</v>
      </c>
      <c r="I17" s="13">
        <v>5680.15</v>
      </c>
      <c r="K17" s="13">
        <v>5792.90375368687</v>
      </c>
      <c r="L17" s="13">
        <v>5725.0347737777774</v>
      </c>
      <c r="O17" s="13" t="s">
        <v>405</v>
      </c>
      <c r="P17" s="13">
        <v>5769.54</v>
      </c>
      <c r="Q17" s="13" t="s">
        <v>406</v>
      </c>
    </row>
    <row r="18" spans="1:19" x14ac:dyDescent="0.3">
      <c r="A18" s="54">
        <v>45442.385416666664</v>
      </c>
      <c r="B18" t="s">
        <v>425</v>
      </c>
      <c r="C18" s="13">
        <v>646.90002000000004</v>
      </c>
      <c r="D18" s="13">
        <v>654.34997999999996</v>
      </c>
      <c r="E18" s="13">
        <v>636.09997999999996</v>
      </c>
      <c r="F18" s="13">
        <v>638.59997999999996</v>
      </c>
      <c r="G18" s="13">
        <v>3971332</v>
      </c>
      <c r="H18" s="13">
        <v>648.29999999999995</v>
      </c>
      <c r="I18" s="13">
        <v>627.9</v>
      </c>
      <c r="J18" s="13" t="s">
        <v>408</v>
      </c>
      <c r="K18" s="13">
        <v>644.56513497474737</v>
      </c>
      <c r="L18" s="13">
        <v>646.21642182222229</v>
      </c>
      <c r="O18" s="13" t="s">
        <v>410</v>
      </c>
      <c r="P18" s="13">
        <v>647.12</v>
      </c>
      <c r="Q18" s="13" t="s">
        <v>411</v>
      </c>
    </row>
    <row r="19" spans="1:19" x14ac:dyDescent="0.3">
      <c r="A19" s="54">
        <v>45442.385416666664</v>
      </c>
      <c r="B19" t="s">
        <v>426</v>
      </c>
      <c r="C19" s="13">
        <v>1217.9000000000001</v>
      </c>
      <c r="D19" s="13">
        <v>1225.8</v>
      </c>
      <c r="E19" s="13">
        <v>1196.9000000000001</v>
      </c>
      <c r="F19" s="13">
        <v>1200.5</v>
      </c>
      <c r="G19" s="13">
        <v>913732</v>
      </c>
      <c r="H19" s="13">
        <v>1235.05</v>
      </c>
      <c r="I19" s="13">
        <v>1196.3499999999999</v>
      </c>
      <c r="J19" s="13" t="s">
        <v>408</v>
      </c>
      <c r="K19" s="13">
        <v>1216.6627272727271</v>
      </c>
      <c r="L19" s="13">
        <v>1203.8742222222222</v>
      </c>
      <c r="O19" s="13" t="s">
        <v>405</v>
      </c>
      <c r="P19" s="13">
        <v>1205.81</v>
      </c>
      <c r="Q19" s="13" t="s">
        <v>406</v>
      </c>
    </row>
    <row r="20" spans="1:19" x14ac:dyDescent="0.3">
      <c r="A20" s="54">
        <v>45442.385416666664</v>
      </c>
      <c r="B20" t="s">
        <v>427</v>
      </c>
      <c r="C20" s="13">
        <v>1155.2</v>
      </c>
      <c r="D20" s="13">
        <v>1179.8</v>
      </c>
      <c r="E20" s="13">
        <v>1155</v>
      </c>
      <c r="F20" s="13">
        <v>1167.95</v>
      </c>
      <c r="G20" s="13">
        <v>7232217</v>
      </c>
      <c r="H20" s="13">
        <v>1187</v>
      </c>
      <c r="I20" s="13">
        <v>1159.75</v>
      </c>
      <c r="J20" s="13" t="s">
        <v>408</v>
      </c>
      <c r="K20" s="13">
        <v>1183.7261111111113</v>
      </c>
      <c r="L20" s="13">
        <v>1171.367777777778</v>
      </c>
      <c r="O20" s="13" t="s">
        <v>405</v>
      </c>
      <c r="P20" s="13">
        <v>1173.71</v>
      </c>
      <c r="Q20" s="13" t="s">
        <v>406</v>
      </c>
    </row>
    <row r="21" spans="1:19" x14ac:dyDescent="0.3">
      <c r="A21" s="54">
        <v>45442.385416666664</v>
      </c>
      <c r="B21" t="s">
        <v>428</v>
      </c>
      <c r="C21" s="13">
        <v>9068</v>
      </c>
      <c r="D21" s="13">
        <v>9128.9004000000004</v>
      </c>
      <c r="E21" s="13">
        <v>8927.5995999999996</v>
      </c>
      <c r="F21" s="13">
        <v>8968.5</v>
      </c>
      <c r="G21" s="13">
        <v>305109</v>
      </c>
      <c r="H21" s="13">
        <v>9070.2000000000007</v>
      </c>
      <c r="I21" s="13">
        <v>8847.34</v>
      </c>
      <c r="J21" s="13" t="s">
        <v>408</v>
      </c>
      <c r="K21" s="13">
        <v>9056.6784620202016</v>
      </c>
      <c r="L21" s="13">
        <v>9019.580274666665</v>
      </c>
      <c r="N21" s="13" t="s">
        <v>404</v>
      </c>
      <c r="O21" s="13" t="s">
        <v>405</v>
      </c>
      <c r="P21" s="13">
        <v>9056.26</v>
      </c>
      <c r="Q21" s="13" t="s">
        <v>406</v>
      </c>
      <c r="S21" t="s">
        <v>402</v>
      </c>
    </row>
    <row r="22" spans="1:19" x14ac:dyDescent="0.3">
      <c r="A22" s="54">
        <v>45442.385416666664</v>
      </c>
      <c r="B22" t="s">
        <v>429</v>
      </c>
      <c r="C22" s="13">
        <v>1566.75</v>
      </c>
      <c r="D22" s="13">
        <v>1575.2</v>
      </c>
      <c r="E22" s="13">
        <v>1517</v>
      </c>
      <c r="F22" s="13">
        <v>1524.1</v>
      </c>
      <c r="G22" s="13">
        <v>2285079</v>
      </c>
      <c r="H22" s="13">
        <v>1578.71</v>
      </c>
      <c r="I22" s="13">
        <v>1524.1</v>
      </c>
      <c r="K22" s="13">
        <v>1573.3170959595961</v>
      </c>
      <c r="L22" s="13">
        <v>1539.1653333333336</v>
      </c>
      <c r="O22" s="13" t="s">
        <v>405</v>
      </c>
      <c r="P22" s="13">
        <v>1556.2</v>
      </c>
      <c r="Q22" s="13" t="s">
        <v>406</v>
      </c>
    </row>
    <row r="23" spans="1:19" x14ac:dyDescent="0.3">
      <c r="A23" s="54">
        <v>45442.385416666664</v>
      </c>
      <c r="B23" t="s">
        <v>430</v>
      </c>
      <c r="C23" s="13">
        <v>6779.8999000000003</v>
      </c>
      <c r="D23" s="13">
        <v>6798.9502000000002</v>
      </c>
      <c r="E23" s="13">
        <v>6594.0497999999998</v>
      </c>
      <c r="F23" s="13">
        <v>6616.4502000000002</v>
      </c>
      <c r="G23" s="13">
        <v>1155575</v>
      </c>
      <c r="H23" s="13">
        <v>6827.35</v>
      </c>
      <c r="I23" s="13">
        <v>6616.45</v>
      </c>
      <c r="K23" s="13">
        <v>6823.3360907070719</v>
      </c>
      <c r="L23" s="13">
        <v>6696.3526324444447</v>
      </c>
      <c r="O23" s="13" t="s">
        <v>405</v>
      </c>
      <c r="P23" s="13">
        <v>6757.22</v>
      </c>
      <c r="Q23" s="13" t="s">
        <v>406</v>
      </c>
    </row>
    <row r="24" spans="1:19" x14ac:dyDescent="0.3">
      <c r="A24" s="54">
        <v>45442.385416666664</v>
      </c>
      <c r="B24" t="s">
        <v>431</v>
      </c>
      <c r="C24" s="13">
        <v>3100</v>
      </c>
      <c r="D24" s="13">
        <v>3145</v>
      </c>
      <c r="E24" s="13">
        <v>3069.1498999999999</v>
      </c>
      <c r="F24" s="13">
        <v>3091.3</v>
      </c>
      <c r="G24" s="13">
        <v>277774</v>
      </c>
      <c r="H24" s="13">
        <v>3113.5</v>
      </c>
      <c r="I24" s="13">
        <v>3012.64</v>
      </c>
      <c r="J24" s="13" t="s">
        <v>408</v>
      </c>
      <c r="K24" s="13">
        <v>3149.6023066161615</v>
      </c>
      <c r="L24" s="13">
        <v>3103.2859844444447</v>
      </c>
      <c r="O24" s="13" t="s">
        <v>405</v>
      </c>
      <c r="P24" s="13">
        <v>3056.21</v>
      </c>
      <c r="Q24" s="13" t="s">
        <v>406</v>
      </c>
    </row>
    <row r="25" spans="1:19" x14ac:dyDescent="0.3">
      <c r="A25" s="54">
        <v>45442.385416666664</v>
      </c>
      <c r="B25" t="s">
        <v>432</v>
      </c>
      <c r="C25" s="13">
        <v>382.95001000000002</v>
      </c>
      <c r="D25" s="13">
        <v>383.79998999999998</v>
      </c>
      <c r="E25" s="13">
        <v>375.25</v>
      </c>
      <c r="F25" s="13">
        <v>377.60001</v>
      </c>
      <c r="G25" s="13">
        <v>1429978</v>
      </c>
      <c r="H25" s="13">
        <v>388.45</v>
      </c>
      <c r="I25" s="13">
        <v>376.54</v>
      </c>
      <c r="J25" s="13" t="s">
        <v>408</v>
      </c>
      <c r="K25" s="13">
        <v>382.22106469696973</v>
      </c>
      <c r="L25" s="13">
        <v>379.92889266666663</v>
      </c>
      <c r="N25" s="13" t="s">
        <v>404</v>
      </c>
      <c r="O25" s="13" t="s">
        <v>405</v>
      </c>
      <c r="P25" s="13">
        <v>381.56</v>
      </c>
      <c r="Q25" s="13" t="s">
        <v>406</v>
      </c>
      <c r="S25" t="s">
        <v>402</v>
      </c>
    </row>
    <row r="26" spans="1:19" x14ac:dyDescent="0.3">
      <c r="A26" s="54">
        <v>45442.385416666664</v>
      </c>
      <c r="B26" t="s">
        <v>433</v>
      </c>
      <c r="C26" s="13">
        <v>190.89999</v>
      </c>
      <c r="D26" s="13">
        <v>192.14999</v>
      </c>
      <c r="E26" s="13">
        <v>185.60001</v>
      </c>
      <c r="F26" s="13">
        <v>186.35001</v>
      </c>
      <c r="G26" s="13">
        <v>7598590</v>
      </c>
      <c r="H26" s="13">
        <v>191.7</v>
      </c>
      <c r="I26" s="13">
        <v>186.05</v>
      </c>
      <c r="J26" s="13" t="s">
        <v>408</v>
      </c>
      <c r="K26" s="13">
        <v>191.05540608585861</v>
      </c>
      <c r="L26" s="13">
        <v>188.89489537777777</v>
      </c>
      <c r="N26" s="13" t="s">
        <v>404</v>
      </c>
      <c r="O26" s="13" t="s">
        <v>405</v>
      </c>
      <c r="P26" s="13">
        <v>190.07</v>
      </c>
      <c r="Q26" s="13" t="s">
        <v>406</v>
      </c>
      <c r="S26" t="s">
        <v>402</v>
      </c>
    </row>
    <row r="27" spans="1:19" x14ac:dyDescent="0.3">
      <c r="A27" s="54">
        <v>45442.385416666664</v>
      </c>
      <c r="B27" t="s">
        <v>434</v>
      </c>
      <c r="C27" s="13">
        <v>261.75</v>
      </c>
      <c r="D27" s="13">
        <v>267.39999</v>
      </c>
      <c r="E27" s="13">
        <v>261.14999</v>
      </c>
      <c r="F27" s="13">
        <v>262.85001</v>
      </c>
      <c r="G27" s="13">
        <v>9840965</v>
      </c>
      <c r="H27" s="13">
        <v>270.55</v>
      </c>
      <c r="I27" s="13">
        <v>262.85000000000002</v>
      </c>
      <c r="J27" s="13" t="s">
        <v>408</v>
      </c>
      <c r="K27" s="13">
        <v>265.69125704040408</v>
      </c>
      <c r="L27" s="13">
        <v>262.61111133333333</v>
      </c>
      <c r="O27" s="13" t="s">
        <v>405</v>
      </c>
      <c r="P27" s="13">
        <v>264.36</v>
      </c>
      <c r="Q27" s="13" t="s">
        <v>406</v>
      </c>
    </row>
    <row r="28" spans="1:19" x14ac:dyDescent="0.3">
      <c r="A28" s="54">
        <v>45442.385416666664</v>
      </c>
      <c r="B28" t="s">
        <v>435</v>
      </c>
      <c r="C28" s="13">
        <v>1355</v>
      </c>
      <c r="D28" s="13">
        <v>1417.85</v>
      </c>
      <c r="E28" s="13">
        <v>1350.5</v>
      </c>
      <c r="F28" s="13">
        <v>1372.2</v>
      </c>
      <c r="G28" s="13">
        <v>2903377</v>
      </c>
      <c r="H28" s="13">
        <v>1373.95</v>
      </c>
      <c r="I28" s="13">
        <v>1353.09</v>
      </c>
      <c r="J28" s="13" t="s">
        <v>408</v>
      </c>
      <c r="K28" s="13">
        <v>1364.5912878787879</v>
      </c>
      <c r="L28" s="13">
        <v>1372.6860000000001</v>
      </c>
      <c r="O28" s="13" t="s">
        <v>410</v>
      </c>
      <c r="P28" s="13">
        <v>1367.99</v>
      </c>
      <c r="Q28" s="13" t="s">
        <v>411</v>
      </c>
    </row>
    <row r="29" spans="1:19" x14ac:dyDescent="0.3">
      <c r="A29" s="54">
        <v>45442.385416666664</v>
      </c>
      <c r="B29" t="s">
        <v>436</v>
      </c>
      <c r="C29" s="13">
        <v>293</v>
      </c>
      <c r="D29" s="13">
        <v>296.29998999999998</v>
      </c>
      <c r="E29" s="13">
        <v>289.64999</v>
      </c>
      <c r="F29" s="13">
        <v>290.64999</v>
      </c>
      <c r="G29" s="13">
        <v>42769599</v>
      </c>
      <c r="H29" s="13">
        <v>297.2</v>
      </c>
      <c r="I29" s="13">
        <v>283.02</v>
      </c>
      <c r="J29" s="13" t="s">
        <v>408</v>
      </c>
      <c r="K29" s="13">
        <v>299.39505193434343</v>
      </c>
      <c r="L29" s="13">
        <v>291.76310266666667</v>
      </c>
      <c r="O29" s="13" t="s">
        <v>405</v>
      </c>
      <c r="P29" s="13">
        <v>288.57</v>
      </c>
      <c r="Q29" s="13" t="s">
        <v>406</v>
      </c>
    </row>
    <row r="30" spans="1:19" x14ac:dyDescent="0.3">
      <c r="A30" s="54">
        <v>45442.385416666664</v>
      </c>
      <c r="B30" t="s">
        <v>437</v>
      </c>
      <c r="C30" s="13">
        <v>490.5</v>
      </c>
      <c r="D30" s="13">
        <v>491.89999</v>
      </c>
      <c r="E30" s="13">
        <v>476.10001</v>
      </c>
      <c r="F30" s="13">
        <v>477.54998999999998</v>
      </c>
      <c r="G30" s="13">
        <v>1929766</v>
      </c>
      <c r="H30" s="13">
        <v>495.02</v>
      </c>
      <c r="I30" s="13">
        <v>477.55</v>
      </c>
      <c r="K30" s="13">
        <v>488.58423460606065</v>
      </c>
      <c r="L30" s="13">
        <v>483.78021142222224</v>
      </c>
      <c r="N30" s="13" t="s">
        <v>404</v>
      </c>
      <c r="O30" s="13" t="s">
        <v>405</v>
      </c>
      <c r="P30" s="13">
        <v>488.28</v>
      </c>
      <c r="Q30" s="13" t="s">
        <v>406</v>
      </c>
      <c r="S30" t="s">
        <v>402</v>
      </c>
    </row>
    <row r="31" spans="1:19" x14ac:dyDescent="0.3">
      <c r="A31" s="54">
        <v>45442.385416666664</v>
      </c>
      <c r="B31" t="s">
        <v>438</v>
      </c>
      <c r="C31" s="13">
        <v>1560.1</v>
      </c>
      <c r="D31" s="13">
        <v>1579.7</v>
      </c>
      <c r="E31" s="13">
        <v>1548.85</v>
      </c>
      <c r="F31" s="13">
        <v>1554.35</v>
      </c>
      <c r="G31" s="13">
        <v>919313</v>
      </c>
      <c r="H31" s="13">
        <v>1573.5</v>
      </c>
      <c r="I31" s="13">
        <v>1527.51</v>
      </c>
      <c r="J31" s="13" t="s">
        <v>408</v>
      </c>
      <c r="K31" s="13">
        <v>1588.0835353535349</v>
      </c>
      <c r="L31" s="13">
        <v>1572.4022222222222</v>
      </c>
      <c r="N31" s="13" t="s">
        <v>404</v>
      </c>
      <c r="O31" s="13" t="s">
        <v>405</v>
      </c>
      <c r="P31" s="13">
        <v>1565.16</v>
      </c>
      <c r="Q31" s="13" t="s">
        <v>406</v>
      </c>
    </row>
    <row r="32" spans="1:19" x14ac:dyDescent="0.3">
      <c r="A32" s="54">
        <v>45442.385416666664</v>
      </c>
      <c r="B32" t="s">
        <v>439</v>
      </c>
      <c r="C32" s="13">
        <v>1378.8</v>
      </c>
      <c r="D32" s="13">
        <v>1386.45</v>
      </c>
      <c r="E32" s="13">
        <v>1363.5</v>
      </c>
      <c r="F32" s="13">
        <v>1377.15</v>
      </c>
      <c r="G32" s="13">
        <v>7100303</v>
      </c>
      <c r="H32" s="13">
        <v>1388.5</v>
      </c>
      <c r="I32" s="13">
        <v>1365.83</v>
      </c>
      <c r="J32" s="13" t="s">
        <v>408</v>
      </c>
      <c r="K32" s="13">
        <v>1386.7609848484851</v>
      </c>
      <c r="L32" s="13">
        <v>1378.2826666666667</v>
      </c>
      <c r="O32" s="13" t="s">
        <v>405</v>
      </c>
      <c r="P32" s="13">
        <v>1376.13</v>
      </c>
      <c r="Q32" s="13" t="s">
        <v>406</v>
      </c>
    </row>
    <row r="33" spans="1:19" x14ac:dyDescent="0.3">
      <c r="A33" s="54">
        <v>45442.385416666664</v>
      </c>
      <c r="B33" t="s">
        <v>440</v>
      </c>
      <c r="C33" s="13">
        <v>293.70001000000002</v>
      </c>
      <c r="D33" s="13">
        <v>295.29998999999998</v>
      </c>
      <c r="E33" s="13">
        <v>289.29998999999998</v>
      </c>
      <c r="F33" s="13">
        <v>290.75</v>
      </c>
      <c r="G33" s="13">
        <v>13070194</v>
      </c>
      <c r="H33" s="13">
        <v>302.16000000000003</v>
      </c>
      <c r="I33" s="13">
        <v>290.75</v>
      </c>
      <c r="K33" s="13">
        <v>291.07883743434348</v>
      </c>
      <c r="L33" s="13">
        <v>289.06400373333332</v>
      </c>
      <c r="O33" s="13" t="s">
        <v>405</v>
      </c>
      <c r="P33" s="13">
        <v>290.13</v>
      </c>
      <c r="Q33" s="13" t="s">
        <v>406</v>
      </c>
    </row>
    <row r="34" spans="1:19" x14ac:dyDescent="0.3">
      <c r="A34" s="54">
        <v>45442.385416666664</v>
      </c>
      <c r="B34" t="s">
        <v>441</v>
      </c>
      <c r="C34" s="13">
        <v>324.14999</v>
      </c>
      <c r="D34" s="13">
        <v>325.79998999999998</v>
      </c>
      <c r="E34" s="13">
        <v>308.54998999999998</v>
      </c>
      <c r="F34" s="13">
        <v>310.85001</v>
      </c>
      <c r="G34" s="13">
        <v>9357893</v>
      </c>
      <c r="H34" s="13">
        <v>323.60000000000002</v>
      </c>
      <c r="I34" s="13">
        <v>310.85000000000002</v>
      </c>
      <c r="J34" s="13" t="s">
        <v>408</v>
      </c>
      <c r="K34" s="13">
        <v>320.63139720202025</v>
      </c>
      <c r="L34" s="13">
        <v>315.81223168888886</v>
      </c>
      <c r="N34" s="13" t="s">
        <v>404</v>
      </c>
      <c r="O34" s="13" t="s">
        <v>405</v>
      </c>
      <c r="P34" s="13">
        <v>317.27</v>
      </c>
      <c r="Q34" s="13" t="s">
        <v>406</v>
      </c>
      <c r="S34" t="s">
        <v>402</v>
      </c>
    </row>
    <row r="35" spans="1:19" x14ac:dyDescent="0.3">
      <c r="A35" s="54">
        <v>45442.385416666664</v>
      </c>
      <c r="B35" t="s">
        <v>442</v>
      </c>
      <c r="C35" s="13">
        <v>31140</v>
      </c>
      <c r="D35" s="13">
        <v>31300</v>
      </c>
      <c r="E35" s="13">
        <v>30470.550999999999</v>
      </c>
      <c r="F35" s="13">
        <v>30610.35</v>
      </c>
      <c r="G35" s="13">
        <v>68887</v>
      </c>
      <c r="H35" s="13">
        <v>31649.63</v>
      </c>
      <c r="I35" s="13">
        <v>30610.35</v>
      </c>
      <c r="K35" s="13">
        <v>31103.242443434352</v>
      </c>
      <c r="L35" s="13">
        <v>30850.152244444449</v>
      </c>
      <c r="N35" s="13" t="s">
        <v>404</v>
      </c>
      <c r="O35" s="13" t="s">
        <v>405</v>
      </c>
      <c r="P35" s="13">
        <v>31110.080000000002</v>
      </c>
      <c r="Q35" s="13" t="s">
        <v>411</v>
      </c>
    </row>
    <row r="36" spans="1:19" x14ac:dyDescent="0.3">
      <c r="A36" s="54">
        <v>45442.385416666664</v>
      </c>
      <c r="B36" t="s">
        <v>443</v>
      </c>
      <c r="C36" s="13">
        <v>634.04998999999998</v>
      </c>
      <c r="D36" s="13">
        <v>636.79998999999998</v>
      </c>
      <c r="E36" s="13">
        <v>623.5</v>
      </c>
      <c r="F36" s="13">
        <v>625.75</v>
      </c>
      <c r="G36" s="13">
        <v>4822844</v>
      </c>
      <c r="H36" s="13">
        <v>646.42999999999995</v>
      </c>
      <c r="I36" s="13">
        <v>625.75</v>
      </c>
      <c r="K36" s="13">
        <v>642.90393181313118</v>
      </c>
      <c r="L36" s="13">
        <v>628.76244039999983</v>
      </c>
      <c r="O36" s="13" t="s">
        <v>405</v>
      </c>
      <c r="P36" s="13">
        <v>633.41999999999996</v>
      </c>
      <c r="Q36" s="13" t="s">
        <v>406</v>
      </c>
    </row>
    <row r="37" spans="1:19" x14ac:dyDescent="0.3">
      <c r="A37" s="54">
        <v>45442.385416666664</v>
      </c>
      <c r="B37" t="s">
        <v>444</v>
      </c>
      <c r="C37" s="13">
        <v>5202.1000999999997</v>
      </c>
      <c r="D37" s="13">
        <v>5242.1000999999997</v>
      </c>
      <c r="E37" s="13">
        <v>5173</v>
      </c>
      <c r="F37" s="13">
        <v>5198.5497999999998</v>
      </c>
      <c r="G37" s="13">
        <v>357619</v>
      </c>
      <c r="H37" s="13">
        <v>5281.15</v>
      </c>
      <c r="I37" s="13">
        <v>5144.3</v>
      </c>
      <c r="J37" s="13" t="s">
        <v>408</v>
      </c>
      <c r="K37" s="13">
        <v>5244.3859877777786</v>
      </c>
      <c r="L37" s="13">
        <v>5205.3575488888891</v>
      </c>
      <c r="O37" s="13" t="s">
        <v>405</v>
      </c>
      <c r="P37" s="13">
        <v>5186.51</v>
      </c>
      <c r="Q37" s="13" t="s">
        <v>406</v>
      </c>
    </row>
    <row r="38" spans="1:19" x14ac:dyDescent="0.3">
      <c r="A38" s="54">
        <v>45442.385416666664</v>
      </c>
      <c r="B38" t="s">
        <v>445</v>
      </c>
      <c r="C38" s="13">
        <v>620</v>
      </c>
      <c r="D38" s="13">
        <v>620</v>
      </c>
      <c r="E38" s="13">
        <v>607.90002000000004</v>
      </c>
      <c r="F38" s="13">
        <v>610.59997999999996</v>
      </c>
      <c r="G38" s="13">
        <v>1925845</v>
      </c>
      <c r="H38" s="13">
        <v>630.11</v>
      </c>
      <c r="I38" s="13">
        <v>610.6</v>
      </c>
      <c r="K38" s="13">
        <v>625.09005714141415</v>
      </c>
      <c r="L38" s="13">
        <v>616.49466039999993</v>
      </c>
      <c r="O38" s="13" t="s">
        <v>405</v>
      </c>
      <c r="P38" s="13">
        <v>624.05999999999995</v>
      </c>
      <c r="Q38" s="13" t="s">
        <v>406</v>
      </c>
      <c r="S38" t="s">
        <v>402</v>
      </c>
    </row>
    <row r="39" spans="1:19" x14ac:dyDescent="0.3">
      <c r="A39" s="54">
        <v>45442.385416666664</v>
      </c>
      <c r="B39" t="s">
        <v>446</v>
      </c>
      <c r="C39" s="13">
        <v>116.7</v>
      </c>
      <c r="D39" s="13">
        <v>117.55</v>
      </c>
      <c r="E39" s="13">
        <v>114.75</v>
      </c>
      <c r="F39" s="13">
        <v>115.05</v>
      </c>
      <c r="G39" s="13">
        <v>34512065</v>
      </c>
      <c r="H39" s="13">
        <v>119</v>
      </c>
      <c r="I39" s="13">
        <v>114.76</v>
      </c>
      <c r="J39" s="13" t="s">
        <v>408</v>
      </c>
      <c r="K39" s="13">
        <v>116.46560606565656</v>
      </c>
      <c r="L39" s="13">
        <v>115.35111111111109</v>
      </c>
      <c r="O39" s="13" t="s">
        <v>405</v>
      </c>
      <c r="P39" s="13">
        <v>116.47</v>
      </c>
      <c r="Q39" s="13" t="s">
        <v>411</v>
      </c>
    </row>
    <row r="40" spans="1:19" x14ac:dyDescent="0.3">
      <c r="A40" s="54">
        <v>45442.385416666664</v>
      </c>
      <c r="B40" t="s">
        <v>447</v>
      </c>
      <c r="C40" s="13">
        <v>722</v>
      </c>
      <c r="D40" s="13">
        <v>730.84997999999996</v>
      </c>
      <c r="E40" s="13">
        <v>715.20001000000002</v>
      </c>
      <c r="F40" s="13">
        <v>720.65002000000004</v>
      </c>
      <c r="G40" s="13">
        <v>563019</v>
      </c>
      <c r="H40" s="13">
        <v>739.58</v>
      </c>
      <c r="I40" s="13">
        <v>720.65</v>
      </c>
      <c r="K40" s="13">
        <v>728.01240986868697</v>
      </c>
      <c r="L40" s="13">
        <v>721.5293541333333</v>
      </c>
      <c r="O40" s="13" t="s">
        <v>405</v>
      </c>
      <c r="P40" s="13">
        <v>730.86</v>
      </c>
      <c r="Q40" s="13" t="s">
        <v>411</v>
      </c>
    </row>
    <row r="41" spans="1:19" x14ac:dyDescent="0.3">
      <c r="A41" s="54">
        <v>45442.385416666664</v>
      </c>
      <c r="B41" t="s">
        <v>448</v>
      </c>
      <c r="C41" s="13">
        <v>402</v>
      </c>
      <c r="D41" s="13">
        <v>405.39999</v>
      </c>
      <c r="E41" s="13">
        <v>395</v>
      </c>
      <c r="F41" s="13">
        <v>398.64999</v>
      </c>
      <c r="G41" s="13">
        <v>1942596</v>
      </c>
      <c r="H41" s="13">
        <v>409.15</v>
      </c>
      <c r="I41" s="13">
        <v>398.57</v>
      </c>
      <c r="J41" s="13" t="s">
        <v>408</v>
      </c>
      <c r="K41" s="13">
        <v>405.37125265151508</v>
      </c>
      <c r="L41" s="13">
        <v>402.16132240000013</v>
      </c>
      <c r="N41" s="13" t="s">
        <v>404</v>
      </c>
      <c r="O41" s="13" t="s">
        <v>405</v>
      </c>
      <c r="P41" s="13">
        <v>403.71</v>
      </c>
      <c r="Q41" s="13" t="s">
        <v>406</v>
      </c>
      <c r="S41" t="s">
        <v>402</v>
      </c>
    </row>
    <row r="42" spans="1:19" x14ac:dyDescent="0.3">
      <c r="A42" s="54">
        <v>45442.385416666664</v>
      </c>
      <c r="B42" t="s">
        <v>449</v>
      </c>
      <c r="C42" s="13">
        <v>1237.5</v>
      </c>
      <c r="D42" s="13">
        <v>1246</v>
      </c>
      <c r="E42" s="13">
        <v>1205.55</v>
      </c>
      <c r="F42" s="13">
        <v>1212.8499999999999</v>
      </c>
      <c r="G42" s="13">
        <v>902176</v>
      </c>
      <c r="H42" s="13">
        <v>1259.28</v>
      </c>
      <c r="I42" s="13">
        <v>1212.8499999999999</v>
      </c>
      <c r="K42" s="13">
        <v>1238.3312121212123</v>
      </c>
      <c r="L42" s="13">
        <v>1219.1817777777781</v>
      </c>
      <c r="O42" s="13" t="s">
        <v>405</v>
      </c>
      <c r="P42" s="13">
        <v>1230.73</v>
      </c>
      <c r="Q42" s="13" t="s">
        <v>406</v>
      </c>
    </row>
    <row r="43" spans="1:19" x14ac:dyDescent="0.3">
      <c r="A43" s="54">
        <v>45442.385416666664</v>
      </c>
      <c r="B43" t="s">
        <v>450</v>
      </c>
      <c r="C43" s="13">
        <v>1495.05</v>
      </c>
      <c r="D43" s="13">
        <v>1496.55</v>
      </c>
      <c r="E43" s="13">
        <v>1454</v>
      </c>
      <c r="F43" s="13">
        <v>1466.6</v>
      </c>
      <c r="G43" s="13">
        <v>1732140</v>
      </c>
      <c r="H43" s="13">
        <v>1493.55</v>
      </c>
      <c r="I43" s="13">
        <v>1455.14</v>
      </c>
      <c r="J43" s="13" t="s">
        <v>408</v>
      </c>
      <c r="K43" s="13">
        <v>1494.1242171717167</v>
      </c>
      <c r="L43" s="13">
        <v>1475.0242222222221</v>
      </c>
      <c r="O43" s="13" t="s">
        <v>405</v>
      </c>
      <c r="P43" s="13">
        <v>1477.78</v>
      </c>
      <c r="Q43" s="13" t="s">
        <v>406</v>
      </c>
    </row>
    <row r="44" spans="1:19" x14ac:dyDescent="0.3">
      <c r="A44" s="54">
        <v>45442.385416666664</v>
      </c>
      <c r="B44" t="s">
        <v>451</v>
      </c>
      <c r="C44" s="13">
        <v>486</v>
      </c>
      <c r="D44" s="13">
        <v>487.95001000000002</v>
      </c>
      <c r="E44" s="13">
        <v>479.5</v>
      </c>
      <c r="F44" s="13">
        <v>482.14999</v>
      </c>
      <c r="G44" s="13">
        <v>7725080</v>
      </c>
      <c r="H44" s="13">
        <v>495.89</v>
      </c>
      <c r="I44" s="13">
        <v>482.15</v>
      </c>
      <c r="K44" s="13">
        <v>490.050731979798</v>
      </c>
      <c r="L44" s="13">
        <v>481.65221844444454</v>
      </c>
      <c r="O44" s="13" t="s">
        <v>405</v>
      </c>
      <c r="P44" s="13">
        <v>482.26</v>
      </c>
      <c r="Q44" s="13" t="s">
        <v>406</v>
      </c>
    </row>
    <row r="45" spans="1:19" x14ac:dyDescent="0.3">
      <c r="A45" s="54">
        <v>45442.385416666664</v>
      </c>
      <c r="B45" t="s">
        <v>452</v>
      </c>
      <c r="C45" s="13">
        <v>5134.5</v>
      </c>
      <c r="D45" s="13">
        <v>5141.0497999999998</v>
      </c>
      <c r="E45" s="13">
        <v>4975</v>
      </c>
      <c r="F45" s="13">
        <v>4997.0497999999998</v>
      </c>
      <c r="G45" s="13">
        <v>470738</v>
      </c>
      <c r="H45" s="13">
        <v>5204.24</v>
      </c>
      <c r="I45" s="13">
        <v>4997.05</v>
      </c>
      <c r="K45" s="13">
        <v>5229.6746558080804</v>
      </c>
      <c r="L45" s="13">
        <v>5080.2338151111117</v>
      </c>
      <c r="O45" s="13" t="s">
        <v>405</v>
      </c>
      <c r="P45" s="13">
        <v>5119.96</v>
      </c>
      <c r="Q45" s="13" t="s">
        <v>406</v>
      </c>
    </row>
    <row r="46" spans="1:19" x14ac:dyDescent="0.3">
      <c r="A46" s="54">
        <v>45442.385416666664</v>
      </c>
      <c r="B46" t="s">
        <v>453</v>
      </c>
      <c r="C46" s="13">
        <v>2663.05</v>
      </c>
      <c r="D46" s="13">
        <v>2699.1001000000001</v>
      </c>
      <c r="E46" s="13">
        <v>2635.1001000000001</v>
      </c>
      <c r="F46" s="13">
        <v>2645.3501000000001</v>
      </c>
      <c r="G46" s="13">
        <v>311328</v>
      </c>
      <c r="H46" s="13">
        <v>2720.98</v>
      </c>
      <c r="I46" s="13">
        <v>2645.35</v>
      </c>
      <c r="K46" s="13">
        <v>2674.6094764141417</v>
      </c>
      <c r="L46" s="13">
        <v>2657.2785351111115</v>
      </c>
      <c r="O46" s="13" t="s">
        <v>405</v>
      </c>
      <c r="P46" s="13">
        <v>2661.36</v>
      </c>
      <c r="Q46" s="13" t="s">
        <v>406</v>
      </c>
      <c r="S46" t="s">
        <v>402</v>
      </c>
    </row>
    <row r="47" spans="1:19" x14ac:dyDescent="0.3">
      <c r="A47" s="54">
        <v>45442.385416666664</v>
      </c>
      <c r="B47" t="s">
        <v>454</v>
      </c>
      <c r="C47" s="13">
        <v>1078</v>
      </c>
      <c r="D47" s="13">
        <v>1086.7</v>
      </c>
      <c r="E47" s="13">
        <v>1063.45</v>
      </c>
      <c r="F47" s="13">
        <v>1066.05</v>
      </c>
      <c r="G47" s="13">
        <v>841185</v>
      </c>
      <c r="H47" s="13">
        <v>1105.8499999999999</v>
      </c>
      <c r="I47" s="13">
        <v>1066.05</v>
      </c>
      <c r="J47" s="13" t="s">
        <v>408</v>
      </c>
      <c r="K47" s="13">
        <v>1084.9756313131311</v>
      </c>
      <c r="L47" s="13">
        <v>1069.2413333333329</v>
      </c>
      <c r="O47" s="13" t="s">
        <v>405</v>
      </c>
      <c r="P47" s="13">
        <v>1072.0899999999999</v>
      </c>
      <c r="Q47" s="13" t="s">
        <v>406</v>
      </c>
    </row>
    <row r="48" spans="1:19" x14ac:dyDescent="0.3">
      <c r="A48" s="54">
        <v>45442.385416666664</v>
      </c>
      <c r="B48" t="s">
        <v>455</v>
      </c>
      <c r="C48" s="13">
        <v>1284.9000000000001</v>
      </c>
      <c r="D48" s="13">
        <v>1310</v>
      </c>
      <c r="E48" s="13">
        <v>1266.55</v>
      </c>
      <c r="F48" s="13">
        <v>1300.2</v>
      </c>
      <c r="G48" s="13">
        <v>646058</v>
      </c>
      <c r="H48" s="13">
        <v>1300.2</v>
      </c>
      <c r="I48" s="13">
        <v>1254.2</v>
      </c>
      <c r="K48" s="13">
        <v>1291.0342424242419</v>
      </c>
      <c r="L48" s="13">
        <v>1305.4942222222226</v>
      </c>
      <c r="O48" s="13" t="s">
        <v>410</v>
      </c>
      <c r="P48" s="13">
        <v>1301.58</v>
      </c>
      <c r="Q48" s="13" t="s">
        <v>411</v>
      </c>
    </row>
    <row r="49" spans="1:19" x14ac:dyDescent="0.3">
      <c r="A49" s="54">
        <v>45442.385416666664</v>
      </c>
      <c r="B49" t="s">
        <v>456</v>
      </c>
      <c r="C49" s="13">
        <v>394.89999</v>
      </c>
      <c r="D49" s="13">
        <v>396.20001000000002</v>
      </c>
      <c r="E49" s="13">
        <v>388</v>
      </c>
      <c r="F49" s="13">
        <v>391.35001</v>
      </c>
      <c r="G49" s="13">
        <v>1573895</v>
      </c>
      <c r="H49" s="13">
        <v>401.95</v>
      </c>
      <c r="I49" s="13">
        <v>380.45</v>
      </c>
      <c r="J49" s="13" t="s">
        <v>408</v>
      </c>
      <c r="K49" s="13">
        <v>392.92525049494947</v>
      </c>
      <c r="L49" s="13">
        <v>391.60111333333327</v>
      </c>
      <c r="O49" s="13" t="s">
        <v>405</v>
      </c>
      <c r="P49" s="13">
        <v>386.72</v>
      </c>
      <c r="Q49" s="13" t="s">
        <v>406</v>
      </c>
    </row>
    <row r="50" spans="1:19" x14ac:dyDescent="0.3">
      <c r="A50" s="54">
        <v>45442.385416666664</v>
      </c>
      <c r="B50" t="s">
        <v>457</v>
      </c>
      <c r="C50" s="13">
        <v>141.80000000000001</v>
      </c>
      <c r="D50" s="13">
        <v>143.30000000000001</v>
      </c>
      <c r="E50" s="13">
        <v>141.14999</v>
      </c>
      <c r="F50" s="13">
        <v>142.55000000000001</v>
      </c>
      <c r="G50" s="13">
        <v>5073331</v>
      </c>
      <c r="H50" s="13">
        <v>145.19999999999999</v>
      </c>
      <c r="I50" s="13">
        <v>142.25</v>
      </c>
      <c r="K50" s="13">
        <v>142.02638987878785</v>
      </c>
      <c r="L50" s="13">
        <v>142.41199995555559</v>
      </c>
      <c r="O50" s="13" t="s">
        <v>410</v>
      </c>
      <c r="P50" s="13">
        <v>144.18</v>
      </c>
      <c r="Q50" s="13" t="s">
        <v>411</v>
      </c>
    </row>
    <row r="51" spans="1:19" x14ac:dyDescent="0.3">
      <c r="A51" s="54">
        <v>45442.385416666664</v>
      </c>
      <c r="B51" t="s">
        <v>458</v>
      </c>
      <c r="C51" s="13">
        <v>3885.05</v>
      </c>
      <c r="D51" s="13">
        <v>3900</v>
      </c>
      <c r="E51" s="13">
        <v>3587.3998999999999</v>
      </c>
      <c r="F51" s="13">
        <v>3596.8</v>
      </c>
      <c r="G51" s="13">
        <v>3481626</v>
      </c>
      <c r="H51" s="13">
        <v>3836.71</v>
      </c>
      <c r="I51" s="13">
        <v>3596.8</v>
      </c>
      <c r="J51" s="13" t="s">
        <v>408</v>
      </c>
      <c r="K51" s="13">
        <v>3772.8516248484848</v>
      </c>
      <c r="L51" s="13">
        <v>3693.824182222223</v>
      </c>
      <c r="N51" s="13" t="s">
        <v>404</v>
      </c>
      <c r="O51" s="13" t="s">
        <v>405</v>
      </c>
      <c r="P51" s="13">
        <v>3742.19</v>
      </c>
      <c r="Q51" s="13" t="s">
        <v>406</v>
      </c>
      <c r="S51" t="s">
        <v>402</v>
      </c>
    </row>
    <row r="52" spans="1:19" x14ac:dyDescent="0.3">
      <c r="A52" s="54">
        <v>45442.385416666664</v>
      </c>
      <c r="B52" t="s">
        <v>459</v>
      </c>
      <c r="C52" s="13">
        <v>555.45001000000002</v>
      </c>
      <c r="D52" s="13">
        <v>557.40002000000004</v>
      </c>
      <c r="E52" s="13">
        <v>549.34997999999996</v>
      </c>
      <c r="F52" s="13">
        <v>551.15002000000004</v>
      </c>
      <c r="G52" s="13">
        <v>1591522</v>
      </c>
      <c r="H52" s="13">
        <v>565.76</v>
      </c>
      <c r="I52" s="13">
        <v>551.15</v>
      </c>
      <c r="K52" s="13">
        <v>565.85798948989884</v>
      </c>
      <c r="L52" s="13">
        <v>555.62979382222227</v>
      </c>
      <c r="O52" s="13" t="s">
        <v>405</v>
      </c>
      <c r="P52" s="13">
        <v>557.27</v>
      </c>
      <c r="Q52" s="13" t="s">
        <v>406</v>
      </c>
    </row>
    <row r="53" spans="1:19" x14ac:dyDescent="0.3">
      <c r="A53" s="54">
        <v>45442.385416666664</v>
      </c>
      <c r="B53" t="s">
        <v>460</v>
      </c>
      <c r="C53" s="13">
        <v>1775.45</v>
      </c>
      <c r="D53" s="13">
        <v>1779.9</v>
      </c>
      <c r="E53" s="13">
        <v>1743.05</v>
      </c>
      <c r="F53" s="13">
        <v>1767.35</v>
      </c>
      <c r="G53" s="13">
        <v>361190</v>
      </c>
      <c r="H53" s="13">
        <v>1795.71</v>
      </c>
      <c r="I53" s="13">
        <v>1767.35</v>
      </c>
      <c r="K53" s="13">
        <v>1777.1231313131314</v>
      </c>
      <c r="L53" s="13">
        <v>1766.6453333333334</v>
      </c>
      <c r="O53" s="13" t="s">
        <v>405</v>
      </c>
      <c r="P53" s="13">
        <v>1775.26</v>
      </c>
      <c r="Q53" s="13" t="s">
        <v>406</v>
      </c>
    </row>
    <row r="54" spans="1:19" x14ac:dyDescent="0.3">
      <c r="A54" s="54">
        <v>45442.385416666664</v>
      </c>
      <c r="B54" t="s">
        <v>461</v>
      </c>
      <c r="C54" s="13">
        <v>2267</v>
      </c>
      <c r="D54" s="13">
        <v>2267.6498999999999</v>
      </c>
      <c r="E54" s="13">
        <v>2170.1999999999998</v>
      </c>
      <c r="F54" s="13">
        <v>2184.4499999999998</v>
      </c>
      <c r="G54" s="13">
        <v>919607</v>
      </c>
      <c r="H54" s="13">
        <v>2292.08</v>
      </c>
      <c r="I54" s="13">
        <v>2184.4499999999998</v>
      </c>
      <c r="K54" s="13">
        <v>2225.0162098484848</v>
      </c>
      <c r="L54" s="13">
        <v>2195.3642053333333</v>
      </c>
      <c r="O54" s="13" t="s">
        <v>405</v>
      </c>
      <c r="P54" s="13">
        <v>2214.92</v>
      </c>
      <c r="Q54" s="13" t="s">
        <v>406</v>
      </c>
    </row>
    <row r="55" spans="1:19" x14ac:dyDescent="0.3">
      <c r="A55" s="54">
        <v>45442.385416666664</v>
      </c>
      <c r="B55" t="s">
        <v>462</v>
      </c>
      <c r="C55" s="13">
        <v>4444.0497999999998</v>
      </c>
      <c r="D55" s="13">
        <v>4465</v>
      </c>
      <c r="E55" s="13">
        <v>4390</v>
      </c>
      <c r="F55" s="13">
        <v>4412.7997999999998</v>
      </c>
      <c r="G55" s="13">
        <v>768574</v>
      </c>
      <c r="H55" s="13">
        <v>4448</v>
      </c>
      <c r="I55" s="13">
        <v>4308.1499999999996</v>
      </c>
      <c r="J55" s="13" t="s">
        <v>408</v>
      </c>
      <c r="K55" s="13">
        <v>4472.248966060607</v>
      </c>
      <c r="L55" s="13">
        <v>4484.3996662222216</v>
      </c>
      <c r="O55" s="13" t="s">
        <v>410</v>
      </c>
      <c r="P55" s="13">
        <v>4449.1899999999996</v>
      </c>
      <c r="Q55" s="13" t="s">
        <v>406</v>
      </c>
      <c r="S55" t="s">
        <v>402</v>
      </c>
    </row>
    <row r="56" spans="1:19" x14ac:dyDescent="0.3">
      <c r="A56" s="54">
        <v>45442.385416666664</v>
      </c>
      <c r="B56" t="s">
        <v>463</v>
      </c>
      <c r="C56" s="13">
        <v>9248.9501999999993</v>
      </c>
      <c r="D56" s="13">
        <v>9340</v>
      </c>
      <c r="E56" s="13">
        <v>9155.5498000000007</v>
      </c>
      <c r="F56" s="13">
        <v>9308</v>
      </c>
      <c r="G56" s="13">
        <v>300664</v>
      </c>
      <c r="H56" s="13">
        <v>9308</v>
      </c>
      <c r="I56" s="13">
        <v>9027.99</v>
      </c>
      <c r="K56" s="13">
        <v>9292.3241166666648</v>
      </c>
      <c r="L56" s="13">
        <v>9261.5672782222209</v>
      </c>
      <c r="O56" s="13" t="s">
        <v>405</v>
      </c>
      <c r="P56" s="13">
        <v>9130.18</v>
      </c>
      <c r="Q56" s="13" t="s">
        <v>406</v>
      </c>
    </row>
    <row r="57" spans="1:19" x14ac:dyDescent="0.3">
      <c r="A57" s="54">
        <v>45442.385416666664</v>
      </c>
      <c r="B57" t="s">
        <v>464</v>
      </c>
      <c r="C57" s="13">
        <v>816</v>
      </c>
      <c r="D57" s="13">
        <v>820.95001000000002</v>
      </c>
      <c r="E57" s="13">
        <v>799.59997999999996</v>
      </c>
      <c r="F57" s="13">
        <v>802.04998999999998</v>
      </c>
      <c r="G57" s="13">
        <v>4203818</v>
      </c>
      <c r="H57" s="13">
        <v>829.59</v>
      </c>
      <c r="I57" s="13">
        <v>802.05</v>
      </c>
      <c r="K57" s="13">
        <v>814.20241714141378</v>
      </c>
      <c r="L57" s="13">
        <v>802.74021128888887</v>
      </c>
      <c r="O57" s="13" t="s">
        <v>405</v>
      </c>
      <c r="P57" s="13">
        <v>809.08</v>
      </c>
      <c r="Q57" s="13" t="s">
        <v>406</v>
      </c>
    </row>
    <row r="58" spans="1:19" x14ac:dyDescent="0.3">
      <c r="A58" s="54">
        <v>45442.385416666664</v>
      </c>
      <c r="B58" t="s">
        <v>465</v>
      </c>
      <c r="C58" s="13">
        <v>5975</v>
      </c>
      <c r="D58" s="13">
        <v>5975</v>
      </c>
      <c r="E58" s="13">
        <v>5833</v>
      </c>
      <c r="F58" s="13">
        <v>5873.75</v>
      </c>
      <c r="G58" s="13">
        <v>601044</v>
      </c>
      <c r="H58" s="13">
        <v>6000.75</v>
      </c>
      <c r="I58" s="13">
        <v>5861.14</v>
      </c>
      <c r="J58" s="13" t="s">
        <v>408</v>
      </c>
      <c r="K58" s="13">
        <v>5962.8836552525245</v>
      </c>
      <c r="L58" s="13">
        <v>5931.5859560000008</v>
      </c>
      <c r="N58" s="13" t="s">
        <v>404</v>
      </c>
      <c r="O58" s="13" t="s">
        <v>405</v>
      </c>
      <c r="P58" s="13">
        <v>5954.96</v>
      </c>
      <c r="Q58" s="13" t="s">
        <v>406</v>
      </c>
      <c r="S58" t="s">
        <v>402</v>
      </c>
    </row>
    <row r="59" spans="1:19" x14ac:dyDescent="0.3">
      <c r="A59" s="54">
        <v>45442.385416666664</v>
      </c>
      <c r="B59" t="s">
        <v>466</v>
      </c>
      <c r="C59" s="13">
        <v>4709.75</v>
      </c>
      <c r="D59" s="13">
        <v>4770</v>
      </c>
      <c r="E59" s="13">
        <v>4704.7002000000002</v>
      </c>
      <c r="F59" s="13">
        <v>4742.9502000000002</v>
      </c>
      <c r="G59" s="13">
        <v>431385</v>
      </c>
      <c r="H59" s="13">
        <v>4830</v>
      </c>
      <c r="I59" s="13">
        <v>4742.95</v>
      </c>
      <c r="K59" s="13">
        <v>4793.7378683838388</v>
      </c>
      <c r="L59" s="13">
        <v>4736.352981777778</v>
      </c>
      <c r="O59" s="13" t="s">
        <v>405</v>
      </c>
      <c r="P59" s="13">
        <v>4743.3100000000004</v>
      </c>
      <c r="Q59" s="13" t="s">
        <v>406</v>
      </c>
    </row>
    <row r="60" spans="1:19" x14ac:dyDescent="0.3">
      <c r="A60" s="54">
        <v>45442.385416666664</v>
      </c>
      <c r="B60" t="s">
        <v>467</v>
      </c>
      <c r="C60" s="13">
        <v>3844</v>
      </c>
      <c r="D60" s="13">
        <v>3869.8</v>
      </c>
      <c r="E60" s="13">
        <v>3793.6498999999999</v>
      </c>
      <c r="F60" s="13">
        <v>3848.2</v>
      </c>
      <c r="G60" s="13">
        <v>139121</v>
      </c>
      <c r="H60" s="13">
        <v>3923.3</v>
      </c>
      <c r="I60" s="13">
        <v>3772.08</v>
      </c>
      <c r="J60" s="13" t="s">
        <v>408</v>
      </c>
      <c r="K60" s="13">
        <v>3848.6587802020199</v>
      </c>
      <c r="L60" s="13">
        <v>3855.262866222221</v>
      </c>
      <c r="O60" s="13" t="s">
        <v>410</v>
      </c>
      <c r="P60" s="13">
        <v>3842.1</v>
      </c>
      <c r="Q60" s="13" t="s">
        <v>406</v>
      </c>
    </row>
    <row r="61" spans="1:19" x14ac:dyDescent="0.3">
      <c r="A61" s="54">
        <v>45442.385416666664</v>
      </c>
      <c r="B61" t="s">
        <v>468</v>
      </c>
      <c r="C61" s="13">
        <v>505.5</v>
      </c>
      <c r="D61" s="13">
        <v>509</v>
      </c>
      <c r="E61" s="13">
        <v>495.75</v>
      </c>
      <c r="F61" s="13">
        <v>497.95001000000002</v>
      </c>
      <c r="G61" s="13">
        <v>5676238</v>
      </c>
      <c r="H61" s="13">
        <v>509.9</v>
      </c>
      <c r="I61" s="13">
        <v>488.15</v>
      </c>
      <c r="J61" s="13" t="s">
        <v>408</v>
      </c>
      <c r="K61" s="13">
        <v>509.10742025757571</v>
      </c>
      <c r="L61" s="13">
        <v>509.38755808888891</v>
      </c>
      <c r="O61" s="13" t="s">
        <v>410</v>
      </c>
      <c r="P61" s="13">
        <v>508.61</v>
      </c>
      <c r="Q61" s="13" t="s">
        <v>406</v>
      </c>
      <c r="S61" t="s">
        <v>402</v>
      </c>
    </row>
    <row r="62" spans="1:19" x14ac:dyDescent="0.3">
      <c r="A62" s="54">
        <v>45442.385416666664</v>
      </c>
      <c r="B62" t="s">
        <v>469</v>
      </c>
      <c r="C62" s="13">
        <v>159.94999999999999</v>
      </c>
      <c r="D62" s="13">
        <v>162</v>
      </c>
      <c r="E62" s="13">
        <v>159.35001</v>
      </c>
      <c r="F62" s="13">
        <v>160.30000000000001</v>
      </c>
      <c r="G62" s="13">
        <v>8503177</v>
      </c>
      <c r="H62" s="13">
        <v>162.62</v>
      </c>
      <c r="I62" s="13">
        <v>159.5</v>
      </c>
      <c r="J62" s="13" t="s">
        <v>408</v>
      </c>
      <c r="K62" s="13">
        <v>160.12525043939391</v>
      </c>
      <c r="L62" s="13">
        <v>159.55866675555561</v>
      </c>
      <c r="O62" s="13" t="s">
        <v>405</v>
      </c>
      <c r="P62" s="13">
        <v>160.53</v>
      </c>
      <c r="Q62" s="13" t="s">
        <v>411</v>
      </c>
      <c r="R62" s="13" t="s">
        <v>401</v>
      </c>
    </row>
    <row r="63" spans="1:19" x14ac:dyDescent="0.3">
      <c r="A63" s="54">
        <v>45442.385416666664</v>
      </c>
      <c r="B63" t="s">
        <v>470</v>
      </c>
      <c r="C63" s="13">
        <v>201</v>
      </c>
      <c r="D63" s="13">
        <v>203.14999</v>
      </c>
      <c r="E63" s="13">
        <v>197.89999</v>
      </c>
      <c r="F63" s="13">
        <v>199.39999</v>
      </c>
      <c r="G63" s="13">
        <v>16892576</v>
      </c>
      <c r="H63" s="13">
        <v>205.71</v>
      </c>
      <c r="I63" s="13">
        <v>199.4</v>
      </c>
      <c r="K63" s="13">
        <v>200.4062352777778</v>
      </c>
      <c r="L63" s="13">
        <v>199.64510444444437</v>
      </c>
      <c r="O63" s="13" t="s">
        <v>405</v>
      </c>
      <c r="P63" s="13">
        <v>199.89</v>
      </c>
      <c r="Q63" s="13" t="s">
        <v>406</v>
      </c>
    </row>
    <row r="64" spans="1:19" x14ac:dyDescent="0.3">
      <c r="A64" s="54">
        <v>45442.385416666664</v>
      </c>
      <c r="B64" t="s">
        <v>471</v>
      </c>
      <c r="C64" s="13">
        <v>1173.3</v>
      </c>
      <c r="D64" s="13">
        <v>1180.75</v>
      </c>
      <c r="E64" s="13">
        <v>1148.55</v>
      </c>
      <c r="F64" s="13">
        <v>1156</v>
      </c>
      <c r="G64" s="13">
        <v>815238</v>
      </c>
      <c r="H64" s="13">
        <v>1180.4000000000001</v>
      </c>
      <c r="I64" s="13">
        <v>1121.23</v>
      </c>
      <c r="J64" s="13" t="s">
        <v>408</v>
      </c>
      <c r="K64" s="13">
        <v>1181.2486616161614</v>
      </c>
      <c r="L64" s="13">
        <v>1191.146666666667</v>
      </c>
      <c r="O64" s="13" t="s">
        <v>410</v>
      </c>
      <c r="P64" s="13">
        <v>1179.03</v>
      </c>
      <c r="Q64" s="13" t="s">
        <v>406</v>
      </c>
      <c r="S64" t="s">
        <v>402</v>
      </c>
    </row>
    <row r="65" spans="1:19" x14ac:dyDescent="0.3">
      <c r="A65" s="54">
        <v>45442.385416666664</v>
      </c>
      <c r="B65" t="s">
        <v>472</v>
      </c>
      <c r="C65" s="13">
        <v>88.75</v>
      </c>
      <c r="D65" s="13">
        <v>88.800003000000004</v>
      </c>
      <c r="E65" s="13">
        <v>80.25</v>
      </c>
      <c r="F65" s="13">
        <v>81.050003000000004</v>
      </c>
      <c r="G65" s="13">
        <v>97495544</v>
      </c>
      <c r="H65" s="13">
        <v>88.16</v>
      </c>
      <c r="I65" s="13">
        <v>81.05</v>
      </c>
      <c r="K65" s="13">
        <v>86.253787424242432</v>
      </c>
      <c r="L65" s="13">
        <v>83.166668933333327</v>
      </c>
      <c r="O65" s="13" t="s">
        <v>405</v>
      </c>
      <c r="P65" s="13">
        <v>84.71</v>
      </c>
      <c r="Q65" s="13" t="s">
        <v>406</v>
      </c>
    </row>
    <row r="66" spans="1:19" x14ac:dyDescent="0.3">
      <c r="A66" s="54">
        <v>45442.385416666664</v>
      </c>
      <c r="B66" t="s">
        <v>473</v>
      </c>
      <c r="C66" s="13">
        <v>666.95001000000002</v>
      </c>
      <c r="D66" s="13">
        <v>669.5</v>
      </c>
      <c r="E66" s="13">
        <v>638.5</v>
      </c>
      <c r="F66" s="13">
        <v>640.5</v>
      </c>
      <c r="G66" s="13">
        <v>727097</v>
      </c>
      <c r="H66" s="13">
        <v>673.35</v>
      </c>
      <c r="I66" s="13">
        <v>640.5</v>
      </c>
      <c r="J66" s="13" t="s">
        <v>408</v>
      </c>
      <c r="K66" s="13">
        <v>660.58600260101014</v>
      </c>
      <c r="L66" s="13">
        <v>651.32045235555563</v>
      </c>
      <c r="N66" s="13" t="s">
        <v>404</v>
      </c>
      <c r="O66" s="13" t="s">
        <v>405</v>
      </c>
      <c r="P66" s="13">
        <v>658.14</v>
      </c>
      <c r="Q66" s="13" t="s">
        <v>406</v>
      </c>
      <c r="S66" t="s">
        <v>402</v>
      </c>
    </row>
    <row r="67" spans="1:19" x14ac:dyDescent="0.3">
      <c r="A67" s="54">
        <v>45442.385416666664</v>
      </c>
      <c r="B67" t="s">
        <v>474</v>
      </c>
      <c r="C67" s="13">
        <v>1299.3</v>
      </c>
      <c r="D67" s="13">
        <v>1303.2</v>
      </c>
      <c r="E67" s="13">
        <v>1266.4000000000001</v>
      </c>
      <c r="F67" s="13">
        <v>1273.95</v>
      </c>
      <c r="G67" s="13">
        <v>433156</v>
      </c>
      <c r="H67" s="13">
        <v>1316.51</v>
      </c>
      <c r="I67" s="13">
        <v>1273.95</v>
      </c>
      <c r="K67" s="13">
        <v>1312.3849747474746</v>
      </c>
      <c r="L67" s="13">
        <v>1286.6564444444446</v>
      </c>
      <c r="O67" s="13" t="s">
        <v>405</v>
      </c>
      <c r="P67" s="13">
        <v>1290.98</v>
      </c>
      <c r="Q67" s="13" t="s">
        <v>406</v>
      </c>
    </row>
    <row r="68" spans="1:19" x14ac:dyDescent="0.3">
      <c r="A68" s="54">
        <v>45442.385416666664</v>
      </c>
      <c r="B68" t="s">
        <v>475</v>
      </c>
      <c r="C68" s="13">
        <v>2760</v>
      </c>
      <c r="D68" s="13">
        <v>2775</v>
      </c>
      <c r="E68" s="13">
        <v>2707.95</v>
      </c>
      <c r="F68" s="13">
        <v>2721.75</v>
      </c>
      <c r="G68" s="13">
        <v>276512</v>
      </c>
      <c r="H68" s="13">
        <v>2843.3</v>
      </c>
      <c r="I68" s="13">
        <v>2737</v>
      </c>
      <c r="J68" s="13" t="s">
        <v>408</v>
      </c>
      <c r="K68" s="13">
        <v>2752.8240879797982</v>
      </c>
      <c r="L68" s="13">
        <v>2732.29380488889</v>
      </c>
      <c r="O68" s="13" t="s">
        <v>405</v>
      </c>
      <c r="P68" s="13">
        <v>2742.2</v>
      </c>
      <c r="Q68" s="13" t="s">
        <v>406</v>
      </c>
    </row>
    <row r="69" spans="1:19" x14ac:dyDescent="0.3">
      <c r="A69" s="54">
        <v>45442.385416666664</v>
      </c>
      <c r="B69" t="s">
        <v>476</v>
      </c>
      <c r="C69" s="13">
        <v>425.20001000000002</v>
      </c>
      <c r="D69" s="13">
        <v>433</v>
      </c>
      <c r="E69" s="13">
        <v>420.60001</v>
      </c>
      <c r="F69" s="13">
        <v>424.79998999999998</v>
      </c>
      <c r="G69" s="13">
        <v>1383130</v>
      </c>
      <c r="H69" s="13">
        <v>438.14</v>
      </c>
      <c r="I69" s="13">
        <v>424.8</v>
      </c>
      <c r="K69" s="13">
        <v>437.30850924747466</v>
      </c>
      <c r="L69" s="13">
        <v>428.4555504444445</v>
      </c>
      <c r="O69" s="13" t="s">
        <v>405</v>
      </c>
      <c r="P69" s="13">
        <v>430.23</v>
      </c>
      <c r="Q69" s="13" t="s">
        <v>406</v>
      </c>
    </row>
    <row r="70" spans="1:19" x14ac:dyDescent="0.3">
      <c r="A70" s="54">
        <v>45442.385416666664</v>
      </c>
      <c r="B70" t="s">
        <v>477</v>
      </c>
      <c r="C70" s="13">
        <v>2404</v>
      </c>
      <c r="D70" s="13">
        <v>2406.6001000000001</v>
      </c>
      <c r="E70" s="13">
        <v>2328</v>
      </c>
      <c r="F70" s="13">
        <v>2345.1999999999998</v>
      </c>
      <c r="G70" s="13">
        <v>826458</v>
      </c>
      <c r="H70" s="13">
        <v>2431.2399999999998</v>
      </c>
      <c r="I70" s="13">
        <v>2345.1999999999998</v>
      </c>
      <c r="K70" s="13">
        <v>2394.5050317171717</v>
      </c>
      <c r="L70" s="13">
        <v>2359.792718222222</v>
      </c>
      <c r="O70" s="13" t="s">
        <v>405</v>
      </c>
      <c r="P70" s="13">
        <v>2374.8200000000002</v>
      </c>
      <c r="Q70" s="13" t="s">
        <v>406</v>
      </c>
    </row>
    <row r="71" spans="1:19" x14ac:dyDescent="0.3">
      <c r="A71" s="54">
        <v>45442.385416666664</v>
      </c>
      <c r="B71" t="s">
        <v>478</v>
      </c>
      <c r="C71" s="13">
        <v>555.04998999999998</v>
      </c>
      <c r="D71" s="13">
        <v>555.04998999999998</v>
      </c>
      <c r="E71" s="13">
        <v>535.65002000000004</v>
      </c>
      <c r="F71" s="13">
        <v>540</v>
      </c>
      <c r="G71" s="13">
        <v>765462</v>
      </c>
      <c r="H71" s="13">
        <v>560.47</v>
      </c>
      <c r="I71" s="13">
        <v>540</v>
      </c>
      <c r="K71" s="13">
        <v>548.44332724242429</v>
      </c>
      <c r="L71" s="13">
        <v>542.72488324444453</v>
      </c>
      <c r="O71" s="13" t="s">
        <v>405</v>
      </c>
      <c r="P71" s="13">
        <v>545.21</v>
      </c>
      <c r="Q71" s="13" t="s">
        <v>406</v>
      </c>
    </row>
    <row r="72" spans="1:19" x14ac:dyDescent="0.3">
      <c r="A72" s="54">
        <v>45442.385416666664</v>
      </c>
      <c r="B72" t="s">
        <v>479</v>
      </c>
      <c r="C72" s="13">
        <v>5062.0497999999998</v>
      </c>
      <c r="D72" s="13">
        <v>5090</v>
      </c>
      <c r="E72" s="13">
        <v>4953.0497999999998</v>
      </c>
      <c r="F72" s="13">
        <v>4976.25</v>
      </c>
      <c r="G72" s="13">
        <v>2751972</v>
      </c>
      <c r="H72" s="13">
        <v>5166.6499999999996</v>
      </c>
      <c r="I72" s="13">
        <v>4915.2</v>
      </c>
      <c r="J72" s="13" t="s">
        <v>408</v>
      </c>
      <c r="K72" s="13">
        <v>5144.4408194949492</v>
      </c>
      <c r="L72" s="13">
        <v>5018.5304559999995</v>
      </c>
      <c r="O72" s="13" t="s">
        <v>405</v>
      </c>
      <c r="P72" s="13">
        <v>5012.66</v>
      </c>
      <c r="Q72" s="13" t="s">
        <v>406</v>
      </c>
    </row>
    <row r="73" spans="1:19" x14ac:dyDescent="0.3">
      <c r="A73" s="54">
        <v>45442.385416666664</v>
      </c>
      <c r="B73" t="s">
        <v>480</v>
      </c>
      <c r="C73" s="13">
        <v>1892.4</v>
      </c>
      <c r="D73" s="13">
        <v>1904.8</v>
      </c>
      <c r="E73" s="13">
        <v>1854.4</v>
      </c>
      <c r="F73" s="13">
        <v>1860.6</v>
      </c>
      <c r="G73" s="13">
        <v>1204504</v>
      </c>
      <c r="H73" s="13">
        <v>1893.55</v>
      </c>
      <c r="I73" s="13">
        <v>1846.61</v>
      </c>
      <c r="J73" s="13" t="s">
        <v>408</v>
      </c>
      <c r="K73" s="13">
        <v>1898.3408080808083</v>
      </c>
      <c r="L73" s="13">
        <v>1877.5059999999999</v>
      </c>
      <c r="O73" s="13" t="s">
        <v>405</v>
      </c>
      <c r="P73" s="13">
        <v>1877.23</v>
      </c>
      <c r="Q73" s="13" t="s">
        <v>406</v>
      </c>
    </row>
    <row r="74" spans="1:19" x14ac:dyDescent="0.3">
      <c r="A74" s="54">
        <v>45442.385416666664</v>
      </c>
      <c r="B74" t="s">
        <v>481</v>
      </c>
      <c r="C74" s="13">
        <v>1346</v>
      </c>
      <c r="D74" s="13">
        <v>1351.55</v>
      </c>
      <c r="E74" s="13">
        <v>1325.1</v>
      </c>
      <c r="F74" s="13">
        <v>1331.85</v>
      </c>
      <c r="G74" s="13">
        <v>4150419</v>
      </c>
      <c r="H74" s="13">
        <v>1358.4</v>
      </c>
      <c r="I74" s="13">
        <v>1331.85</v>
      </c>
      <c r="J74" s="13" t="s">
        <v>408</v>
      </c>
      <c r="K74" s="13">
        <v>1352.2382323232325</v>
      </c>
      <c r="L74" s="13">
        <v>1340.8717777777777</v>
      </c>
      <c r="O74" s="13" t="s">
        <v>405</v>
      </c>
      <c r="P74" s="13">
        <v>1345.58</v>
      </c>
      <c r="Q74" s="13" t="s">
        <v>406</v>
      </c>
    </row>
    <row r="75" spans="1:19" x14ac:dyDescent="0.3">
      <c r="A75" s="54">
        <v>45442.385416666664</v>
      </c>
      <c r="B75" t="s">
        <v>482</v>
      </c>
      <c r="C75" s="13">
        <v>3871</v>
      </c>
      <c r="D75" s="13">
        <v>3872</v>
      </c>
      <c r="E75" s="13">
        <v>3726.05</v>
      </c>
      <c r="F75" s="13">
        <v>3748.75</v>
      </c>
      <c r="G75" s="13">
        <v>607555</v>
      </c>
      <c r="H75" s="13">
        <v>3922.09</v>
      </c>
      <c r="I75" s="13">
        <v>3748.75</v>
      </c>
      <c r="K75" s="13">
        <v>3922.3514060101006</v>
      </c>
      <c r="L75" s="13">
        <v>3835.9653408888894</v>
      </c>
      <c r="N75" s="13" t="s">
        <v>404</v>
      </c>
      <c r="O75" s="13" t="s">
        <v>405</v>
      </c>
      <c r="P75" s="13">
        <v>3896.96</v>
      </c>
      <c r="Q75" s="13" t="s">
        <v>406</v>
      </c>
      <c r="S75" t="s">
        <v>402</v>
      </c>
    </row>
    <row r="76" spans="1:19" x14ac:dyDescent="0.3">
      <c r="A76" s="54">
        <v>45442.385416666664</v>
      </c>
      <c r="B76" t="s">
        <v>483</v>
      </c>
      <c r="C76" s="13">
        <v>1499.2</v>
      </c>
      <c r="D76" s="13">
        <v>1523.6</v>
      </c>
      <c r="E76" s="13">
        <v>1497.65</v>
      </c>
      <c r="F76" s="13">
        <v>1514.85</v>
      </c>
      <c r="G76" s="13">
        <v>16877656</v>
      </c>
      <c r="H76" s="13">
        <v>1530.5</v>
      </c>
      <c r="I76" s="13">
        <v>1507.33</v>
      </c>
      <c r="J76" s="13" t="s">
        <v>408</v>
      </c>
      <c r="K76" s="13">
        <v>1535.8194949494948</v>
      </c>
      <c r="L76" s="13">
        <v>1522.0619999999997</v>
      </c>
      <c r="O76" s="13" t="s">
        <v>405</v>
      </c>
      <c r="P76" s="13">
        <v>1526.21</v>
      </c>
      <c r="Q76" s="13" t="s">
        <v>406</v>
      </c>
    </row>
    <row r="77" spans="1:19" x14ac:dyDescent="0.3">
      <c r="A77" s="54">
        <v>45442.385416666664</v>
      </c>
      <c r="B77" t="s">
        <v>484</v>
      </c>
      <c r="C77" s="13">
        <v>552.75</v>
      </c>
      <c r="D77" s="13">
        <v>563.84997999999996</v>
      </c>
      <c r="E77" s="13">
        <v>548.25</v>
      </c>
      <c r="F77" s="13">
        <v>550.75</v>
      </c>
      <c r="G77" s="13">
        <v>6312875</v>
      </c>
      <c r="H77" s="13">
        <v>568.78</v>
      </c>
      <c r="I77" s="13">
        <v>550.75</v>
      </c>
      <c r="K77" s="13">
        <v>564.59539675252518</v>
      </c>
      <c r="L77" s="13">
        <v>556.84221533333334</v>
      </c>
      <c r="O77" s="13" t="s">
        <v>405</v>
      </c>
      <c r="P77" s="13">
        <v>562.82000000000005</v>
      </c>
      <c r="Q77" s="13" t="s">
        <v>406</v>
      </c>
      <c r="S77" t="s">
        <v>402</v>
      </c>
    </row>
    <row r="78" spans="1:19" x14ac:dyDescent="0.3">
      <c r="A78" s="54">
        <v>45442.385416666664</v>
      </c>
      <c r="B78" t="s">
        <v>485</v>
      </c>
      <c r="C78" s="13">
        <v>5129</v>
      </c>
      <c r="D78" s="13">
        <v>5186.9502000000002</v>
      </c>
      <c r="E78" s="13">
        <v>5094.7002000000002</v>
      </c>
      <c r="F78" s="13">
        <v>5136</v>
      </c>
      <c r="G78" s="13">
        <v>457454</v>
      </c>
      <c r="H78" s="13">
        <v>5183.95</v>
      </c>
      <c r="I78" s="13">
        <v>5031.8900000000003</v>
      </c>
      <c r="J78" s="13" t="s">
        <v>408</v>
      </c>
      <c r="K78" s="13">
        <v>5160.4767304040406</v>
      </c>
      <c r="L78" s="13">
        <v>5151.9131164444452</v>
      </c>
      <c r="N78" s="13" t="s">
        <v>404</v>
      </c>
      <c r="O78" s="13" t="s">
        <v>405</v>
      </c>
      <c r="P78" s="13">
        <v>5160.51</v>
      </c>
      <c r="Q78" s="13" t="s">
        <v>411</v>
      </c>
    </row>
    <row r="79" spans="1:19" x14ac:dyDescent="0.3">
      <c r="A79" s="54">
        <v>45442.385416666664</v>
      </c>
      <c r="B79" t="s">
        <v>486</v>
      </c>
      <c r="C79" s="13">
        <v>704.84997999999996</v>
      </c>
      <c r="D79" s="13">
        <v>713.04998999999998</v>
      </c>
      <c r="E79" s="13">
        <v>693.34997999999996</v>
      </c>
      <c r="F79" s="13">
        <v>695.15002000000004</v>
      </c>
      <c r="G79" s="13">
        <v>10361716</v>
      </c>
      <c r="H79" s="13">
        <v>705.3</v>
      </c>
      <c r="I79" s="13">
        <v>681.98</v>
      </c>
      <c r="J79" s="13" t="s">
        <v>408</v>
      </c>
      <c r="K79" s="13">
        <v>693.975350282828</v>
      </c>
      <c r="L79" s="13">
        <v>698.9524537333333</v>
      </c>
      <c r="O79" s="13" t="s">
        <v>410</v>
      </c>
      <c r="P79" s="13">
        <v>693.37</v>
      </c>
      <c r="Q79" s="13" t="s">
        <v>406</v>
      </c>
      <c r="S79" t="s">
        <v>402</v>
      </c>
    </row>
    <row r="80" spans="1:19" x14ac:dyDescent="0.3">
      <c r="A80" s="54">
        <v>45442.385416666664</v>
      </c>
      <c r="B80" t="s">
        <v>487</v>
      </c>
      <c r="C80" s="13">
        <v>373</v>
      </c>
      <c r="D80" s="13">
        <v>375.25</v>
      </c>
      <c r="E80" s="13">
        <v>351.60001</v>
      </c>
      <c r="F80" s="13">
        <v>354.39999</v>
      </c>
      <c r="G80" s="13">
        <v>17523289</v>
      </c>
      <c r="H80" s="13">
        <v>379.95</v>
      </c>
      <c r="I80" s="13">
        <v>354.4</v>
      </c>
      <c r="K80" s="13">
        <v>364.8756278131313</v>
      </c>
      <c r="L80" s="13">
        <v>360.82421208888894</v>
      </c>
      <c r="N80" s="13" t="s">
        <v>404</v>
      </c>
      <c r="O80" s="13" t="s">
        <v>405</v>
      </c>
      <c r="P80" s="13">
        <v>364.2</v>
      </c>
      <c r="Q80" s="13" t="s">
        <v>406</v>
      </c>
      <c r="S80" t="s">
        <v>402</v>
      </c>
    </row>
    <row r="81" spans="1:19" x14ac:dyDescent="0.3">
      <c r="A81" s="54">
        <v>45442.385416666664</v>
      </c>
      <c r="B81" t="s">
        <v>488</v>
      </c>
      <c r="C81" s="13">
        <v>538.59997999999996</v>
      </c>
      <c r="D81" s="13">
        <v>542.65002000000004</v>
      </c>
      <c r="E81" s="13">
        <v>530.40002000000004</v>
      </c>
      <c r="F81" s="13">
        <v>534.45001000000002</v>
      </c>
      <c r="G81" s="13">
        <v>4247593</v>
      </c>
      <c r="H81" s="13">
        <v>557.15</v>
      </c>
      <c r="I81" s="13">
        <v>529.1</v>
      </c>
      <c r="J81" s="13" t="s">
        <v>408</v>
      </c>
      <c r="K81" s="13">
        <v>550.73272338383833</v>
      </c>
      <c r="L81" s="13">
        <v>538.73801417777781</v>
      </c>
      <c r="O81" s="13" t="s">
        <v>405</v>
      </c>
      <c r="P81" s="13">
        <v>539.79</v>
      </c>
      <c r="Q81" s="13" t="s">
        <v>406</v>
      </c>
    </row>
    <row r="82" spans="1:19" x14ac:dyDescent="0.3">
      <c r="A82" s="54">
        <v>45442.385416666664</v>
      </c>
      <c r="B82" t="s">
        <v>489</v>
      </c>
      <c r="C82" s="13">
        <v>2368</v>
      </c>
      <c r="D82" s="13">
        <v>2372.4499999999998</v>
      </c>
      <c r="E82" s="13">
        <v>2334.0500000000002</v>
      </c>
      <c r="F82" s="13">
        <v>2351.3998999999999</v>
      </c>
      <c r="G82" s="13">
        <v>1837380</v>
      </c>
      <c r="H82" s="13">
        <v>2387.14</v>
      </c>
      <c r="I82" s="13">
        <v>2351.4</v>
      </c>
      <c r="K82" s="13">
        <v>2388.428939292929</v>
      </c>
      <c r="L82" s="13">
        <v>2363.9759048888886</v>
      </c>
      <c r="O82" s="13" t="s">
        <v>405</v>
      </c>
      <c r="P82" s="13">
        <v>2365.3000000000002</v>
      </c>
      <c r="Q82" s="13" t="s">
        <v>406</v>
      </c>
    </row>
    <row r="83" spans="1:19" x14ac:dyDescent="0.3">
      <c r="A83" s="54">
        <v>45442.385416666664</v>
      </c>
      <c r="B83" t="s">
        <v>490</v>
      </c>
      <c r="C83" s="13">
        <v>1097</v>
      </c>
      <c r="D83" s="13">
        <v>1121</v>
      </c>
      <c r="E83" s="13">
        <v>1096.9000000000001</v>
      </c>
      <c r="F83" s="13">
        <v>1113.7</v>
      </c>
      <c r="G83" s="13">
        <v>15254785</v>
      </c>
      <c r="H83" s="13">
        <v>1130</v>
      </c>
      <c r="I83" s="13">
        <v>1102</v>
      </c>
      <c r="K83" s="13">
        <v>1116.8110858585858</v>
      </c>
      <c r="L83" s="13">
        <v>1109.6724444444446</v>
      </c>
      <c r="O83" s="13" t="s">
        <v>405</v>
      </c>
      <c r="P83" s="13">
        <v>1113.8599999999999</v>
      </c>
      <c r="Q83" s="13" t="s">
        <v>406</v>
      </c>
    </row>
    <row r="84" spans="1:19" x14ac:dyDescent="0.3">
      <c r="A84" s="54">
        <v>45442.385416666664</v>
      </c>
      <c r="B84" t="s">
        <v>491</v>
      </c>
      <c r="C84" s="13">
        <v>1594.8</v>
      </c>
      <c r="D84" s="13">
        <v>1608.9</v>
      </c>
      <c r="E84" s="13">
        <v>1579.5</v>
      </c>
      <c r="F84" s="13">
        <v>1586.15</v>
      </c>
      <c r="G84" s="13">
        <v>218899</v>
      </c>
      <c r="H84" s="13">
        <v>1630.34</v>
      </c>
      <c r="I84" s="13">
        <v>1586.15</v>
      </c>
      <c r="K84" s="13">
        <v>1602.2978030303032</v>
      </c>
      <c r="L84" s="13">
        <v>1584.1755555555553</v>
      </c>
      <c r="O84" s="13" t="s">
        <v>405</v>
      </c>
      <c r="P84" s="13">
        <v>1596.49</v>
      </c>
      <c r="Q84" s="13" t="s">
        <v>406</v>
      </c>
    </row>
    <row r="85" spans="1:19" x14ac:dyDescent="0.3">
      <c r="A85" s="54">
        <v>45442.385416666664</v>
      </c>
      <c r="B85" t="s">
        <v>492</v>
      </c>
      <c r="C85" s="13">
        <v>556</v>
      </c>
      <c r="D85" s="13">
        <v>562.95001000000002</v>
      </c>
      <c r="E85" s="13">
        <v>544</v>
      </c>
      <c r="F85" s="13">
        <v>548.95001000000002</v>
      </c>
      <c r="G85" s="13">
        <v>2669270</v>
      </c>
      <c r="H85" s="13">
        <v>569.91999999999996</v>
      </c>
      <c r="I85" s="13">
        <v>548.95000000000005</v>
      </c>
      <c r="K85" s="13">
        <v>561.82689858585854</v>
      </c>
      <c r="L85" s="13">
        <v>550.99156480000011</v>
      </c>
      <c r="O85" s="13" t="s">
        <v>405</v>
      </c>
      <c r="P85" s="13">
        <v>558.07000000000005</v>
      </c>
      <c r="Q85" s="13" t="s">
        <v>406</v>
      </c>
    </row>
    <row r="86" spans="1:19" x14ac:dyDescent="0.3">
      <c r="A86" s="54">
        <v>45442.385416666664</v>
      </c>
      <c r="B86" t="s">
        <v>493</v>
      </c>
      <c r="C86" s="13">
        <v>14.85</v>
      </c>
      <c r="D86" s="13">
        <v>15.05</v>
      </c>
      <c r="E86" s="13">
        <v>14.5</v>
      </c>
      <c r="F86" s="13">
        <v>14.6</v>
      </c>
      <c r="G86" s="13">
        <v>1095271740</v>
      </c>
      <c r="H86" s="13">
        <v>15.1</v>
      </c>
      <c r="I86" s="13">
        <v>14.49</v>
      </c>
      <c r="J86" s="13" t="s">
        <v>408</v>
      </c>
      <c r="K86" s="13">
        <v>15.14017676767677</v>
      </c>
      <c r="L86" s="13">
        <v>14.792222222222222</v>
      </c>
      <c r="O86" s="13" t="s">
        <v>405</v>
      </c>
      <c r="P86" s="13">
        <v>14.83</v>
      </c>
      <c r="Q86" s="13" t="s">
        <v>406</v>
      </c>
    </row>
    <row r="87" spans="1:19" x14ac:dyDescent="0.3">
      <c r="A87" s="54">
        <v>45442.385416666664</v>
      </c>
      <c r="B87" t="s">
        <v>494</v>
      </c>
      <c r="C87" s="13">
        <v>114.2</v>
      </c>
      <c r="D87" s="13">
        <v>114.95</v>
      </c>
      <c r="E87" s="13">
        <v>112.95</v>
      </c>
      <c r="F87" s="13">
        <v>113.95</v>
      </c>
      <c r="G87" s="13">
        <v>7622285</v>
      </c>
      <c r="H87" s="13">
        <v>116</v>
      </c>
      <c r="I87" s="13">
        <v>113.95</v>
      </c>
      <c r="K87" s="13">
        <v>115.27712121212119</v>
      </c>
      <c r="L87" s="13">
        <v>114.38777777777777</v>
      </c>
      <c r="O87" s="13" t="s">
        <v>405</v>
      </c>
      <c r="P87" s="13">
        <v>114.81</v>
      </c>
      <c r="Q87" s="13" t="s">
        <v>406</v>
      </c>
    </row>
    <row r="88" spans="1:19" x14ac:dyDescent="0.3">
      <c r="A88" s="54">
        <v>45442.385416666664</v>
      </c>
      <c r="B88" t="s">
        <v>495</v>
      </c>
      <c r="C88" s="13">
        <v>77.099997999999999</v>
      </c>
      <c r="D88" s="13">
        <v>78.150002000000001</v>
      </c>
      <c r="E88" s="13">
        <v>76.949996999999996</v>
      </c>
      <c r="F88" s="13">
        <v>77.550003000000004</v>
      </c>
      <c r="G88" s="13">
        <v>27958294</v>
      </c>
      <c r="H88" s="13">
        <v>78.650000000000006</v>
      </c>
      <c r="I88" s="13">
        <v>77.150000000000006</v>
      </c>
      <c r="J88" s="13" t="s">
        <v>408</v>
      </c>
      <c r="K88" s="13">
        <v>77.871995758080814</v>
      </c>
      <c r="L88" s="13">
        <v>77.497557577777783</v>
      </c>
      <c r="O88" s="13" t="s">
        <v>405</v>
      </c>
      <c r="P88" s="13">
        <v>77.680000000000007</v>
      </c>
      <c r="Q88" s="13" t="s">
        <v>406</v>
      </c>
    </row>
    <row r="89" spans="1:19" x14ac:dyDescent="0.3">
      <c r="A89" s="54">
        <v>45442.385416666664</v>
      </c>
      <c r="B89" t="s">
        <v>496</v>
      </c>
      <c r="C89" s="13">
        <v>156.30000000000001</v>
      </c>
      <c r="D89" s="13">
        <v>157.5</v>
      </c>
      <c r="E89" s="13">
        <v>153.55000000000001</v>
      </c>
      <c r="F89" s="13">
        <v>154.30000000000001</v>
      </c>
      <c r="G89" s="13">
        <v>6451946</v>
      </c>
      <c r="H89" s="13">
        <v>160.62</v>
      </c>
      <c r="I89" s="13">
        <v>154.30000000000001</v>
      </c>
      <c r="K89" s="13">
        <v>157.69168831818183</v>
      </c>
      <c r="L89" s="13">
        <v>155.49444266666666</v>
      </c>
      <c r="O89" s="13" t="s">
        <v>405</v>
      </c>
      <c r="P89" s="13">
        <v>155.5</v>
      </c>
      <c r="Q89" s="13" t="s">
        <v>406</v>
      </c>
    </row>
    <row r="90" spans="1:19" x14ac:dyDescent="0.3">
      <c r="A90" s="54">
        <v>45442.385416666664</v>
      </c>
      <c r="B90" t="s">
        <v>497</v>
      </c>
      <c r="C90" s="13">
        <v>461.5</v>
      </c>
      <c r="D90" s="13">
        <v>463.25</v>
      </c>
      <c r="E90" s="13">
        <v>452</v>
      </c>
      <c r="F90" s="13">
        <v>456.64999</v>
      </c>
      <c r="G90" s="13">
        <v>2755136</v>
      </c>
      <c r="H90" s="13">
        <v>472.7</v>
      </c>
      <c r="I90" s="13">
        <v>454.05</v>
      </c>
      <c r="J90" s="13" t="s">
        <v>408</v>
      </c>
      <c r="K90" s="13">
        <v>469.41502409595961</v>
      </c>
      <c r="L90" s="13">
        <v>462.36132706666672</v>
      </c>
      <c r="O90" s="13" t="s">
        <v>405</v>
      </c>
      <c r="P90" s="13">
        <v>463.58</v>
      </c>
      <c r="Q90" s="13" t="s">
        <v>406</v>
      </c>
    </row>
    <row r="91" spans="1:19" x14ac:dyDescent="0.3">
      <c r="A91" s="54">
        <v>45442.385416666664</v>
      </c>
      <c r="B91" t="s">
        <v>498</v>
      </c>
      <c r="C91" s="13">
        <v>565.90002000000004</v>
      </c>
      <c r="D91" s="13">
        <v>567.04998999999998</v>
      </c>
      <c r="E91" s="13">
        <v>554.70001000000002</v>
      </c>
      <c r="F91" s="13">
        <v>557.20001000000002</v>
      </c>
      <c r="G91" s="13">
        <v>4690139</v>
      </c>
      <c r="H91" s="13">
        <v>573.12</v>
      </c>
      <c r="I91" s="13">
        <v>557.20000000000005</v>
      </c>
      <c r="K91" s="13">
        <v>568.575723919192</v>
      </c>
      <c r="L91" s="13">
        <v>561.2020015999999</v>
      </c>
      <c r="O91" s="13" t="s">
        <v>405</v>
      </c>
      <c r="P91" s="13">
        <v>566.20000000000005</v>
      </c>
      <c r="Q91" s="13" t="s">
        <v>406</v>
      </c>
    </row>
    <row r="92" spans="1:19" x14ac:dyDescent="0.3">
      <c r="A92" s="54">
        <v>45442.385416666664</v>
      </c>
      <c r="B92" t="s">
        <v>499</v>
      </c>
      <c r="C92" s="13">
        <v>213.10001</v>
      </c>
      <c r="D92" s="13">
        <v>214.05</v>
      </c>
      <c r="E92" s="13">
        <v>204.10001</v>
      </c>
      <c r="F92" s="13">
        <v>204.89999</v>
      </c>
      <c r="G92" s="13">
        <v>2382890</v>
      </c>
      <c r="H92" s="13">
        <v>213.8</v>
      </c>
      <c r="I92" s="13">
        <v>204.9</v>
      </c>
      <c r="K92" s="13">
        <v>211.35224381313131</v>
      </c>
      <c r="L92" s="13">
        <v>208.4793271111111</v>
      </c>
      <c r="N92" s="13" t="s">
        <v>404</v>
      </c>
      <c r="O92" s="13" t="s">
        <v>405</v>
      </c>
      <c r="P92" s="13">
        <v>210.72</v>
      </c>
      <c r="Q92" s="13" t="s">
        <v>406</v>
      </c>
      <c r="S92" t="s">
        <v>402</v>
      </c>
    </row>
    <row r="93" spans="1:19" x14ac:dyDescent="0.3">
      <c r="A93" s="54">
        <v>45442.385416666664</v>
      </c>
      <c r="B93" t="s">
        <v>500</v>
      </c>
      <c r="C93" s="13">
        <v>2509.25</v>
      </c>
      <c r="D93" s="13">
        <v>2516.8998999999999</v>
      </c>
      <c r="E93" s="13">
        <v>2437.6001000000001</v>
      </c>
      <c r="F93" s="13">
        <v>2443.3998999999999</v>
      </c>
      <c r="G93" s="13">
        <v>138465</v>
      </c>
      <c r="H93" s="13">
        <v>2538.79</v>
      </c>
      <c r="I93" s="13">
        <v>2443.4</v>
      </c>
      <c r="K93" s="13">
        <v>2482.0438038888892</v>
      </c>
      <c r="L93" s="13">
        <v>2451.7670422222218</v>
      </c>
      <c r="O93" s="13" t="s">
        <v>405</v>
      </c>
      <c r="P93" s="13">
        <v>2479.04</v>
      </c>
      <c r="Q93" s="13" t="s">
        <v>406</v>
      </c>
    </row>
    <row r="94" spans="1:19" x14ac:dyDescent="0.3">
      <c r="A94" s="54">
        <v>45442.385416666664</v>
      </c>
      <c r="B94" t="s">
        <v>501</v>
      </c>
      <c r="C94" s="13">
        <v>4040.05</v>
      </c>
      <c r="D94" s="13">
        <v>4197.8999000000003</v>
      </c>
      <c r="E94" s="13">
        <v>4040.05</v>
      </c>
      <c r="F94" s="13">
        <v>4162.2002000000002</v>
      </c>
      <c r="G94" s="13">
        <v>2191200</v>
      </c>
      <c r="H94" s="13">
        <v>4235.18</v>
      </c>
      <c r="I94" s="13">
        <v>4027.55</v>
      </c>
      <c r="J94" s="13" t="s">
        <v>408</v>
      </c>
      <c r="K94" s="13">
        <v>4106.1416331818182</v>
      </c>
      <c r="L94" s="13">
        <v>4084.8889977777785</v>
      </c>
      <c r="O94" s="13" t="s">
        <v>405</v>
      </c>
      <c r="P94" s="13">
        <v>4096.29</v>
      </c>
      <c r="Q94" s="13" t="s">
        <v>406</v>
      </c>
    </row>
    <row r="95" spans="1:19" x14ac:dyDescent="0.3">
      <c r="A95" s="54">
        <v>45442.385416666664</v>
      </c>
      <c r="B95" t="s">
        <v>502</v>
      </c>
      <c r="C95" s="13">
        <v>1458</v>
      </c>
      <c r="D95" s="13">
        <v>1477.7</v>
      </c>
      <c r="E95" s="13">
        <v>1439.15</v>
      </c>
      <c r="F95" s="13">
        <v>1446.8</v>
      </c>
      <c r="G95" s="13">
        <v>3415841</v>
      </c>
      <c r="H95" s="13">
        <v>1465.1</v>
      </c>
      <c r="I95" s="13">
        <v>1434.25</v>
      </c>
      <c r="J95" s="13" t="s">
        <v>408</v>
      </c>
      <c r="K95" s="13">
        <v>1469.4217676767676</v>
      </c>
      <c r="L95" s="13">
        <v>1457.9442222222217</v>
      </c>
      <c r="N95" s="13" t="s">
        <v>404</v>
      </c>
      <c r="O95" s="13" t="s">
        <v>405</v>
      </c>
      <c r="P95" s="13">
        <v>1465.16</v>
      </c>
      <c r="Q95" s="13" t="s">
        <v>406</v>
      </c>
      <c r="S95" t="s">
        <v>402</v>
      </c>
    </row>
    <row r="96" spans="1:19" x14ac:dyDescent="0.3">
      <c r="A96" s="54">
        <v>45442.385416666664</v>
      </c>
      <c r="B96" t="s">
        <v>503</v>
      </c>
      <c r="C96" s="13">
        <v>340.79998999999998</v>
      </c>
      <c r="D96" s="13">
        <v>346.39999</v>
      </c>
      <c r="E96" s="13">
        <v>338.70001000000002</v>
      </c>
      <c r="F96" s="13">
        <v>343.75</v>
      </c>
      <c r="G96" s="13">
        <v>10307057</v>
      </c>
      <c r="H96" s="13">
        <v>346.7</v>
      </c>
      <c r="I96" s="13">
        <v>340.07</v>
      </c>
      <c r="J96" s="13" t="s">
        <v>408</v>
      </c>
      <c r="K96" s="13">
        <v>342.63982441414146</v>
      </c>
      <c r="L96" s="13">
        <v>342.49089128888897</v>
      </c>
      <c r="O96" s="13" t="s">
        <v>405</v>
      </c>
      <c r="P96" s="13">
        <v>343.47</v>
      </c>
      <c r="Q96" s="13" t="s">
        <v>411</v>
      </c>
      <c r="R96" s="13" t="s">
        <v>401</v>
      </c>
    </row>
    <row r="97" spans="1:19" x14ac:dyDescent="0.3">
      <c r="A97" s="54">
        <v>45442.385416666664</v>
      </c>
      <c r="B97" t="s">
        <v>504</v>
      </c>
      <c r="C97" s="13">
        <v>1442.8</v>
      </c>
      <c r="D97" s="13">
        <v>1449.85</v>
      </c>
      <c r="E97" s="13">
        <v>1421.55</v>
      </c>
      <c r="F97" s="13">
        <v>1427.45</v>
      </c>
      <c r="G97" s="13">
        <v>9663150</v>
      </c>
      <c r="H97" s="13">
        <v>1456.9</v>
      </c>
      <c r="I97" s="13">
        <v>1427.45</v>
      </c>
      <c r="K97" s="13">
        <v>1458.3392676767678</v>
      </c>
      <c r="L97" s="13">
        <v>1436.2191111111108</v>
      </c>
      <c r="O97" s="13" t="s">
        <v>405</v>
      </c>
      <c r="P97" s="13">
        <v>1443.12</v>
      </c>
      <c r="Q97" s="13" t="s">
        <v>406</v>
      </c>
    </row>
    <row r="98" spans="1:19" x14ac:dyDescent="0.3">
      <c r="A98" s="54">
        <v>45442.385416666664</v>
      </c>
      <c r="B98" t="s">
        <v>505</v>
      </c>
      <c r="C98" s="13">
        <v>164.7</v>
      </c>
      <c r="D98" s="13">
        <v>165.25</v>
      </c>
      <c r="E98" s="13">
        <v>161.35001</v>
      </c>
      <c r="F98" s="13">
        <v>161.94999999999999</v>
      </c>
      <c r="G98" s="13">
        <v>13980050</v>
      </c>
      <c r="H98" s="13">
        <v>166.82</v>
      </c>
      <c r="I98" s="13">
        <v>161.94999999999999</v>
      </c>
      <c r="K98" s="13">
        <v>166.08555429797983</v>
      </c>
      <c r="L98" s="13">
        <v>162.91266640000001</v>
      </c>
      <c r="O98" s="13" t="s">
        <v>405</v>
      </c>
      <c r="P98" s="13">
        <v>164.4</v>
      </c>
      <c r="Q98" s="13" t="s">
        <v>406</v>
      </c>
    </row>
    <row r="99" spans="1:19" x14ac:dyDescent="0.3">
      <c r="A99" s="54">
        <v>45442.385416666664</v>
      </c>
      <c r="B99" t="s">
        <v>506</v>
      </c>
      <c r="C99" s="13">
        <v>1291.5999999999999</v>
      </c>
      <c r="D99" s="13">
        <v>1291.5999999999999</v>
      </c>
      <c r="E99" s="13">
        <v>1231.1500000000001</v>
      </c>
      <c r="F99" s="13">
        <v>1249.4000000000001</v>
      </c>
      <c r="G99" s="13">
        <v>644782</v>
      </c>
      <c r="H99" s="13">
        <v>1306.55</v>
      </c>
      <c r="I99" s="13">
        <v>1249.4000000000001</v>
      </c>
      <c r="K99" s="13">
        <v>1289.1610858585859</v>
      </c>
      <c r="L99" s="13">
        <v>1265.6568888888892</v>
      </c>
      <c r="O99" s="13" t="s">
        <v>405</v>
      </c>
      <c r="P99" s="13">
        <v>1276.2</v>
      </c>
      <c r="Q99" s="13" t="s">
        <v>406</v>
      </c>
    </row>
    <row r="100" spans="1:19" x14ac:dyDescent="0.3">
      <c r="A100" s="54">
        <v>45442.385416666664</v>
      </c>
      <c r="B100" t="s">
        <v>507</v>
      </c>
      <c r="C100" s="13">
        <v>1042.9000000000001</v>
      </c>
      <c r="D100" s="13">
        <v>1053.8499999999999</v>
      </c>
      <c r="E100" s="13">
        <v>1020.5</v>
      </c>
      <c r="F100" s="13">
        <v>1025.3499999999999</v>
      </c>
      <c r="G100" s="13">
        <v>2325879</v>
      </c>
      <c r="H100" s="13">
        <v>1070.27</v>
      </c>
      <c r="I100" s="13">
        <v>1025.3499999999999</v>
      </c>
      <c r="K100" s="13">
        <v>1055.8697474747473</v>
      </c>
      <c r="L100" s="13">
        <v>1024.0304444444444</v>
      </c>
      <c r="O100" s="13" t="s">
        <v>405</v>
      </c>
      <c r="P100" s="13">
        <v>1034.8399999999999</v>
      </c>
      <c r="Q100" s="13" t="s">
        <v>406</v>
      </c>
    </row>
    <row r="101" spans="1:19" x14ac:dyDescent="0.3">
      <c r="A101" s="54">
        <v>45442.385416666664</v>
      </c>
      <c r="B101" t="s">
        <v>508</v>
      </c>
      <c r="C101" s="13">
        <v>428.5</v>
      </c>
      <c r="D101" s="13">
        <v>430.95001000000002</v>
      </c>
      <c r="E101" s="13">
        <v>422.35001</v>
      </c>
      <c r="F101" s="13">
        <v>423.85001</v>
      </c>
      <c r="G101" s="13">
        <v>20524428</v>
      </c>
      <c r="H101" s="13">
        <v>433.74</v>
      </c>
      <c r="I101" s="13">
        <v>423.85</v>
      </c>
      <c r="K101" s="13">
        <v>427.70912530303031</v>
      </c>
      <c r="L101" s="13">
        <v>424.0251202222222</v>
      </c>
      <c r="O101" s="13" t="s">
        <v>405</v>
      </c>
      <c r="P101" s="13">
        <v>425</v>
      </c>
      <c r="Q101" s="13" t="s">
        <v>406</v>
      </c>
    </row>
    <row r="102" spans="1:19" x14ac:dyDescent="0.3">
      <c r="A102" s="54">
        <v>45442.385416666664</v>
      </c>
      <c r="B102" t="s">
        <v>509</v>
      </c>
      <c r="C102" s="13">
        <v>1027.2</v>
      </c>
      <c r="D102" s="13">
        <v>1040.1500000000001</v>
      </c>
      <c r="E102" s="13">
        <v>1023.9</v>
      </c>
      <c r="F102" s="13">
        <v>1031.2</v>
      </c>
      <c r="G102" s="13">
        <v>838030</v>
      </c>
      <c r="H102" s="13">
        <v>1056.3</v>
      </c>
      <c r="I102" s="13">
        <v>1031.2</v>
      </c>
      <c r="K102" s="13">
        <v>1047.9513889646466</v>
      </c>
      <c r="L102" s="13">
        <v>1029.6099999999999</v>
      </c>
      <c r="O102" s="13" t="s">
        <v>405</v>
      </c>
      <c r="P102" s="13">
        <v>1031.79</v>
      </c>
      <c r="Q102" s="13" t="s">
        <v>406</v>
      </c>
    </row>
    <row r="103" spans="1:19" x14ac:dyDescent="0.3">
      <c r="A103" s="54">
        <v>45442.385416666664</v>
      </c>
      <c r="B103" t="s">
        <v>510</v>
      </c>
      <c r="C103" s="13">
        <v>3935.55</v>
      </c>
      <c r="D103" s="13">
        <v>4048</v>
      </c>
      <c r="E103" s="13">
        <v>3872</v>
      </c>
      <c r="F103" s="13">
        <v>3903.1498999999999</v>
      </c>
      <c r="G103" s="13">
        <v>88797</v>
      </c>
      <c r="H103" s="13">
        <v>3991.45</v>
      </c>
      <c r="I103" s="13">
        <v>3903.15</v>
      </c>
      <c r="J103" s="13" t="s">
        <v>408</v>
      </c>
      <c r="K103" s="13">
        <v>3972.9926211616166</v>
      </c>
      <c r="L103" s="13">
        <v>3921.0517333333332</v>
      </c>
      <c r="O103" s="13" t="s">
        <v>405</v>
      </c>
      <c r="P103" s="13">
        <v>3939.19</v>
      </c>
      <c r="Q103" s="13" t="s">
        <v>406</v>
      </c>
    </row>
    <row r="104" spans="1:19" x14ac:dyDescent="0.3">
      <c r="A104" s="54">
        <v>45442.385416666664</v>
      </c>
      <c r="B104" t="s">
        <v>511</v>
      </c>
      <c r="C104" s="13">
        <v>900</v>
      </c>
      <c r="D104" s="13">
        <v>900.79998999999998</v>
      </c>
      <c r="E104" s="13">
        <v>873.25</v>
      </c>
      <c r="F104" s="13">
        <v>883.70001000000002</v>
      </c>
      <c r="G104" s="13">
        <v>3993159</v>
      </c>
      <c r="H104" s="13">
        <v>909.4</v>
      </c>
      <c r="I104" s="13">
        <v>883.7</v>
      </c>
      <c r="K104" s="13">
        <v>898.50000664141407</v>
      </c>
      <c r="L104" s="13">
        <v>887.78445422222217</v>
      </c>
      <c r="O104" s="13" t="s">
        <v>405</v>
      </c>
      <c r="P104" s="13">
        <v>891.43</v>
      </c>
      <c r="Q104" s="13" t="s">
        <v>406</v>
      </c>
    </row>
    <row r="105" spans="1:19" x14ac:dyDescent="0.3">
      <c r="A105" s="54">
        <v>45442.385416666664</v>
      </c>
      <c r="B105" t="s">
        <v>512</v>
      </c>
      <c r="C105" s="13">
        <v>513</v>
      </c>
      <c r="D105" s="13">
        <v>523.5</v>
      </c>
      <c r="E105" s="13">
        <v>501.29998999999998</v>
      </c>
      <c r="F105" s="13">
        <v>503.14999</v>
      </c>
      <c r="G105" s="13">
        <v>6695083</v>
      </c>
      <c r="H105" s="13">
        <v>512.79999999999995</v>
      </c>
      <c r="I105" s="13">
        <v>491.58</v>
      </c>
      <c r="J105" s="13" t="s">
        <v>408</v>
      </c>
      <c r="K105" s="13">
        <v>506.2236537323231</v>
      </c>
      <c r="L105" s="13">
        <v>511.25043426666684</v>
      </c>
      <c r="O105" s="13" t="s">
        <v>410</v>
      </c>
      <c r="P105" s="13">
        <v>508.41</v>
      </c>
      <c r="Q105" s="13" t="s">
        <v>411</v>
      </c>
    </row>
    <row r="106" spans="1:19" x14ac:dyDescent="0.3">
      <c r="A106" s="54">
        <v>45442.385416666664</v>
      </c>
      <c r="B106" t="s">
        <v>513</v>
      </c>
      <c r="C106" s="13">
        <v>1684.35</v>
      </c>
      <c r="D106" s="13">
        <v>1707.6</v>
      </c>
      <c r="E106" s="13">
        <v>1683</v>
      </c>
      <c r="F106" s="13">
        <v>1690.1</v>
      </c>
      <c r="G106" s="13">
        <v>5580489</v>
      </c>
      <c r="H106" s="13">
        <v>1711</v>
      </c>
      <c r="I106" s="13">
        <v>1687.85</v>
      </c>
      <c r="J106" s="13" t="s">
        <v>408</v>
      </c>
      <c r="K106" s="13">
        <v>1698.9527777777782</v>
      </c>
      <c r="L106" s="13">
        <v>1689.4262222222217</v>
      </c>
      <c r="O106" s="13" t="s">
        <v>405</v>
      </c>
      <c r="P106" s="13">
        <v>1687.88</v>
      </c>
      <c r="Q106" s="13" t="s">
        <v>406</v>
      </c>
    </row>
    <row r="107" spans="1:19" x14ac:dyDescent="0.3">
      <c r="A107" s="54">
        <v>45442.385416666664</v>
      </c>
      <c r="B107" t="s">
        <v>514</v>
      </c>
      <c r="C107" s="13">
        <v>157.64999</v>
      </c>
      <c r="D107" s="13">
        <v>157.64999</v>
      </c>
      <c r="E107" s="13">
        <v>152.25</v>
      </c>
      <c r="F107" s="13">
        <v>153.14999</v>
      </c>
      <c r="G107" s="13">
        <v>6928838</v>
      </c>
      <c r="H107" s="13">
        <v>158.84</v>
      </c>
      <c r="I107" s="13">
        <v>153.15</v>
      </c>
      <c r="K107" s="13">
        <v>156.04744222222223</v>
      </c>
      <c r="L107" s="13">
        <v>154.38354604444442</v>
      </c>
      <c r="N107" s="13" t="s">
        <v>404</v>
      </c>
      <c r="O107" s="13" t="s">
        <v>405</v>
      </c>
      <c r="P107" s="13">
        <v>155.97</v>
      </c>
      <c r="Q107" s="13" t="s">
        <v>406</v>
      </c>
      <c r="S107" t="s">
        <v>402</v>
      </c>
    </row>
    <row r="108" spans="1:19" x14ac:dyDescent="0.3">
      <c r="A108" s="54">
        <v>45442.385416666664</v>
      </c>
      <c r="B108" t="s">
        <v>515</v>
      </c>
      <c r="C108" s="13">
        <v>2654</v>
      </c>
      <c r="D108" s="13">
        <v>2654</v>
      </c>
      <c r="E108" s="13">
        <v>2609.0500000000002</v>
      </c>
      <c r="F108" s="13">
        <v>2627.3501000000001</v>
      </c>
      <c r="G108" s="13">
        <v>151205</v>
      </c>
      <c r="H108" s="13">
        <v>2654.05</v>
      </c>
      <c r="I108" s="13">
        <v>2567.11</v>
      </c>
      <c r="J108" s="13" t="s">
        <v>408</v>
      </c>
      <c r="K108" s="13">
        <v>2655.4293734343432</v>
      </c>
      <c r="L108" s="13">
        <v>2643.417627555556</v>
      </c>
      <c r="N108" s="13" t="s">
        <v>404</v>
      </c>
      <c r="O108" s="13" t="s">
        <v>405</v>
      </c>
      <c r="P108" s="13">
        <v>2643.58</v>
      </c>
      <c r="Q108" s="13" t="s">
        <v>406</v>
      </c>
    </row>
    <row r="109" spans="1:19" x14ac:dyDescent="0.3">
      <c r="A109" s="54">
        <v>45442.385416666664</v>
      </c>
      <c r="B109" t="s">
        <v>516</v>
      </c>
      <c r="C109" s="13">
        <v>439</v>
      </c>
      <c r="D109" s="13">
        <v>441.10001</v>
      </c>
      <c r="E109" s="13">
        <v>425.89999</v>
      </c>
      <c r="F109" s="13">
        <v>427.85001</v>
      </c>
      <c r="G109" s="13">
        <v>1157636</v>
      </c>
      <c r="H109" s="13">
        <v>445.41</v>
      </c>
      <c r="I109" s="13">
        <v>427.85</v>
      </c>
      <c r="K109" s="13">
        <v>437.15851376767677</v>
      </c>
      <c r="L109" s="13">
        <v>431.26734084444445</v>
      </c>
      <c r="O109" s="13" t="s">
        <v>405</v>
      </c>
      <c r="P109" s="13">
        <v>434.3</v>
      </c>
      <c r="Q109" s="13" t="s">
        <v>406</v>
      </c>
    </row>
    <row r="110" spans="1:19" x14ac:dyDescent="0.3">
      <c r="A110" s="54">
        <v>45442.385416666664</v>
      </c>
      <c r="B110" t="s">
        <v>517</v>
      </c>
      <c r="C110" s="13">
        <v>642.54998999999998</v>
      </c>
      <c r="D110" s="13">
        <v>648.29998999999998</v>
      </c>
      <c r="E110" s="13">
        <v>626.70001000000002</v>
      </c>
      <c r="F110" s="13">
        <v>631.29998999999998</v>
      </c>
      <c r="G110" s="13">
        <v>1576306</v>
      </c>
      <c r="H110" s="13">
        <v>653.58000000000004</v>
      </c>
      <c r="I110" s="13">
        <v>631.29999999999995</v>
      </c>
      <c r="K110" s="13">
        <v>640.26386460101014</v>
      </c>
      <c r="L110" s="13">
        <v>634.54599724444438</v>
      </c>
      <c r="O110" s="13" t="s">
        <v>405</v>
      </c>
      <c r="P110" s="13">
        <v>638.55999999999995</v>
      </c>
      <c r="Q110" s="13" t="s">
        <v>406</v>
      </c>
    </row>
    <row r="111" spans="1:19" x14ac:dyDescent="0.3">
      <c r="A111" s="54">
        <v>45442.385416666664</v>
      </c>
      <c r="B111" t="s">
        <v>518</v>
      </c>
      <c r="C111" s="13">
        <v>3626.05</v>
      </c>
      <c r="D111" s="13">
        <v>3643.95</v>
      </c>
      <c r="E111" s="13">
        <v>3607.75</v>
      </c>
      <c r="F111" s="13">
        <v>3634.7</v>
      </c>
      <c r="G111" s="13">
        <v>2701848</v>
      </c>
      <c r="H111" s="13">
        <v>3658.2</v>
      </c>
      <c r="I111" s="13">
        <v>3592.95</v>
      </c>
      <c r="J111" s="13" t="s">
        <v>408</v>
      </c>
      <c r="K111" s="13">
        <v>3695.2911685858585</v>
      </c>
      <c r="L111" s="13">
        <v>3657.4502333333326</v>
      </c>
      <c r="O111" s="13" t="s">
        <v>405</v>
      </c>
      <c r="P111" s="13">
        <v>3668.86</v>
      </c>
      <c r="Q111" s="13" t="s">
        <v>406</v>
      </c>
    </row>
    <row r="112" spans="1:19" x14ac:dyDescent="0.3">
      <c r="A112" s="54">
        <v>45442.385416666664</v>
      </c>
      <c r="B112" t="s">
        <v>519</v>
      </c>
      <c r="C112" s="13">
        <v>4849.9502000000002</v>
      </c>
      <c r="D112" s="13">
        <v>4870.7002000000002</v>
      </c>
      <c r="E112" s="13">
        <v>4748</v>
      </c>
      <c r="F112" s="13">
        <v>4773.1499000000003</v>
      </c>
      <c r="G112" s="13">
        <v>393085</v>
      </c>
      <c r="H112" s="13">
        <v>4892.05</v>
      </c>
      <c r="I112" s="13">
        <v>4773.1499999999996</v>
      </c>
      <c r="J112" s="13" t="s">
        <v>408</v>
      </c>
      <c r="K112" s="13">
        <v>4889.3542217171716</v>
      </c>
      <c r="L112" s="13">
        <v>4825.7132466666662</v>
      </c>
      <c r="O112" s="13" t="s">
        <v>405</v>
      </c>
      <c r="P112" s="13">
        <v>4846.93</v>
      </c>
      <c r="Q112" s="13" t="s">
        <v>406</v>
      </c>
    </row>
    <row r="113" spans="1:19" x14ac:dyDescent="0.3">
      <c r="A113" s="54">
        <v>45442.385416666664</v>
      </c>
      <c r="B113" t="s">
        <v>520</v>
      </c>
      <c r="C113" s="13">
        <v>4640</v>
      </c>
      <c r="D113" s="13">
        <v>4650.8500999999997</v>
      </c>
      <c r="E113" s="13">
        <v>4519</v>
      </c>
      <c r="F113" s="13">
        <v>4549.7002000000002</v>
      </c>
      <c r="G113" s="13">
        <v>246876</v>
      </c>
      <c r="H113" s="13">
        <v>4668.1499999999996</v>
      </c>
      <c r="I113" s="13">
        <v>4549.7</v>
      </c>
      <c r="J113" s="13" t="s">
        <v>408</v>
      </c>
      <c r="K113" s="13">
        <v>4651.5764928282833</v>
      </c>
      <c r="L113" s="13">
        <v>4598.0972693333342</v>
      </c>
      <c r="N113" s="13" t="s">
        <v>404</v>
      </c>
      <c r="O113" s="13" t="s">
        <v>405</v>
      </c>
      <c r="P113" s="13">
        <v>4622.3900000000003</v>
      </c>
      <c r="Q113" s="13" t="s">
        <v>406</v>
      </c>
    </row>
    <row r="114" spans="1:19" x14ac:dyDescent="0.3">
      <c r="A114" s="54">
        <v>45442.385416666664</v>
      </c>
      <c r="B114" t="s">
        <v>521</v>
      </c>
      <c r="C114" s="13">
        <v>1603.45</v>
      </c>
      <c r="D114" s="13">
        <v>1614.85</v>
      </c>
      <c r="E114" s="13">
        <v>1575</v>
      </c>
      <c r="F114" s="13">
        <v>1579.4</v>
      </c>
      <c r="G114" s="13">
        <v>925008</v>
      </c>
      <c r="H114" s="13">
        <v>1640.57</v>
      </c>
      <c r="I114" s="13">
        <v>1579.4</v>
      </c>
      <c r="K114" s="13">
        <v>1580.4691666666665</v>
      </c>
      <c r="L114" s="13">
        <v>1576.9642222222224</v>
      </c>
      <c r="O114" s="13" t="s">
        <v>405</v>
      </c>
      <c r="P114" s="13">
        <v>1583.54</v>
      </c>
      <c r="Q114" s="13" t="s">
        <v>411</v>
      </c>
      <c r="R114" s="13" t="s">
        <v>401</v>
      </c>
    </row>
    <row r="115" spans="1:19" x14ac:dyDescent="0.3">
      <c r="A115" s="54">
        <v>45442.385416666664</v>
      </c>
      <c r="B115" t="s">
        <v>522</v>
      </c>
      <c r="C115" s="13">
        <v>2518</v>
      </c>
      <c r="D115" s="13">
        <v>2531.4499999999998</v>
      </c>
      <c r="E115" s="13">
        <v>2478</v>
      </c>
      <c r="F115" s="13">
        <v>2493.5</v>
      </c>
      <c r="G115" s="13">
        <v>3367101</v>
      </c>
      <c r="H115" s="13">
        <v>2563.33</v>
      </c>
      <c r="I115" s="13">
        <v>2493.5</v>
      </c>
      <c r="K115" s="13">
        <v>2548.7125657070706</v>
      </c>
      <c r="L115" s="13">
        <v>2501.4033066666661</v>
      </c>
      <c r="O115" s="13" t="s">
        <v>405</v>
      </c>
      <c r="P115" s="13">
        <v>2508.65</v>
      </c>
      <c r="Q115" s="13" t="s">
        <v>406</v>
      </c>
    </row>
    <row r="116" spans="1:19" x14ac:dyDescent="0.3">
      <c r="A116" s="54">
        <v>45442.385416666664</v>
      </c>
      <c r="B116" t="s">
        <v>523</v>
      </c>
      <c r="C116" s="13">
        <v>267.64999</v>
      </c>
      <c r="D116" s="13">
        <v>268.20001000000002</v>
      </c>
      <c r="E116" s="13">
        <v>261</v>
      </c>
      <c r="F116" s="13">
        <v>263.14999</v>
      </c>
      <c r="G116" s="13">
        <v>3144337</v>
      </c>
      <c r="H116" s="13">
        <v>269.94</v>
      </c>
      <c r="I116" s="13">
        <v>263.14999999999998</v>
      </c>
      <c r="K116" s="13">
        <v>269.04525476262626</v>
      </c>
      <c r="L116" s="13">
        <v>265.19733217777775</v>
      </c>
      <c r="O116" s="13" t="s">
        <v>405</v>
      </c>
      <c r="P116" s="13">
        <v>268.64999999999998</v>
      </c>
      <c r="Q116" s="13" t="s">
        <v>406</v>
      </c>
      <c r="S116" t="s">
        <v>402</v>
      </c>
    </row>
    <row r="117" spans="1:19" x14ac:dyDescent="0.3">
      <c r="A117" s="54">
        <v>45442.385416666664</v>
      </c>
      <c r="B117" t="s">
        <v>524</v>
      </c>
      <c r="C117" s="13">
        <v>171.85001</v>
      </c>
      <c r="D117" s="13">
        <v>172.35001</v>
      </c>
      <c r="E117" s="13">
        <v>166.60001</v>
      </c>
      <c r="F117" s="13">
        <v>167.95</v>
      </c>
      <c r="G117" s="13">
        <v>7013272</v>
      </c>
      <c r="H117" s="13">
        <v>175.02</v>
      </c>
      <c r="I117" s="13">
        <v>167.95</v>
      </c>
      <c r="K117" s="13">
        <v>170.60694353535357</v>
      </c>
      <c r="L117" s="13">
        <v>168.06555600000004</v>
      </c>
      <c r="O117" s="13" t="s">
        <v>405</v>
      </c>
      <c r="P117" s="13">
        <v>171.45</v>
      </c>
      <c r="Q117" s="13" t="s">
        <v>411</v>
      </c>
    </row>
    <row r="118" spans="1:19" x14ac:dyDescent="0.3">
      <c r="A118" s="54">
        <v>45442.385416666664</v>
      </c>
      <c r="B118" t="s">
        <v>525</v>
      </c>
      <c r="C118" s="13">
        <v>601.04998999999998</v>
      </c>
      <c r="D118" s="13">
        <v>604.90002000000004</v>
      </c>
      <c r="E118" s="13">
        <v>590.65002000000004</v>
      </c>
      <c r="F118" s="13">
        <v>597.25</v>
      </c>
      <c r="G118" s="13">
        <v>1280510</v>
      </c>
      <c r="H118" s="13">
        <v>608.15</v>
      </c>
      <c r="I118" s="13">
        <v>595.29</v>
      </c>
      <c r="J118" s="13" t="s">
        <v>408</v>
      </c>
      <c r="K118" s="13">
        <v>606.18398325252531</v>
      </c>
      <c r="L118" s="13">
        <v>600.50799640000002</v>
      </c>
      <c r="O118" s="13" t="s">
        <v>405</v>
      </c>
      <c r="P118" s="13">
        <v>598.84</v>
      </c>
      <c r="Q118" s="13" t="s">
        <v>406</v>
      </c>
    </row>
    <row r="119" spans="1:19" x14ac:dyDescent="0.3">
      <c r="A119" s="54">
        <v>45442.385416666664</v>
      </c>
      <c r="B119" t="s">
        <v>526</v>
      </c>
      <c r="C119" s="13">
        <v>12721</v>
      </c>
      <c r="D119" s="13">
        <v>12810</v>
      </c>
      <c r="E119" s="13">
        <v>12550</v>
      </c>
      <c r="F119" s="13">
        <v>12598</v>
      </c>
      <c r="G119" s="13">
        <v>524559</v>
      </c>
      <c r="H119" s="13">
        <v>12917.85</v>
      </c>
      <c r="I119" s="13">
        <v>12598</v>
      </c>
      <c r="K119" s="13">
        <v>12860.859696969697</v>
      </c>
      <c r="L119" s="13">
        <v>12664.699555555553</v>
      </c>
      <c r="O119" s="13" t="s">
        <v>405</v>
      </c>
      <c r="P119" s="13">
        <v>12746.3</v>
      </c>
      <c r="Q119" s="13" t="s">
        <v>406</v>
      </c>
    </row>
    <row r="120" spans="1:19" x14ac:dyDescent="0.3">
      <c r="A120" s="54">
        <v>45442.385416666664</v>
      </c>
      <c r="B120" t="s">
        <v>527</v>
      </c>
      <c r="C120" s="13">
        <v>1180.1500000000001</v>
      </c>
      <c r="D120" s="13">
        <v>1180.8499999999999</v>
      </c>
      <c r="E120" s="13">
        <v>1163.8499999999999</v>
      </c>
      <c r="F120" s="13">
        <v>1171.3499999999999</v>
      </c>
      <c r="G120" s="13">
        <v>787238</v>
      </c>
      <c r="H120" s="13">
        <v>1200.53</v>
      </c>
      <c r="I120" s="13">
        <v>1157.7</v>
      </c>
      <c r="J120" s="13" t="s">
        <v>408</v>
      </c>
      <c r="K120" s="13">
        <v>1176.4181060606063</v>
      </c>
      <c r="L120" s="13">
        <v>1175.508888888889</v>
      </c>
      <c r="N120" s="13" t="s">
        <v>404</v>
      </c>
      <c r="O120" s="13" t="s">
        <v>405</v>
      </c>
      <c r="P120" s="13">
        <v>1172.52</v>
      </c>
      <c r="Q120" s="13" t="s">
        <v>406</v>
      </c>
    </row>
    <row r="121" spans="1:19" x14ac:dyDescent="0.3">
      <c r="A121" s="54">
        <v>45442.385416666664</v>
      </c>
      <c r="B121" t="s">
        <v>528</v>
      </c>
      <c r="C121" s="13">
        <v>3739</v>
      </c>
      <c r="D121" s="13">
        <v>3739</v>
      </c>
      <c r="E121" s="13">
        <v>3594</v>
      </c>
      <c r="F121" s="13">
        <v>3606.45</v>
      </c>
      <c r="G121" s="13">
        <v>591127</v>
      </c>
      <c r="H121" s="13">
        <v>3794.08</v>
      </c>
      <c r="I121" s="13">
        <v>3606.45</v>
      </c>
      <c r="K121" s="13">
        <v>3694.2195429292929</v>
      </c>
      <c r="L121" s="13">
        <v>3655.8651111111103</v>
      </c>
      <c r="N121" s="13" t="s">
        <v>404</v>
      </c>
      <c r="O121" s="13" t="s">
        <v>405</v>
      </c>
      <c r="P121" s="13">
        <v>3707.19</v>
      </c>
      <c r="Q121" s="13" t="s">
        <v>411</v>
      </c>
    </row>
    <row r="122" spans="1:19" x14ac:dyDescent="0.3">
      <c r="A122" s="54">
        <v>45442.385416666664</v>
      </c>
      <c r="B122" t="s">
        <v>529</v>
      </c>
      <c r="C122" s="13">
        <v>1960.5</v>
      </c>
      <c r="D122" s="13">
        <v>1970.5</v>
      </c>
      <c r="E122" s="13">
        <v>1910.9</v>
      </c>
      <c r="F122" s="13">
        <v>1920.35</v>
      </c>
      <c r="G122" s="13">
        <v>172571</v>
      </c>
      <c r="H122" s="13">
        <v>1994.55</v>
      </c>
      <c r="I122" s="13">
        <v>1915.85</v>
      </c>
      <c r="J122" s="13" t="s">
        <v>408</v>
      </c>
      <c r="K122" s="13">
        <v>1990.6963636363635</v>
      </c>
      <c r="L122" s="13">
        <v>1946.8275555555551</v>
      </c>
      <c r="O122" s="13" t="s">
        <v>405</v>
      </c>
      <c r="P122" s="13">
        <v>1957.81</v>
      </c>
      <c r="Q122" s="13" t="s">
        <v>406</v>
      </c>
    </row>
    <row r="123" spans="1:19" x14ac:dyDescent="0.3">
      <c r="A123" s="54">
        <v>45442.385416666664</v>
      </c>
      <c r="B123" t="s">
        <v>530</v>
      </c>
      <c r="C123" s="13">
        <v>973</v>
      </c>
      <c r="D123" s="13">
        <v>973</v>
      </c>
      <c r="E123" s="13">
        <v>916.84997999999996</v>
      </c>
      <c r="F123" s="13">
        <v>926.70001000000002</v>
      </c>
      <c r="G123" s="13">
        <v>1833517</v>
      </c>
      <c r="H123" s="13">
        <v>979.72</v>
      </c>
      <c r="I123" s="13">
        <v>926.7</v>
      </c>
      <c r="K123" s="13">
        <v>950.50649016666648</v>
      </c>
      <c r="L123" s="13">
        <v>942.77755693333347</v>
      </c>
      <c r="N123" s="13" t="s">
        <v>404</v>
      </c>
      <c r="O123" s="13" t="s">
        <v>405</v>
      </c>
      <c r="P123" s="13">
        <v>955.2</v>
      </c>
      <c r="Q123" s="13" t="s">
        <v>411</v>
      </c>
    </row>
    <row r="124" spans="1:19" x14ac:dyDescent="0.3">
      <c r="A124" s="54">
        <v>45442.385416666664</v>
      </c>
      <c r="B124" t="s">
        <v>531</v>
      </c>
      <c r="C124" s="13">
        <v>1306.95</v>
      </c>
      <c r="D124" s="13">
        <v>1307.1500000000001</v>
      </c>
      <c r="E124" s="13">
        <v>1274</v>
      </c>
      <c r="F124" s="13">
        <v>1280.9000000000001</v>
      </c>
      <c r="G124" s="13">
        <v>248529</v>
      </c>
      <c r="H124" s="13">
        <v>1318.93</v>
      </c>
      <c r="I124" s="13">
        <v>1280.9000000000001</v>
      </c>
      <c r="K124" s="13">
        <v>1293.0822474747474</v>
      </c>
      <c r="L124" s="13">
        <v>1289.0086666666671</v>
      </c>
      <c r="N124" s="13" t="s">
        <v>404</v>
      </c>
      <c r="O124" s="13" t="s">
        <v>405</v>
      </c>
      <c r="P124" s="13">
        <v>1294.8599999999999</v>
      </c>
      <c r="Q124" s="13" t="s">
        <v>411</v>
      </c>
    </row>
    <row r="125" spans="1:19" x14ac:dyDescent="0.3">
      <c r="A125" s="54">
        <v>45442.385416666664</v>
      </c>
      <c r="B125" t="s">
        <v>532</v>
      </c>
      <c r="C125" s="13">
        <v>149.80000000000001</v>
      </c>
      <c r="D125" s="13">
        <v>152.64999</v>
      </c>
      <c r="E125" s="13">
        <v>142.30000000000001</v>
      </c>
      <c r="F125" s="13">
        <v>151.69999999999999</v>
      </c>
      <c r="G125" s="13">
        <v>111136536</v>
      </c>
      <c r="H125" s="13">
        <v>151.69999999999999</v>
      </c>
      <c r="I125" s="13">
        <v>140.94999999999999</v>
      </c>
      <c r="K125" s="13">
        <v>149.74113407070706</v>
      </c>
      <c r="L125" s="13">
        <v>151.6737769333333</v>
      </c>
      <c r="O125" s="13" t="s">
        <v>410</v>
      </c>
      <c r="P125" s="13">
        <v>149.29</v>
      </c>
      <c r="Q125" s="13" t="s">
        <v>406</v>
      </c>
    </row>
    <row r="126" spans="1:19" x14ac:dyDescent="0.3">
      <c r="A126" s="54">
        <v>45442.385416666664</v>
      </c>
      <c r="B126" t="s">
        <v>533</v>
      </c>
      <c r="C126" s="13">
        <v>2362.8998999999999</v>
      </c>
      <c r="D126" s="13">
        <v>2362.8998999999999</v>
      </c>
      <c r="E126" s="13">
        <v>2303.0500000000002</v>
      </c>
      <c r="F126" s="13">
        <v>2312.8000000000002</v>
      </c>
      <c r="G126" s="13">
        <v>244442</v>
      </c>
      <c r="H126" s="13">
        <v>2395.44</v>
      </c>
      <c r="I126" s="13">
        <v>2312.8000000000002</v>
      </c>
      <c r="K126" s="13">
        <v>2388.0014786868683</v>
      </c>
      <c r="L126" s="13">
        <v>2335.0366444444439</v>
      </c>
      <c r="O126" s="13" t="s">
        <v>405</v>
      </c>
      <c r="P126" s="13">
        <v>2359.5700000000002</v>
      </c>
      <c r="Q126" s="13" t="s">
        <v>406</v>
      </c>
    </row>
    <row r="127" spans="1:19" x14ac:dyDescent="0.3">
      <c r="A127" s="54">
        <v>45442.385416666664</v>
      </c>
      <c r="B127" t="s">
        <v>534</v>
      </c>
      <c r="C127" s="13">
        <v>128000</v>
      </c>
      <c r="D127" s="13">
        <v>128002.5</v>
      </c>
      <c r="E127" s="13">
        <v>125050</v>
      </c>
      <c r="F127" s="13">
        <v>125466.05</v>
      </c>
      <c r="G127" s="13">
        <v>8549</v>
      </c>
      <c r="H127" s="13">
        <v>128808.71</v>
      </c>
      <c r="I127" s="13">
        <v>125466.05</v>
      </c>
      <c r="K127" s="13">
        <v>128423.20045454543</v>
      </c>
      <c r="L127" s="13">
        <v>126222.0106666667</v>
      </c>
      <c r="O127" s="13" t="s">
        <v>405</v>
      </c>
      <c r="P127" s="13">
        <v>127458.47</v>
      </c>
      <c r="Q127" s="13" t="s">
        <v>406</v>
      </c>
    </row>
    <row r="128" spans="1:19" x14ac:dyDescent="0.3">
      <c r="A128" s="54">
        <v>45442.385416666664</v>
      </c>
      <c r="B128" t="s">
        <v>535</v>
      </c>
      <c r="C128" s="13">
        <v>1735</v>
      </c>
      <c r="D128" s="13">
        <v>1741.7</v>
      </c>
      <c r="E128" s="13">
        <v>1666</v>
      </c>
      <c r="F128" s="13">
        <v>1674</v>
      </c>
      <c r="G128" s="13">
        <v>449890</v>
      </c>
      <c r="H128" s="13">
        <v>1745.4</v>
      </c>
      <c r="I128" s="13">
        <v>1674</v>
      </c>
      <c r="J128" s="13" t="s">
        <v>408</v>
      </c>
      <c r="K128" s="13">
        <v>1724.350909090909</v>
      </c>
      <c r="L128" s="13">
        <v>1701.6315555555561</v>
      </c>
      <c r="N128" s="13" t="s">
        <v>404</v>
      </c>
      <c r="O128" s="13" t="s">
        <v>405</v>
      </c>
      <c r="P128" s="13">
        <v>1715.85</v>
      </c>
      <c r="Q128" s="13" t="s">
        <v>406</v>
      </c>
      <c r="S128" t="s">
        <v>402</v>
      </c>
    </row>
    <row r="129" spans="1:19" x14ac:dyDescent="0.3">
      <c r="A129" s="54">
        <v>45442.385416666664</v>
      </c>
      <c r="B129" t="s">
        <v>536</v>
      </c>
      <c r="C129" s="13">
        <v>194.5</v>
      </c>
      <c r="D129" s="13">
        <v>195.7</v>
      </c>
      <c r="E129" s="13">
        <v>188.7</v>
      </c>
      <c r="F129" s="13">
        <v>189.5</v>
      </c>
      <c r="G129" s="13">
        <v>22499127</v>
      </c>
      <c r="H129" s="13">
        <v>199.9</v>
      </c>
      <c r="I129" s="13">
        <v>189.5</v>
      </c>
      <c r="J129" s="13" t="s">
        <v>408</v>
      </c>
      <c r="K129" s="13">
        <v>191.49204345959592</v>
      </c>
      <c r="L129" s="13">
        <v>190.89933368888887</v>
      </c>
      <c r="N129" s="13" t="s">
        <v>404</v>
      </c>
      <c r="O129" s="13" t="s">
        <v>405</v>
      </c>
      <c r="P129" s="13">
        <v>191.81</v>
      </c>
      <c r="Q129" s="13" t="s">
        <v>411</v>
      </c>
      <c r="R129" s="13" t="s">
        <v>401</v>
      </c>
    </row>
    <row r="130" spans="1:19" x14ac:dyDescent="0.3">
      <c r="A130" s="54">
        <v>45442.385416666664</v>
      </c>
      <c r="B130" t="s">
        <v>537</v>
      </c>
      <c r="C130" s="13">
        <v>5895.0497999999998</v>
      </c>
      <c r="D130" s="13">
        <v>5915.5</v>
      </c>
      <c r="E130" s="13">
        <v>5740</v>
      </c>
      <c r="F130" s="13">
        <v>5755.4502000000002</v>
      </c>
      <c r="G130" s="13">
        <v>381469</v>
      </c>
      <c r="H130" s="13">
        <v>6050.99</v>
      </c>
      <c r="I130" s="13">
        <v>5755.45</v>
      </c>
      <c r="K130" s="13">
        <v>5956.464893434345</v>
      </c>
      <c r="L130" s="13">
        <v>5747.2803991111114</v>
      </c>
      <c r="O130" s="13" t="s">
        <v>405</v>
      </c>
      <c r="P130" s="13">
        <v>5797.14</v>
      </c>
      <c r="Q130" s="13" t="s">
        <v>406</v>
      </c>
    </row>
    <row r="131" spans="1:19" x14ac:dyDescent="0.3">
      <c r="A131" s="54">
        <v>45442.385416666664</v>
      </c>
      <c r="B131" t="s">
        <v>538</v>
      </c>
      <c r="C131" s="13">
        <v>3295</v>
      </c>
      <c r="D131" s="13">
        <v>3314.75</v>
      </c>
      <c r="E131" s="13">
        <v>3212.05</v>
      </c>
      <c r="F131" s="13">
        <v>3231.2</v>
      </c>
      <c r="G131" s="13">
        <v>179964</v>
      </c>
      <c r="H131" s="13">
        <v>3345.15</v>
      </c>
      <c r="I131" s="13">
        <v>3231.2</v>
      </c>
      <c r="K131" s="13">
        <v>3298.7068925252529</v>
      </c>
      <c r="L131" s="13">
        <v>3258.3788955555551</v>
      </c>
      <c r="O131" s="13" t="s">
        <v>405</v>
      </c>
      <c r="P131" s="13">
        <v>3288.7</v>
      </c>
      <c r="Q131" s="13" t="s">
        <v>406</v>
      </c>
    </row>
    <row r="132" spans="1:19" x14ac:dyDescent="0.3">
      <c r="A132" s="54">
        <v>45442.385416666664</v>
      </c>
      <c r="B132" t="s">
        <v>539</v>
      </c>
      <c r="C132" s="13">
        <v>2465.0500000000002</v>
      </c>
      <c r="D132" s="13">
        <v>2473.1001000000001</v>
      </c>
      <c r="E132" s="13">
        <v>2400.5500000000002</v>
      </c>
      <c r="F132" s="13">
        <v>2404.8000000000002</v>
      </c>
      <c r="G132" s="13">
        <v>1274214</v>
      </c>
      <c r="H132" s="13">
        <v>2482.94</v>
      </c>
      <c r="I132" s="13">
        <v>2404.8000000000002</v>
      </c>
      <c r="K132" s="13">
        <v>2446.9285485353535</v>
      </c>
      <c r="L132" s="13">
        <v>2424.6215666666667</v>
      </c>
      <c r="N132" s="13" t="s">
        <v>404</v>
      </c>
      <c r="O132" s="13" t="s">
        <v>405</v>
      </c>
      <c r="P132" s="13">
        <v>2430.7399999999998</v>
      </c>
      <c r="Q132" s="13" t="s">
        <v>406</v>
      </c>
    </row>
    <row r="133" spans="1:19" x14ac:dyDescent="0.3">
      <c r="A133" s="54">
        <v>45442.385416666664</v>
      </c>
      <c r="B133" t="s">
        <v>540</v>
      </c>
      <c r="C133" s="13">
        <v>258</v>
      </c>
      <c r="D133" s="13">
        <v>258.14999</v>
      </c>
      <c r="E133" s="13">
        <v>248.2</v>
      </c>
      <c r="F133" s="13">
        <v>249.45</v>
      </c>
      <c r="G133" s="13">
        <v>10123573</v>
      </c>
      <c r="H133" s="13">
        <v>261.69</v>
      </c>
      <c r="I133" s="13">
        <v>249.45</v>
      </c>
      <c r="K133" s="13">
        <v>253.24015240909094</v>
      </c>
      <c r="L133" s="13">
        <v>250.18355542222218</v>
      </c>
      <c r="O133" s="13" t="s">
        <v>405</v>
      </c>
      <c r="P133" s="13">
        <v>252.02</v>
      </c>
      <c r="Q133" s="13" t="s">
        <v>406</v>
      </c>
    </row>
    <row r="134" spans="1:19" x14ac:dyDescent="0.3">
      <c r="A134" s="54">
        <v>45442.385416666664</v>
      </c>
      <c r="B134" t="s">
        <v>541</v>
      </c>
      <c r="C134" s="13">
        <v>364</v>
      </c>
      <c r="D134" s="13">
        <v>364.79998999999998</v>
      </c>
      <c r="E134" s="13">
        <v>357.14999</v>
      </c>
      <c r="F134" s="13">
        <v>359.70001000000002</v>
      </c>
      <c r="G134" s="13">
        <v>14425073</v>
      </c>
      <c r="H134" s="13">
        <v>369.21</v>
      </c>
      <c r="I134" s="13">
        <v>359.7</v>
      </c>
      <c r="K134" s="13">
        <v>364.67969774747479</v>
      </c>
      <c r="L134" s="13">
        <v>359.85311915555553</v>
      </c>
      <c r="O134" s="13" t="s">
        <v>405</v>
      </c>
      <c r="P134" s="13">
        <v>361.69</v>
      </c>
      <c r="Q134" s="13" t="s">
        <v>406</v>
      </c>
    </row>
    <row r="135" spans="1:19" x14ac:dyDescent="0.3">
      <c r="A135" s="54">
        <v>45442.385416666664</v>
      </c>
      <c r="B135" t="s">
        <v>542</v>
      </c>
      <c r="C135" s="13">
        <v>1825</v>
      </c>
      <c r="D135" s="13">
        <v>1848.8</v>
      </c>
      <c r="E135" s="13">
        <v>1789.75</v>
      </c>
      <c r="F135" s="13">
        <v>1810.45</v>
      </c>
      <c r="G135" s="13">
        <v>606755</v>
      </c>
      <c r="H135" s="13">
        <v>1832.75</v>
      </c>
      <c r="I135" s="13">
        <v>1776.82</v>
      </c>
      <c r="J135" s="13" t="s">
        <v>408</v>
      </c>
      <c r="K135" s="13">
        <v>1844.5036363636364</v>
      </c>
      <c r="L135" s="13">
        <v>1827.7728888888892</v>
      </c>
      <c r="O135" s="13" t="s">
        <v>405</v>
      </c>
      <c r="P135" s="13">
        <v>1825.61</v>
      </c>
      <c r="Q135" s="13" t="s">
        <v>406</v>
      </c>
    </row>
    <row r="136" spans="1:19" x14ac:dyDescent="0.3">
      <c r="A136" s="54">
        <v>45442.385416666664</v>
      </c>
      <c r="B136" t="s">
        <v>543</v>
      </c>
      <c r="C136" s="13">
        <v>7549.7002000000002</v>
      </c>
      <c r="D136" s="13">
        <v>7565.4502000000002</v>
      </c>
      <c r="E136" s="13">
        <v>7382</v>
      </c>
      <c r="F136" s="13">
        <v>7421.4502000000002</v>
      </c>
      <c r="G136" s="13">
        <v>218846</v>
      </c>
      <c r="H136" s="13">
        <v>7620.96</v>
      </c>
      <c r="I136" s="13">
        <v>7421.45</v>
      </c>
      <c r="K136" s="13">
        <v>7480.4958469191915</v>
      </c>
      <c r="L136" s="13">
        <v>7452.595854666667</v>
      </c>
      <c r="N136" s="13" t="s">
        <v>404</v>
      </c>
      <c r="O136" s="13" t="s">
        <v>405</v>
      </c>
      <c r="P136" s="13">
        <v>7545.22</v>
      </c>
      <c r="Q136" s="13" t="s">
        <v>411</v>
      </c>
    </row>
    <row r="137" spans="1:19" x14ac:dyDescent="0.3">
      <c r="A137" s="54">
        <v>45442.385416666664</v>
      </c>
      <c r="B137" t="s">
        <v>544</v>
      </c>
      <c r="C137" s="13">
        <v>273</v>
      </c>
      <c r="D137" s="13">
        <v>275.10001</v>
      </c>
      <c r="E137" s="13">
        <v>265</v>
      </c>
      <c r="F137" s="13">
        <v>266.70001000000002</v>
      </c>
      <c r="G137" s="13">
        <v>15390964</v>
      </c>
      <c r="H137" s="13">
        <v>276.91000000000003</v>
      </c>
      <c r="I137" s="13">
        <v>266.7</v>
      </c>
      <c r="K137" s="13">
        <v>272.00707006060611</v>
      </c>
      <c r="L137" s="13">
        <v>266.87756204444446</v>
      </c>
      <c r="O137" s="13" t="s">
        <v>405</v>
      </c>
      <c r="P137" s="13">
        <v>269.83999999999997</v>
      </c>
      <c r="Q137" s="13" t="s">
        <v>406</v>
      </c>
    </row>
    <row r="138" spans="1:19" x14ac:dyDescent="0.3">
      <c r="A138" s="54">
        <v>45442.385416666664</v>
      </c>
      <c r="B138" t="s">
        <v>545</v>
      </c>
      <c r="C138" s="13">
        <v>36485.851999999999</v>
      </c>
      <c r="D138" s="13">
        <v>38443.949000000001</v>
      </c>
      <c r="E138" s="13">
        <v>36276</v>
      </c>
      <c r="F138" s="13">
        <v>37964.75</v>
      </c>
      <c r="G138" s="13">
        <v>64767</v>
      </c>
      <c r="H138" s="13">
        <v>37964.75</v>
      </c>
      <c r="I138" s="13">
        <v>36057.51</v>
      </c>
      <c r="K138" s="13">
        <v>36965.3378020202</v>
      </c>
      <c r="L138" s="13">
        <v>37629.707160000005</v>
      </c>
      <c r="O138" s="13" t="s">
        <v>410</v>
      </c>
      <c r="P138" s="13">
        <v>37182.720000000001</v>
      </c>
      <c r="Q138" s="13" t="s">
        <v>411</v>
      </c>
      <c r="R138" s="13" t="s">
        <v>401</v>
      </c>
    </row>
    <row r="139" spans="1:19" x14ac:dyDescent="0.3">
      <c r="A139" s="54">
        <v>45442.385416666664</v>
      </c>
      <c r="B139" t="s">
        <v>546</v>
      </c>
      <c r="C139" s="13">
        <v>830.95001000000002</v>
      </c>
      <c r="D139" s="13">
        <v>831.25</v>
      </c>
      <c r="E139" s="13">
        <v>797.04998999999998</v>
      </c>
      <c r="F139" s="13">
        <v>800</v>
      </c>
      <c r="G139" s="13">
        <v>2778391</v>
      </c>
      <c r="H139" s="13">
        <v>832.73</v>
      </c>
      <c r="I139" s="13">
        <v>800</v>
      </c>
      <c r="J139" s="13" t="s">
        <v>408</v>
      </c>
      <c r="K139" s="13">
        <v>819.7368882525252</v>
      </c>
      <c r="L139" s="13">
        <v>810.62466084444452</v>
      </c>
      <c r="N139" s="13" t="s">
        <v>404</v>
      </c>
      <c r="O139" s="13" t="s">
        <v>405</v>
      </c>
      <c r="P139" s="13">
        <v>818.73</v>
      </c>
      <c r="Q139" s="13" t="s">
        <v>406</v>
      </c>
      <c r="S139" t="s">
        <v>402</v>
      </c>
    </row>
    <row r="140" spans="1:19" x14ac:dyDescent="0.3">
      <c r="A140" s="54">
        <v>45442.385416666664</v>
      </c>
      <c r="B140" t="s">
        <v>547</v>
      </c>
      <c r="C140" s="13">
        <v>3640</v>
      </c>
      <c r="D140" s="13">
        <v>3640</v>
      </c>
      <c r="E140" s="13">
        <v>3501.1001000000001</v>
      </c>
      <c r="F140" s="13">
        <v>3517.05</v>
      </c>
      <c r="G140" s="13">
        <v>394086</v>
      </c>
      <c r="H140" s="13">
        <v>3680.23</v>
      </c>
      <c r="I140" s="13">
        <v>3517.05</v>
      </c>
      <c r="K140" s="13">
        <v>3676.8157461616156</v>
      </c>
      <c r="L140" s="13">
        <v>3595.5440288888904</v>
      </c>
      <c r="N140" s="13" t="s">
        <v>404</v>
      </c>
      <c r="O140" s="13" t="s">
        <v>405</v>
      </c>
      <c r="P140" s="13">
        <v>3644.96</v>
      </c>
      <c r="Q140" s="13" t="s">
        <v>406</v>
      </c>
      <c r="S140" t="s">
        <v>402</v>
      </c>
    </row>
    <row r="141" spans="1:19" x14ac:dyDescent="0.3">
      <c r="A141" s="54">
        <v>45442.385416666664</v>
      </c>
      <c r="B141" t="s">
        <v>548</v>
      </c>
      <c r="C141" s="13">
        <v>296.95001000000002</v>
      </c>
      <c r="D141" s="13">
        <v>299.10001</v>
      </c>
      <c r="E141" s="13">
        <v>292.60001</v>
      </c>
      <c r="F141" s="13">
        <v>293.85001</v>
      </c>
      <c r="G141" s="13">
        <v>3674754</v>
      </c>
      <c r="H141" s="13">
        <v>302.97000000000003</v>
      </c>
      <c r="I141" s="13">
        <v>293.85000000000002</v>
      </c>
      <c r="K141" s="13">
        <v>294.2129983838384</v>
      </c>
      <c r="L141" s="13">
        <v>292.59755631111113</v>
      </c>
      <c r="O141" s="13" t="s">
        <v>405</v>
      </c>
      <c r="P141" s="13">
        <v>294.92</v>
      </c>
      <c r="Q141" s="13" t="s">
        <v>411</v>
      </c>
      <c r="R141" s="13" t="s">
        <v>401</v>
      </c>
    </row>
    <row r="142" spans="1:19" x14ac:dyDescent="0.3">
      <c r="A142" s="54">
        <v>45442.385416666664</v>
      </c>
      <c r="B142" t="s">
        <v>549</v>
      </c>
      <c r="C142" s="13">
        <v>510</v>
      </c>
      <c r="D142" s="13">
        <v>516</v>
      </c>
      <c r="E142" s="13">
        <v>497.04998999999998</v>
      </c>
      <c r="F142" s="13">
        <v>500.45001000000002</v>
      </c>
      <c r="G142" s="13">
        <v>14291676</v>
      </c>
      <c r="H142" s="13">
        <v>517.15</v>
      </c>
      <c r="I142" s="13">
        <v>496.56</v>
      </c>
      <c r="J142" s="13" t="s">
        <v>408</v>
      </c>
      <c r="K142" s="13">
        <v>521.6664010202021</v>
      </c>
      <c r="L142" s="13">
        <v>513.56868040000006</v>
      </c>
      <c r="N142" s="13" t="s">
        <v>404</v>
      </c>
      <c r="O142" s="13" t="s">
        <v>405</v>
      </c>
      <c r="P142" s="13">
        <v>516.44000000000005</v>
      </c>
      <c r="Q142" s="13" t="s">
        <v>406</v>
      </c>
    </row>
    <row r="143" spans="1:19" x14ac:dyDescent="0.3">
      <c r="A143" s="54">
        <v>45442.385416666664</v>
      </c>
      <c r="B143" t="s">
        <v>550</v>
      </c>
      <c r="C143" s="13">
        <v>3029.8</v>
      </c>
      <c r="D143" s="13">
        <v>3044.8998999999999</v>
      </c>
      <c r="E143" s="13">
        <v>2985</v>
      </c>
      <c r="F143" s="13">
        <v>2998.8</v>
      </c>
      <c r="G143" s="13">
        <v>424311</v>
      </c>
      <c r="H143" s="13">
        <v>3047.85</v>
      </c>
      <c r="I143" s="13">
        <v>2983.83</v>
      </c>
      <c r="J143" s="13" t="s">
        <v>408</v>
      </c>
      <c r="K143" s="13">
        <v>3028.6016002020201</v>
      </c>
      <c r="L143" s="13">
        <v>3022.4202346666671</v>
      </c>
      <c r="N143" s="13" t="s">
        <v>404</v>
      </c>
      <c r="O143" s="13" t="s">
        <v>405</v>
      </c>
      <c r="P143" s="13">
        <v>3034.57</v>
      </c>
      <c r="Q143" s="13" t="s">
        <v>411</v>
      </c>
    </row>
    <row r="144" spans="1:19" x14ac:dyDescent="0.3">
      <c r="A144" s="54">
        <v>45442.385416666664</v>
      </c>
      <c r="B144" t="s">
        <v>551</v>
      </c>
      <c r="C144" s="13">
        <v>3563</v>
      </c>
      <c r="D144" s="13">
        <v>3578.5</v>
      </c>
      <c r="E144" s="13">
        <v>3527</v>
      </c>
      <c r="F144" s="13">
        <v>3557.25</v>
      </c>
      <c r="G144" s="13">
        <v>222203</v>
      </c>
      <c r="H144" s="13">
        <v>3627.16</v>
      </c>
      <c r="I144" s="13">
        <v>3557.25</v>
      </c>
      <c r="K144" s="13">
        <v>3589.4778717676759</v>
      </c>
      <c r="L144" s="13">
        <v>3556.1193328888894</v>
      </c>
      <c r="O144" s="13" t="s">
        <v>405</v>
      </c>
      <c r="P144" s="13">
        <v>3574.1</v>
      </c>
      <c r="Q144" s="13" t="s">
        <v>406</v>
      </c>
    </row>
    <row r="145" spans="1:19" x14ac:dyDescent="0.3">
      <c r="A145" s="54">
        <v>45442.385416666664</v>
      </c>
      <c r="B145" t="s">
        <v>552</v>
      </c>
      <c r="C145" s="13">
        <v>128</v>
      </c>
      <c r="D145" s="13">
        <v>130</v>
      </c>
      <c r="E145" s="13">
        <v>127</v>
      </c>
      <c r="F145" s="13">
        <v>127.45</v>
      </c>
      <c r="G145" s="13">
        <v>26985052</v>
      </c>
      <c r="H145" s="13">
        <v>129.55000000000001</v>
      </c>
      <c r="I145" s="13">
        <v>125.63</v>
      </c>
      <c r="J145" s="13" t="s">
        <v>408</v>
      </c>
      <c r="K145" s="13">
        <v>128.73611111111111</v>
      </c>
      <c r="L145" s="13">
        <v>128.11177777777777</v>
      </c>
      <c r="O145" s="13" t="s">
        <v>405</v>
      </c>
      <c r="P145" s="13">
        <v>128.66</v>
      </c>
      <c r="Q145" s="13" t="s">
        <v>406</v>
      </c>
      <c r="S145" t="s">
        <v>402</v>
      </c>
    </row>
    <row r="146" spans="1:19" x14ac:dyDescent="0.3">
      <c r="A146" s="54">
        <v>45442.385416666664</v>
      </c>
      <c r="B146" t="s">
        <v>553</v>
      </c>
      <c r="C146" s="13">
        <v>6747.75</v>
      </c>
      <c r="D146" s="13">
        <v>6767</v>
      </c>
      <c r="E146" s="13">
        <v>6698</v>
      </c>
      <c r="F146" s="13">
        <v>6714.1000999999997</v>
      </c>
      <c r="G146" s="13">
        <v>232385</v>
      </c>
      <c r="H146" s="13">
        <v>6839.45</v>
      </c>
      <c r="I146" s="13">
        <v>6607.33</v>
      </c>
      <c r="J146" s="13" t="s">
        <v>408</v>
      </c>
      <c r="K146" s="13">
        <v>6791.2723170202007</v>
      </c>
      <c r="L146" s="13">
        <v>6747.5730106666661</v>
      </c>
      <c r="O146" s="13" t="s">
        <v>405</v>
      </c>
      <c r="P146" s="13">
        <v>6746.05</v>
      </c>
      <c r="Q146" s="13" t="s">
        <v>406</v>
      </c>
    </row>
    <row r="147" spans="1:19" x14ac:dyDescent="0.3">
      <c r="A147" s="54">
        <v>45442.385416666664</v>
      </c>
      <c r="B147" t="s">
        <v>554</v>
      </c>
      <c r="C147" s="13">
        <v>314.60001</v>
      </c>
      <c r="D147" s="13">
        <v>317.64999</v>
      </c>
      <c r="E147" s="13">
        <v>303.79998999999998</v>
      </c>
      <c r="F147" s="13">
        <v>306.70001000000002</v>
      </c>
      <c r="G147" s="13">
        <v>22768893</v>
      </c>
      <c r="H147" s="13">
        <v>320.63</v>
      </c>
      <c r="I147" s="13">
        <v>306.7</v>
      </c>
      <c r="K147" s="13">
        <v>312.75351562121205</v>
      </c>
      <c r="L147" s="13">
        <v>308.74067720000005</v>
      </c>
      <c r="O147" s="13" t="s">
        <v>405</v>
      </c>
      <c r="P147" s="13">
        <v>310.79000000000002</v>
      </c>
      <c r="Q147" s="13" t="s">
        <v>406</v>
      </c>
    </row>
    <row r="148" spans="1:19" x14ac:dyDescent="0.3">
      <c r="A148" s="54">
        <v>45442.385416666664</v>
      </c>
      <c r="B148" t="s">
        <v>555</v>
      </c>
      <c r="C148" s="13">
        <v>1325</v>
      </c>
      <c r="D148" s="13">
        <v>1335.1</v>
      </c>
      <c r="E148" s="13">
        <v>1302.3</v>
      </c>
      <c r="F148" s="13">
        <v>1312.75</v>
      </c>
      <c r="G148" s="13">
        <v>550735</v>
      </c>
      <c r="H148" s="13">
        <v>1345.98</v>
      </c>
      <c r="I148" s="13">
        <v>1312.75</v>
      </c>
      <c r="K148" s="13">
        <v>1330.4026767676769</v>
      </c>
      <c r="L148" s="13">
        <v>1317.7633333333331</v>
      </c>
      <c r="O148" s="13" t="s">
        <v>405</v>
      </c>
      <c r="P148" s="13">
        <v>1320.37</v>
      </c>
      <c r="Q148" s="13" t="s">
        <v>406</v>
      </c>
    </row>
    <row r="149" spans="1:19" x14ac:dyDescent="0.3">
      <c r="A149" s="54">
        <v>45442.385416666664</v>
      </c>
      <c r="B149" t="s">
        <v>556</v>
      </c>
      <c r="C149" s="13">
        <v>752.40002000000004</v>
      </c>
      <c r="D149" s="13">
        <v>753.90002000000004</v>
      </c>
      <c r="E149" s="13">
        <v>742.79998999999998</v>
      </c>
      <c r="F149" s="13">
        <v>745.45001000000002</v>
      </c>
      <c r="G149" s="13">
        <v>435189</v>
      </c>
      <c r="H149" s="13">
        <v>764.1</v>
      </c>
      <c r="I149" s="13">
        <v>745.45</v>
      </c>
      <c r="K149" s="13">
        <v>754.31579065151516</v>
      </c>
      <c r="L149" s="13">
        <v>743.7946604</v>
      </c>
      <c r="O149" s="13" t="s">
        <v>405</v>
      </c>
      <c r="P149" s="13">
        <v>749.74</v>
      </c>
      <c r="Q149" s="13" t="s">
        <v>406</v>
      </c>
    </row>
    <row r="150" spans="1:19" x14ac:dyDescent="0.3">
      <c r="A150" s="54">
        <v>45442.385416666664</v>
      </c>
      <c r="B150" t="s">
        <v>557</v>
      </c>
      <c r="C150" s="13">
        <v>249.45</v>
      </c>
      <c r="D150" s="13">
        <v>249.8</v>
      </c>
      <c r="E150" s="13">
        <v>241.45</v>
      </c>
      <c r="F150" s="13">
        <v>242.5</v>
      </c>
      <c r="G150" s="13">
        <v>3541064</v>
      </c>
      <c r="H150" s="13">
        <v>251.28</v>
      </c>
      <c r="I150" s="13">
        <v>242.5</v>
      </c>
      <c r="K150" s="13">
        <v>248.95214926262622</v>
      </c>
      <c r="L150" s="13">
        <v>244.14866515555556</v>
      </c>
      <c r="O150" s="13" t="s">
        <v>405</v>
      </c>
      <c r="P150" s="13">
        <v>247.25</v>
      </c>
      <c r="Q150" s="13" t="s">
        <v>406</v>
      </c>
    </row>
    <row r="151" spans="1:19" x14ac:dyDescent="0.3">
      <c r="A151" s="54">
        <v>45442.385416666664</v>
      </c>
      <c r="B151" t="s">
        <v>558</v>
      </c>
      <c r="C151" s="13">
        <v>568.75</v>
      </c>
      <c r="D151" s="13">
        <v>572.15002000000004</v>
      </c>
      <c r="E151" s="13">
        <v>545</v>
      </c>
      <c r="F151" s="13">
        <v>547.75</v>
      </c>
      <c r="G151" s="13">
        <v>11582851</v>
      </c>
      <c r="H151" s="13">
        <v>580.20000000000005</v>
      </c>
      <c r="I151" s="13">
        <v>547.75</v>
      </c>
      <c r="J151" s="13" t="s">
        <v>408</v>
      </c>
      <c r="K151" s="13">
        <v>575.70404280303035</v>
      </c>
      <c r="L151" s="13">
        <v>563.31844831111107</v>
      </c>
      <c r="N151" s="13" t="s">
        <v>404</v>
      </c>
      <c r="O151" s="13" t="s">
        <v>405</v>
      </c>
      <c r="P151" s="13">
        <v>570.80999999999995</v>
      </c>
      <c r="Q151" s="13" t="s">
        <v>406</v>
      </c>
      <c r="S151" t="s">
        <v>402</v>
      </c>
    </row>
    <row r="152" spans="1:19" x14ac:dyDescent="0.3">
      <c r="A152" s="54">
        <v>45442.385416666664</v>
      </c>
      <c r="B152" t="s">
        <v>559</v>
      </c>
      <c r="C152" s="13">
        <v>2871</v>
      </c>
      <c r="D152" s="13">
        <v>2880.8</v>
      </c>
      <c r="E152" s="13">
        <v>2840.2</v>
      </c>
      <c r="F152" s="13">
        <v>2849.7</v>
      </c>
      <c r="G152" s="13">
        <v>6603425</v>
      </c>
      <c r="H152" s="13">
        <v>2905.43</v>
      </c>
      <c r="I152" s="13">
        <v>2849.7</v>
      </c>
      <c r="K152" s="13">
        <v>2903.4301006565652</v>
      </c>
      <c r="L152" s="13">
        <v>2853.0364164444441</v>
      </c>
      <c r="O152" s="13" t="s">
        <v>405</v>
      </c>
      <c r="P152" s="13">
        <v>2873.27</v>
      </c>
      <c r="Q152" s="13" t="s">
        <v>406</v>
      </c>
    </row>
    <row r="153" spans="1:19" x14ac:dyDescent="0.3">
      <c r="A153" s="54">
        <v>45442.385416666664</v>
      </c>
      <c r="B153" t="s">
        <v>560</v>
      </c>
      <c r="C153" s="13">
        <v>161.5</v>
      </c>
      <c r="D153" s="13">
        <v>162.25</v>
      </c>
      <c r="E153" s="13">
        <v>156.69999999999999</v>
      </c>
      <c r="F153" s="13">
        <v>157.75</v>
      </c>
      <c r="G153" s="13">
        <v>19706386</v>
      </c>
      <c r="H153" s="13">
        <v>165.45</v>
      </c>
      <c r="I153" s="13">
        <v>157.75</v>
      </c>
      <c r="K153" s="13">
        <v>160.95857674242424</v>
      </c>
      <c r="L153" s="13">
        <v>157.88754986666666</v>
      </c>
      <c r="O153" s="13" t="s">
        <v>405</v>
      </c>
      <c r="P153" s="13">
        <v>159.19999999999999</v>
      </c>
      <c r="Q153" s="13" t="s">
        <v>406</v>
      </c>
    </row>
    <row r="154" spans="1:19" x14ac:dyDescent="0.3">
      <c r="A154" s="54">
        <v>45442.385416666664</v>
      </c>
      <c r="B154" t="s">
        <v>561</v>
      </c>
      <c r="C154" s="13">
        <v>696.79998999999998</v>
      </c>
      <c r="D154" s="13">
        <v>702.5</v>
      </c>
      <c r="E154" s="13">
        <v>690</v>
      </c>
      <c r="F154" s="13">
        <v>694.04998999999998</v>
      </c>
      <c r="G154" s="13">
        <v>1821007</v>
      </c>
      <c r="H154" s="13">
        <v>705.43</v>
      </c>
      <c r="I154" s="13">
        <v>694.05</v>
      </c>
      <c r="K154" s="13">
        <v>697.76577820707064</v>
      </c>
      <c r="L154" s="13">
        <v>694.01421693333327</v>
      </c>
      <c r="O154" s="13" t="s">
        <v>405</v>
      </c>
      <c r="P154" s="13">
        <v>695.64</v>
      </c>
      <c r="Q154" s="13" t="s">
        <v>406</v>
      </c>
    </row>
    <row r="155" spans="1:19" x14ac:dyDescent="0.3">
      <c r="A155" s="54">
        <v>45442.385416666664</v>
      </c>
      <c r="B155" t="s">
        <v>562</v>
      </c>
      <c r="C155" s="13">
        <v>1418.8</v>
      </c>
      <c r="D155" s="13">
        <v>1418.8</v>
      </c>
      <c r="E155" s="13">
        <v>1371</v>
      </c>
      <c r="F155" s="13">
        <v>1380.05</v>
      </c>
      <c r="G155" s="13">
        <v>2097166</v>
      </c>
      <c r="H155" s="13">
        <v>1430.95</v>
      </c>
      <c r="I155" s="13">
        <v>1380.05</v>
      </c>
      <c r="K155" s="13">
        <v>1413.3912121212122</v>
      </c>
      <c r="L155" s="13">
        <v>1391.528888888889</v>
      </c>
      <c r="O155" s="13" t="s">
        <v>405</v>
      </c>
      <c r="P155" s="13">
        <v>1405.99</v>
      </c>
      <c r="Q155" s="13" t="s">
        <v>406</v>
      </c>
    </row>
    <row r="156" spans="1:19" x14ac:dyDescent="0.3">
      <c r="A156" s="54">
        <v>45442.385416666664</v>
      </c>
      <c r="B156" t="s">
        <v>563</v>
      </c>
      <c r="C156" s="13">
        <v>821.40002000000004</v>
      </c>
      <c r="D156" s="13">
        <v>836</v>
      </c>
      <c r="E156" s="13">
        <v>819.29998999999998</v>
      </c>
      <c r="F156" s="13">
        <v>825.84997999999996</v>
      </c>
      <c r="G156" s="13">
        <v>17818705</v>
      </c>
      <c r="H156" s="13">
        <v>833.7</v>
      </c>
      <c r="I156" s="13">
        <v>818.22</v>
      </c>
      <c r="J156" s="13" t="s">
        <v>408</v>
      </c>
      <c r="K156" s="13">
        <v>829.62831666161617</v>
      </c>
      <c r="L156" s="13">
        <v>825.52088893333325</v>
      </c>
      <c r="O156" s="13" t="s">
        <v>405</v>
      </c>
      <c r="P156" s="13">
        <v>825.34</v>
      </c>
      <c r="Q156" s="13" t="s">
        <v>406</v>
      </c>
    </row>
    <row r="157" spans="1:19" x14ac:dyDescent="0.3">
      <c r="A157" s="54">
        <v>45442.385416666664</v>
      </c>
      <c r="B157" t="s">
        <v>564</v>
      </c>
      <c r="C157" s="13">
        <v>25322.25</v>
      </c>
      <c r="D157" s="13">
        <v>25322.25</v>
      </c>
      <c r="E157" s="13">
        <v>24700.1</v>
      </c>
      <c r="F157" s="13">
        <v>25062.35</v>
      </c>
      <c r="G157" s="13">
        <v>40445</v>
      </c>
      <c r="H157" s="13">
        <v>25495.45</v>
      </c>
      <c r="I157" s="13">
        <v>25062.35</v>
      </c>
      <c r="K157" s="13">
        <v>25227.956666666665</v>
      </c>
      <c r="L157" s="13">
        <v>25134.170617777778</v>
      </c>
      <c r="N157" s="13" t="s">
        <v>404</v>
      </c>
      <c r="O157" s="13" t="s">
        <v>405</v>
      </c>
      <c r="P157" s="13">
        <v>25267.64</v>
      </c>
      <c r="Q157" s="13" t="s">
        <v>411</v>
      </c>
    </row>
    <row r="158" spans="1:19" x14ac:dyDescent="0.3">
      <c r="A158" s="54">
        <v>45442.385416666664</v>
      </c>
      <c r="B158" t="s">
        <v>565</v>
      </c>
      <c r="C158" s="13">
        <v>2366</v>
      </c>
      <c r="D158" s="13">
        <v>2380</v>
      </c>
      <c r="E158" s="13">
        <v>2292</v>
      </c>
      <c r="F158" s="13">
        <v>2302.6999999999998</v>
      </c>
      <c r="G158" s="13">
        <v>1337633</v>
      </c>
      <c r="H158" s="13">
        <v>2399.2800000000002</v>
      </c>
      <c r="I158" s="13">
        <v>2302.6999999999998</v>
      </c>
      <c r="K158" s="13">
        <v>2370.9351872222223</v>
      </c>
      <c r="L158" s="13">
        <v>2328.0926333333327</v>
      </c>
      <c r="O158" s="13" t="s">
        <v>405</v>
      </c>
      <c r="P158" s="13">
        <v>2352.0700000000002</v>
      </c>
      <c r="Q158" s="13" t="s">
        <v>406</v>
      </c>
    </row>
    <row r="159" spans="1:19" x14ac:dyDescent="0.3">
      <c r="A159" s="54">
        <v>45442.385416666664</v>
      </c>
      <c r="B159" t="s">
        <v>566</v>
      </c>
      <c r="C159" s="13">
        <v>7004</v>
      </c>
      <c r="D159" s="13">
        <v>7050</v>
      </c>
      <c r="E159" s="13">
        <v>6939.3999000000003</v>
      </c>
      <c r="F159" s="13">
        <v>6984.6499000000003</v>
      </c>
      <c r="G159" s="13">
        <v>278761</v>
      </c>
      <c r="H159" s="13">
        <v>7161.66</v>
      </c>
      <c r="I159" s="13">
        <v>6984.65</v>
      </c>
      <c r="K159" s="13">
        <v>7072.5621795454545</v>
      </c>
      <c r="L159" s="13">
        <v>6962.7663008888894</v>
      </c>
      <c r="O159" s="13" t="s">
        <v>405</v>
      </c>
      <c r="P159" s="13">
        <v>7018.6</v>
      </c>
      <c r="Q159" s="13" t="s">
        <v>406</v>
      </c>
    </row>
    <row r="160" spans="1:19" x14ac:dyDescent="0.3">
      <c r="A160" s="54">
        <v>45442.385416666664</v>
      </c>
      <c r="B160" t="s">
        <v>567</v>
      </c>
      <c r="C160" s="13">
        <v>2231</v>
      </c>
      <c r="D160" s="13">
        <v>2242.75</v>
      </c>
      <c r="E160" s="13">
        <v>2214.0500000000002</v>
      </c>
      <c r="F160" s="13">
        <v>2223.1001000000001</v>
      </c>
      <c r="G160" s="13">
        <v>372713</v>
      </c>
      <c r="H160" s="13">
        <v>2272.44</v>
      </c>
      <c r="I160" s="13">
        <v>2223.1</v>
      </c>
      <c r="K160" s="13">
        <v>2257.6009505555553</v>
      </c>
      <c r="L160" s="13">
        <v>2225.9356146666669</v>
      </c>
      <c r="O160" s="13" t="s">
        <v>405</v>
      </c>
      <c r="P160" s="13">
        <v>2250.33</v>
      </c>
      <c r="Q160" s="13" t="s">
        <v>406</v>
      </c>
    </row>
    <row r="161" spans="1:19" x14ac:dyDescent="0.3">
      <c r="A161" s="54">
        <v>45442.385416666664</v>
      </c>
      <c r="B161" t="s">
        <v>568</v>
      </c>
      <c r="C161" s="13">
        <v>1476</v>
      </c>
      <c r="D161" s="13">
        <v>1477.4</v>
      </c>
      <c r="E161" s="13">
        <v>1449.5</v>
      </c>
      <c r="F161" s="13">
        <v>1459.1</v>
      </c>
      <c r="G161" s="13">
        <v>3133423</v>
      </c>
      <c r="H161" s="13">
        <v>1497.24</v>
      </c>
      <c r="I161" s="13">
        <v>1459.1</v>
      </c>
      <c r="K161" s="13">
        <v>1451.5197222222221</v>
      </c>
      <c r="L161" s="13">
        <v>1456.492</v>
      </c>
      <c r="O161" s="13" t="s">
        <v>410</v>
      </c>
      <c r="P161" s="13">
        <v>1461.99</v>
      </c>
      <c r="Q161" s="13" t="s">
        <v>411</v>
      </c>
    </row>
    <row r="162" spans="1:19" x14ac:dyDescent="0.3">
      <c r="A162" s="54">
        <v>45442.385416666664</v>
      </c>
      <c r="B162" t="s">
        <v>569</v>
      </c>
      <c r="C162" s="13">
        <v>650.09997999999996</v>
      </c>
      <c r="D162" s="13">
        <v>675</v>
      </c>
      <c r="E162" s="13">
        <v>648.29998999999998</v>
      </c>
      <c r="F162" s="13">
        <v>670.25</v>
      </c>
      <c r="G162" s="13">
        <v>1898623</v>
      </c>
      <c r="H162" s="13">
        <v>671.26</v>
      </c>
      <c r="I162" s="13">
        <v>636.65</v>
      </c>
      <c r="J162" s="13" t="s">
        <v>408</v>
      </c>
      <c r="K162" s="13">
        <v>652.62553807575762</v>
      </c>
      <c r="L162" s="13">
        <v>661.79600302222218</v>
      </c>
      <c r="M162" s="13" t="s">
        <v>570</v>
      </c>
      <c r="O162" s="13" t="s">
        <v>410</v>
      </c>
      <c r="P162" s="13">
        <v>657.32</v>
      </c>
      <c r="Q162" s="13" t="s">
        <v>411</v>
      </c>
    </row>
    <row r="163" spans="1:19" x14ac:dyDescent="0.3">
      <c r="A163" s="54">
        <v>45442.385416666664</v>
      </c>
      <c r="B163" t="s">
        <v>571</v>
      </c>
      <c r="C163" s="13">
        <v>686.5</v>
      </c>
      <c r="D163" s="13">
        <v>688.54998999999998</v>
      </c>
      <c r="E163" s="13">
        <v>671.79998999999998</v>
      </c>
      <c r="F163" s="13">
        <v>675.95001000000002</v>
      </c>
      <c r="G163" s="13">
        <v>762772</v>
      </c>
      <c r="H163" s="13">
        <v>690.65</v>
      </c>
      <c r="I163" s="13">
        <v>672.1</v>
      </c>
      <c r="J163" s="13" t="s">
        <v>408</v>
      </c>
      <c r="K163" s="13">
        <v>679.08888648989898</v>
      </c>
      <c r="L163" s="13">
        <v>679.85156524444437</v>
      </c>
      <c r="O163" s="13" t="s">
        <v>410</v>
      </c>
      <c r="P163" s="13">
        <v>681.05</v>
      </c>
      <c r="Q163" s="13" t="s">
        <v>411</v>
      </c>
    </row>
    <row r="164" spans="1:19" x14ac:dyDescent="0.3">
      <c r="A164" s="54">
        <v>45442.385416666664</v>
      </c>
      <c r="B164" t="s">
        <v>572</v>
      </c>
      <c r="C164" s="13">
        <v>1072.6500000000001</v>
      </c>
      <c r="D164" s="13">
        <v>1078.95</v>
      </c>
      <c r="E164" s="13">
        <v>1037</v>
      </c>
      <c r="F164" s="13">
        <v>1043.55</v>
      </c>
      <c r="G164" s="13">
        <v>1061955</v>
      </c>
      <c r="H164" s="13">
        <v>1089.8699999999999</v>
      </c>
      <c r="I164" s="13">
        <v>1043.55</v>
      </c>
      <c r="K164" s="13">
        <v>1078.6775757575758</v>
      </c>
      <c r="L164" s="13">
        <v>1055.6162222222222</v>
      </c>
      <c r="O164" s="13" t="s">
        <v>405</v>
      </c>
      <c r="P164" s="13">
        <v>1066.45</v>
      </c>
      <c r="Q164" s="13" t="s">
        <v>406</v>
      </c>
    </row>
    <row r="165" spans="1:19" x14ac:dyDescent="0.3">
      <c r="A165" s="54">
        <v>45442.385416666664</v>
      </c>
      <c r="B165" t="s">
        <v>573</v>
      </c>
      <c r="C165" s="13">
        <v>1785.4</v>
      </c>
      <c r="D165" s="13">
        <v>1796.45</v>
      </c>
      <c r="E165" s="13">
        <v>1756.05</v>
      </c>
      <c r="F165" s="13">
        <v>1762.7</v>
      </c>
      <c r="G165" s="13">
        <v>283686</v>
      </c>
      <c r="H165" s="13">
        <v>1809.54</v>
      </c>
      <c r="I165" s="13">
        <v>1762.7</v>
      </c>
      <c r="K165" s="13">
        <v>1792.1289898989901</v>
      </c>
      <c r="L165" s="13">
        <v>1766.0568888888888</v>
      </c>
      <c r="O165" s="13" t="s">
        <v>405</v>
      </c>
      <c r="P165" s="13">
        <v>1779</v>
      </c>
      <c r="Q165" s="13" t="s">
        <v>406</v>
      </c>
    </row>
    <row r="166" spans="1:19" x14ac:dyDescent="0.3">
      <c r="A166" s="54">
        <v>45442.385416666664</v>
      </c>
      <c r="B166" t="s">
        <v>574</v>
      </c>
      <c r="C166" s="13">
        <v>1071</v>
      </c>
      <c r="D166" s="13">
        <v>1074.45</v>
      </c>
      <c r="E166" s="13">
        <v>1052</v>
      </c>
      <c r="F166" s="13">
        <v>1067.2</v>
      </c>
      <c r="G166" s="13">
        <v>2743237</v>
      </c>
      <c r="H166" s="13">
        <v>1086.1400000000001</v>
      </c>
      <c r="I166" s="13">
        <v>1067.2</v>
      </c>
      <c r="K166" s="13">
        <v>1076.8478535353536</v>
      </c>
      <c r="L166" s="13">
        <v>1064.5115555555556</v>
      </c>
      <c r="O166" s="13" t="s">
        <v>405</v>
      </c>
      <c r="P166" s="13">
        <v>1068.7</v>
      </c>
      <c r="Q166" s="13" t="s">
        <v>406</v>
      </c>
    </row>
    <row r="167" spans="1:19" x14ac:dyDescent="0.3">
      <c r="A167" s="54">
        <v>45442.385416666664</v>
      </c>
      <c r="B167" t="s">
        <v>575</v>
      </c>
      <c r="C167" s="13">
        <v>943.5</v>
      </c>
      <c r="D167" s="13">
        <v>951.45001000000002</v>
      </c>
      <c r="E167" s="13">
        <v>921</v>
      </c>
      <c r="F167" s="13">
        <v>923.95001000000002</v>
      </c>
      <c r="G167" s="13">
        <v>10170912</v>
      </c>
      <c r="H167" s="13">
        <v>955.54</v>
      </c>
      <c r="I167" s="13">
        <v>923.95</v>
      </c>
      <c r="K167" s="13">
        <v>943.59054595454529</v>
      </c>
      <c r="L167" s="13">
        <v>928.72022328888897</v>
      </c>
      <c r="O167" s="13" t="s">
        <v>405</v>
      </c>
      <c r="P167" s="13">
        <v>930.81</v>
      </c>
      <c r="Q167" s="13" t="s">
        <v>406</v>
      </c>
    </row>
    <row r="168" spans="1:19" x14ac:dyDescent="0.3">
      <c r="A168" s="54">
        <v>45442.385416666664</v>
      </c>
      <c r="B168" t="s">
        <v>576</v>
      </c>
      <c r="C168" s="13">
        <v>432.85001</v>
      </c>
      <c r="D168" s="13">
        <v>433.5</v>
      </c>
      <c r="E168" s="13">
        <v>422.54998999999998</v>
      </c>
      <c r="F168" s="13">
        <v>425.35001</v>
      </c>
      <c r="G168" s="13">
        <v>9059666</v>
      </c>
      <c r="H168" s="13">
        <v>437.97</v>
      </c>
      <c r="I168" s="13">
        <v>425.35</v>
      </c>
      <c r="K168" s="13">
        <v>434.4524746666666</v>
      </c>
      <c r="L168" s="13">
        <v>425.89289666666662</v>
      </c>
      <c r="O168" s="13" t="s">
        <v>405</v>
      </c>
      <c r="P168" s="13">
        <v>430.6</v>
      </c>
      <c r="Q168" s="13" t="s">
        <v>406</v>
      </c>
    </row>
    <row r="169" spans="1:19" x14ac:dyDescent="0.3">
      <c r="A169" s="54">
        <v>45442.385416666664</v>
      </c>
      <c r="B169" t="s">
        <v>577</v>
      </c>
      <c r="C169" s="13">
        <v>172</v>
      </c>
      <c r="D169" s="13">
        <v>172</v>
      </c>
      <c r="E169" s="13">
        <v>163.35001</v>
      </c>
      <c r="F169" s="13">
        <v>164.14999</v>
      </c>
      <c r="G169" s="13">
        <v>108813875</v>
      </c>
      <c r="H169" s="13">
        <v>175.5</v>
      </c>
      <c r="I169" s="13">
        <v>164.15</v>
      </c>
      <c r="J169" s="13" t="s">
        <v>408</v>
      </c>
      <c r="K169" s="13">
        <v>173.28302503535352</v>
      </c>
      <c r="L169" s="13">
        <v>167.59354657777777</v>
      </c>
      <c r="O169" s="13" t="s">
        <v>405</v>
      </c>
      <c r="P169" s="13">
        <v>169.52</v>
      </c>
      <c r="Q169" s="13" t="s">
        <v>406</v>
      </c>
    </row>
    <row r="170" spans="1:19" x14ac:dyDescent="0.3">
      <c r="A170" s="54">
        <v>45442.385416666664</v>
      </c>
      <c r="B170" t="s">
        <v>578</v>
      </c>
      <c r="C170" s="13">
        <v>3777</v>
      </c>
      <c r="D170" s="13">
        <v>3794.3998999999999</v>
      </c>
      <c r="E170" s="13">
        <v>3715.45</v>
      </c>
      <c r="F170" s="13">
        <v>3736.1001000000001</v>
      </c>
      <c r="G170" s="13">
        <v>2919230</v>
      </c>
      <c r="H170" s="13">
        <v>3815.24</v>
      </c>
      <c r="I170" s="13">
        <v>3736.1</v>
      </c>
      <c r="K170" s="13">
        <v>3802.3430327777774</v>
      </c>
      <c r="L170" s="13">
        <v>3753.2395715555554</v>
      </c>
      <c r="O170" s="13" t="s">
        <v>405</v>
      </c>
      <c r="P170" s="13">
        <v>3777.7</v>
      </c>
      <c r="Q170" s="13" t="s">
        <v>406</v>
      </c>
    </row>
    <row r="171" spans="1:19" x14ac:dyDescent="0.3">
      <c r="A171" s="54">
        <v>45442.385416666664</v>
      </c>
      <c r="B171" t="s">
        <v>579</v>
      </c>
      <c r="C171" s="13">
        <v>1280.05</v>
      </c>
      <c r="D171" s="13">
        <v>1287.75</v>
      </c>
      <c r="E171" s="13">
        <v>1235.3499999999999</v>
      </c>
      <c r="F171" s="13">
        <v>1240.8499999999999</v>
      </c>
      <c r="G171" s="13">
        <v>2610479</v>
      </c>
      <c r="H171" s="13">
        <v>1291.69</v>
      </c>
      <c r="I171" s="13">
        <v>1240.8499999999999</v>
      </c>
      <c r="K171" s="13">
        <v>1290.0123989898989</v>
      </c>
      <c r="L171" s="13">
        <v>1253.184888888889</v>
      </c>
      <c r="O171" s="13" t="s">
        <v>405</v>
      </c>
      <c r="P171" s="13">
        <v>1268</v>
      </c>
      <c r="Q171" s="13" t="s">
        <v>406</v>
      </c>
    </row>
    <row r="172" spans="1:19" x14ac:dyDescent="0.3">
      <c r="A172" s="54">
        <v>45442.385416666664</v>
      </c>
      <c r="B172" t="s">
        <v>580</v>
      </c>
      <c r="C172" s="13">
        <v>3365</v>
      </c>
      <c r="D172" s="13">
        <v>3365</v>
      </c>
      <c r="E172" s="13">
        <v>3254</v>
      </c>
      <c r="F172" s="13">
        <v>3271.8501000000001</v>
      </c>
      <c r="G172" s="13">
        <v>2365535</v>
      </c>
      <c r="H172" s="13">
        <v>3452.05</v>
      </c>
      <c r="I172" s="13">
        <v>3271.85</v>
      </c>
      <c r="J172" s="13" t="s">
        <v>408</v>
      </c>
      <c r="K172" s="13">
        <v>3375.2011597979795</v>
      </c>
      <c r="L172" s="13">
        <v>3304.7875666666664</v>
      </c>
      <c r="O172" s="13" t="s">
        <v>405</v>
      </c>
      <c r="P172" s="13">
        <v>3343.86</v>
      </c>
      <c r="Q172" s="13" t="s">
        <v>406</v>
      </c>
    </row>
    <row r="173" spans="1:19" x14ac:dyDescent="0.3">
      <c r="A173" s="54">
        <v>45442.385416666664</v>
      </c>
      <c r="B173" t="s">
        <v>581</v>
      </c>
      <c r="C173" s="13">
        <v>2714.2</v>
      </c>
      <c r="D173" s="13">
        <v>2740</v>
      </c>
      <c r="E173" s="13">
        <v>2648</v>
      </c>
      <c r="F173" s="13">
        <v>2658.05</v>
      </c>
      <c r="G173" s="13">
        <v>257586</v>
      </c>
      <c r="H173" s="13">
        <v>2707</v>
      </c>
      <c r="I173" s="13">
        <v>2612.5500000000002</v>
      </c>
      <c r="J173" s="13" t="s">
        <v>408</v>
      </c>
      <c r="K173" s="13">
        <v>2667.9200014646462</v>
      </c>
      <c r="L173" s="13">
        <v>2675.3877888888887</v>
      </c>
      <c r="O173" s="13" t="s">
        <v>410</v>
      </c>
      <c r="P173" s="13">
        <v>2683.03</v>
      </c>
      <c r="Q173" s="13" t="s">
        <v>411</v>
      </c>
    </row>
    <row r="174" spans="1:19" x14ac:dyDescent="0.3">
      <c r="A174" s="54">
        <v>45442.385416666664</v>
      </c>
      <c r="B174" t="s">
        <v>582</v>
      </c>
      <c r="C174" s="13">
        <v>4669.1000999999997</v>
      </c>
      <c r="D174" s="13">
        <v>4698</v>
      </c>
      <c r="E174" s="13">
        <v>4602.2002000000002</v>
      </c>
      <c r="F174" s="13">
        <v>4651.3500999999997</v>
      </c>
      <c r="G174" s="13">
        <v>523206</v>
      </c>
      <c r="H174" s="13">
        <v>4715.3999999999996</v>
      </c>
      <c r="I174" s="13">
        <v>4596.76</v>
      </c>
      <c r="J174" s="13" t="s">
        <v>408</v>
      </c>
      <c r="K174" s="13">
        <v>4662.9194682828283</v>
      </c>
      <c r="L174" s="13">
        <v>4645.4617817777762</v>
      </c>
      <c r="O174" s="13" t="s">
        <v>405</v>
      </c>
      <c r="P174" s="13">
        <v>4649.84</v>
      </c>
      <c r="Q174" s="13" t="s">
        <v>406</v>
      </c>
    </row>
    <row r="175" spans="1:19" x14ac:dyDescent="0.3">
      <c r="A175" s="54">
        <v>45442.385416666664</v>
      </c>
      <c r="B175" t="s">
        <v>583</v>
      </c>
      <c r="C175" s="13">
        <v>2244.9499999999998</v>
      </c>
      <c r="D175" s="13">
        <v>2259.25</v>
      </c>
      <c r="E175" s="13">
        <v>2222.6999999999998</v>
      </c>
      <c r="F175" s="13">
        <v>2230.8501000000001</v>
      </c>
      <c r="G175" s="13">
        <v>741013</v>
      </c>
      <c r="H175" s="13">
        <v>2253.85</v>
      </c>
      <c r="I175" s="13">
        <v>2190.27</v>
      </c>
      <c r="J175" s="13" t="s">
        <v>408</v>
      </c>
      <c r="K175" s="13">
        <v>2271.0364262121216</v>
      </c>
      <c r="L175" s="13">
        <v>2254.3280955555556</v>
      </c>
      <c r="N175" s="13" t="s">
        <v>404</v>
      </c>
      <c r="O175" s="13" t="s">
        <v>405</v>
      </c>
      <c r="P175" s="13">
        <v>2258.4299999999998</v>
      </c>
      <c r="Q175" s="13" t="s">
        <v>406</v>
      </c>
    </row>
    <row r="176" spans="1:19" x14ac:dyDescent="0.3">
      <c r="A176" s="54">
        <v>45442.385416666664</v>
      </c>
      <c r="B176" t="s">
        <v>584</v>
      </c>
      <c r="C176" s="13">
        <v>1860.1</v>
      </c>
      <c r="D176" s="13">
        <v>1870</v>
      </c>
      <c r="E176" s="13">
        <v>1830.1</v>
      </c>
      <c r="F176" s="13">
        <v>1840.85</v>
      </c>
      <c r="G176" s="13">
        <v>171464</v>
      </c>
      <c r="H176" s="13">
        <v>1889.54</v>
      </c>
      <c r="I176" s="13">
        <v>1840.85</v>
      </c>
      <c r="K176" s="13">
        <v>1855.7538636363636</v>
      </c>
      <c r="L176" s="13">
        <v>1850.1862222222223</v>
      </c>
      <c r="N176" s="13" t="s">
        <v>404</v>
      </c>
      <c r="O176" s="13" t="s">
        <v>405</v>
      </c>
      <c r="P176" s="13">
        <v>1854.36</v>
      </c>
      <c r="Q176" s="13" t="s">
        <v>406</v>
      </c>
      <c r="S176" t="s">
        <v>402</v>
      </c>
    </row>
    <row r="177" spans="1:19" x14ac:dyDescent="0.3">
      <c r="A177" s="54">
        <v>45442.385416666664</v>
      </c>
      <c r="B177" t="s">
        <v>585</v>
      </c>
      <c r="C177" s="13">
        <v>10021</v>
      </c>
      <c r="D177" s="13">
        <v>10025</v>
      </c>
      <c r="E177" s="13">
        <v>9830</v>
      </c>
      <c r="F177" s="13">
        <v>9868.8495999999996</v>
      </c>
      <c r="G177" s="13">
        <v>323424</v>
      </c>
      <c r="H177" s="13">
        <v>10130.93</v>
      </c>
      <c r="I177" s="13">
        <v>9868.85</v>
      </c>
      <c r="K177" s="13">
        <v>10155.429544646464</v>
      </c>
      <c r="L177" s="13">
        <v>9942.1937457777767</v>
      </c>
      <c r="O177" s="13" t="s">
        <v>405</v>
      </c>
      <c r="P177" s="13">
        <v>10030.24</v>
      </c>
      <c r="Q177" s="13" t="s">
        <v>406</v>
      </c>
    </row>
    <row r="178" spans="1:19" x14ac:dyDescent="0.3">
      <c r="A178" s="54">
        <v>45442.385416666664</v>
      </c>
      <c r="B178" t="s">
        <v>586</v>
      </c>
      <c r="C178" s="13">
        <v>516.70001000000002</v>
      </c>
      <c r="D178" s="13">
        <v>518.34997999999996</v>
      </c>
      <c r="E178" s="13">
        <v>505</v>
      </c>
      <c r="F178" s="13">
        <v>506.10001</v>
      </c>
      <c r="G178" s="13">
        <v>1828288</v>
      </c>
      <c r="H178" s="13">
        <v>523.5</v>
      </c>
      <c r="I178" s="13">
        <v>506.1</v>
      </c>
      <c r="K178" s="13">
        <v>517.46432447474751</v>
      </c>
      <c r="L178" s="13">
        <v>511.20511844444439</v>
      </c>
      <c r="O178" s="13" t="s">
        <v>405</v>
      </c>
      <c r="P178" s="13">
        <v>514.85</v>
      </c>
      <c r="Q178" s="13" t="s">
        <v>406</v>
      </c>
      <c r="S178" t="s">
        <v>402</v>
      </c>
    </row>
    <row r="179" spans="1:19" x14ac:dyDescent="0.3">
      <c r="A179" s="54">
        <v>45442.385416666664</v>
      </c>
      <c r="B179" t="s">
        <v>587</v>
      </c>
      <c r="C179" s="13">
        <v>454</v>
      </c>
      <c r="D179" s="13">
        <v>458</v>
      </c>
      <c r="E179" s="13">
        <v>437.20001000000002</v>
      </c>
      <c r="F179" s="13">
        <v>440.79998999999998</v>
      </c>
      <c r="G179" s="13">
        <v>13122990</v>
      </c>
      <c r="H179" s="13">
        <v>465.81</v>
      </c>
      <c r="I179" s="13">
        <v>440.8</v>
      </c>
      <c r="K179" s="13">
        <v>449.07568332323234</v>
      </c>
      <c r="L179" s="13">
        <v>441.18932800000005</v>
      </c>
      <c r="O179" s="13" t="s">
        <v>405</v>
      </c>
      <c r="P179" s="13">
        <v>441.5</v>
      </c>
      <c r="Q179" s="13" t="s">
        <v>406</v>
      </c>
    </row>
    <row r="180" spans="1:19" x14ac:dyDescent="0.3">
      <c r="A180" s="54">
        <v>45442.385416666664</v>
      </c>
      <c r="B180" t="s">
        <v>588</v>
      </c>
      <c r="C180" s="13">
        <v>1374</v>
      </c>
      <c r="D180" s="13">
        <v>1375.3</v>
      </c>
      <c r="E180" s="13">
        <v>1345.7</v>
      </c>
      <c r="F180" s="13">
        <v>1350.5</v>
      </c>
      <c r="G180" s="13">
        <v>855382</v>
      </c>
      <c r="H180" s="13">
        <v>1402.13</v>
      </c>
      <c r="I180" s="13">
        <v>1350.5</v>
      </c>
      <c r="K180" s="13">
        <v>1402.8057575757575</v>
      </c>
      <c r="L180" s="13">
        <v>1371.5142222222225</v>
      </c>
      <c r="O180" s="13" t="s">
        <v>405</v>
      </c>
      <c r="P180" s="13">
        <v>1385.98</v>
      </c>
      <c r="Q180" s="13" t="s">
        <v>406</v>
      </c>
    </row>
    <row r="181" spans="1:19" x14ac:dyDescent="0.3">
      <c r="A181" s="54">
        <v>45442.385416666664</v>
      </c>
      <c r="B181" t="s">
        <v>589</v>
      </c>
      <c r="C181" s="13">
        <v>449</v>
      </c>
      <c r="D181" s="13">
        <v>449.5</v>
      </c>
      <c r="E181" s="13">
        <v>435.10001</v>
      </c>
      <c r="F181" s="13">
        <v>436.95001000000002</v>
      </c>
      <c r="G181" s="13">
        <v>10362284</v>
      </c>
      <c r="H181" s="13">
        <v>451.08</v>
      </c>
      <c r="I181" s="13">
        <v>436.95</v>
      </c>
      <c r="K181" s="13">
        <v>447.80459448484845</v>
      </c>
      <c r="L181" s="13">
        <v>439.62111542222226</v>
      </c>
      <c r="O181" s="13" t="s">
        <v>405</v>
      </c>
      <c r="P181" s="13">
        <v>444.21</v>
      </c>
      <c r="Q181" s="13" t="s">
        <v>406</v>
      </c>
    </row>
    <row r="182" spans="1:19" x14ac:dyDescent="0.3">
      <c r="A182" s="54">
        <v>45442.385416666664</v>
      </c>
      <c r="B182" t="s">
        <v>590</v>
      </c>
      <c r="C182" s="13">
        <v>150.89999</v>
      </c>
      <c r="D182" s="13">
        <v>156</v>
      </c>
      <c r="E182" s="13">
        <v>150.10001</v>
      </c>
      <c r="F182" s="13">
        <v>152.10001</v>
      </c>
      <c r="G182" s="13">
        <v>29864192</v>
      </c>
      <c r="H182" s="13">
        <v>152.1</v>
      </c>
      <c r="I182" s="13">
        <v>147.44</v>
      </c>
      <c r="K182" s="13">
        <v>153.03899007575754</v>
      </c>
      <c r="L182" s="13">
        <v>151.95422911111109</v>
      </c>
      <c r="O182" s="13" t="s">
        <v>405</v>
      </c>
      <c r="P182" s="13">
        <v>150.5</v>
      </c>
      <c r="Q182" s="13" t="s">
        <v>406</v>
      </c>
    </row>
    <row r="183" spans="1:19" x14ac:dyDescent="0.3">
      <c r="A183" s="54">
        <v>45442.385416666664</v>
      </c>
      <c r="B183" t="s">
        <v>591</v>
      </c>
      <c r="C183" s="13">
        <v>1042.5</v>
      </c>
      <c r="D183" s="13">
        <v>1046.45</v>
      </c>
      <c r="E183" s="13">
        <v>1020.5</v>
      </c>
      <c r="F183" s="13">
        <v>1023.95</v>
      </c>
      <c r="G183" s="13">
        <v>1517658</v>
      </c>
      <c r="H183" s="13">
        <v>1064.6099999999999</v>
      </c>
      <c r="I183" s="13">
        <v>1023.95</v>
      </c>
      <c r="K183" s="13">
        <v>1040.8689394444445</v>
      </c>
      <c r="L183" s="13">
        <v>1024.3653333333334</v>
      </c>
      <c r="O183" s="13" t="s">
        <v>405</v>
      </c>
      <c r="P183" s="13">
        <v>1026.92</v>
      </c>
      <c r="Q183" s="13" t="s">
        <v>406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7636E-61E3-45F3-AA55-D90768E4F607}">
  <sheetPr codeName="Sheet7">
    <tabColor rgb="FF00B0F0"/>
  </sheetPr>
  <dimension ref="A1:AW187"/>
  <sheetViews>
    <sheetView workbookViewId="0">
      <pane ySplit="1" topLeftCell="A53" activePane="bottomLeft" state="frozen"/>
      <selection pane="bottomLeft" activeCell="E65" sqref="E65"/>
    </sheetView>
  </sheetViews>
  <sheetFormatPr defaultColWidth="9.109375" defaultRowHeight="14.4" x14ac:dyDescent="0.3"/>
  <cols>
    <col min="1" max="1" width="10.88671875" style="13" customWidth="1"/>
    <col min="2" max="2" width="13.33203125" style="13" customWidth="1"/>
    <col min="3" max="6" width="9.109375" style="13"/>
    <col min="7" max="7" width="10" style="13" customWidth="1"/>
    <col min="8" max="10" width="9.109375" style="13"/>
    <col min="11" max="11" width="7.44140625" style="13" customWidth="1"/>
    <col min="12" max="12" width="9.109375" style="13"/>
    <col min="13" max="13" width="11.6640625" style="13" customWidth="1"/>
    <col min="14" max="14" width="14" style="13" customWidth="1"/>
    <col min="15" max="16384" width="9.109375" style="13"/>
  </cols>
  <sheetData>
    <row r="1" spans="1:49" x14ac:dyDescent="0.3">
      <c r="A1" s="27" t="s">
        <v>609</v>
      </c>
      <c r="B1" s="13" t="s">
        <v>7</v>
      </c>
      <c r="C1" s="13" t="s">
        <v>8</v>
      </c>
      <c r="D1" s="13" t="s">
        <v>9</v>
      </c>
      <c r="E1" s="13" t="s">
        <v>10</v>
      </c>
      <c r="F1" s="13" t="s">
        <v>610</v>
      </c>
      <c r="G1" s="13" t="s">
        <v>611</v>
      </c>
      <c r="H1" s="13" t="s">
        <v>612</v>
      </c>
      <c r="I1" s="13" t="s">
        <v>613</v>
      </c>
      <c r="J1" s="13" t="s">
        <v>614</v>
      </c>
      <c r="K1" s="13">
        <f>COUNTIF(K2:K190,"sell")</f>
        <v>2</v>
      </c>
      <c r="M1" s="27" t="s">
        <v>615</v>
      </c>
      <c r="N1" s="13" t="s">
        <v>7</v>
      </c>
      <c r="O1" s="13" t="s">
        <v>8</v>
      </c>
      <c r="P1" s="13" t="s">
        <v>9</v>
      </c>
      <c r="Q1" s="13" t="s">
        <v>10</v>
      </c>
      <c r="R1" s="13" t="s">
        <v>610</v>
      </c>
      <c r="S1" s="13" t="s">
        <v>611</v>
      </c>
      <c r="T1" s="13" t="s">
        <v>612</v>
      </c>
      <c r="U1" s="13" t="s">
        <v>613</v>
      </c>
      <c r="V1" s="13" t="s">
        <v>614</v>
      </c>
      <c r="W1" s="13">
        <f>COUNTIF(W2:W190,"sell")</f>
        <v>26</v>
      </c>
      <c r="AK1" s="13">
        <f>COUNTIF(AK2:AK190,"sell")</f>
        <v>2</v>
      </c>
      <c r="AW1" s="13">
        <f>COUNTIF(AW2:AW190,"sell")</f>
        <v>16</v>
      </c>
    </row>
    <row r="2" spans="1:49" x14ac:dyDescent="0.3">
      <c r="B2" s="13" t="s">
        <v>7</v>
      </c>
      <c r="C2" s="13" t="s">
        <v>8</v>
      </c>
      <c r="D2" s="13" t="s">
        <v>9</v>
      </c>
      <c r="E2" s="13" t="s">
        <v>10</v>
      </c>
      <c r="F2" s="13" t="s">
        <v>610</v>
      </c>
      <c r="G2" s="13" t="s">
        <v>611</v>
      </c>
      <c r="H2" s="13" t="s">
        <v>612</v>
      </c>
      <c r="I2" s="13" t="s">
        <v>613</v>
      </c>
      <c r="J2" s="13" t="s">
        <v>614</v>
      </c>
      <c r="K2" s="13" t="s">
        <v>616</v>
      </c>
      <c r="N2" s="13" t="s">
        <v>7</v>
      </c>
      <c r="O2" s="13" t="s">
        <v>8</v>
      </c>
      <c r="P2" s="13" t="s">
        <v>9</v>
      </c>
      <c r="Q2" s="13" t="s">
        <v>10</v>
      </c>
      <c r="R2" s="13" t="s">
        <v>610</v>
      </c>
      <c r="S2" s="13" t="s">
        <v>611</v>
      </c>
      <c r="T2" s="13" t="s">
        <v>612</v>
      </c>
      <c r="U2" s="13" t="s">
        <v>613</v>
      </c>
      <c r="V2" s="13" t="s">
        <v>614</v>
      </c>
      <c r="W2" s="13" t="s">
        <v>616</v>
      </c>
      <c r="AB2" s="13" t="s">
        <v>7</v>
      </c>
      <c r="AC2" s="13" t="s">
        <v>8</v>
      </c>
      <c r="AD2" s="13" t="s">
        <v>9</v>
      </c>
      <c r="AE2" s="13" t="s">
        <v>10</v>
      </c>
      <c r="AF2" s="13" t="s">
        <v>610</v>
      </c>
      <c r="AG2" s="13" t="s">
        <v>611</v>
      </c>
      <c r="AH2" s="13" t="s">
        <v>612</v>
      </c>
      <c r="AI2" s="13" t="s">
        <v>613</v>
      </c>
      <c r="AJ2" s="13" t="s">
        <v>614</v>
      </c>
      <c r="AK2" s="13" t="s">
        <v>616</v>
      </c>
      <c r="AN2" s="13" t="s">
        <v>7</v>
      </c>
      <c r="AO2" s="13" t="s">
        <v>8</v>
      </c>
      <c r="AP2" s="13" t="s">
        <v>9</v>
      </c>
      <c r="AQ2" s="13" t="s">
        <v>10</v>
      </c>
      <c r="AR2" s="13" t="s">
        <v>610</v>
      </c>
      <c r="AS2" s="13" t="s">
        <v>611</v>
      </c>
      <c r="AT2" s="13" t="s">
        <v>612</v>
      </c>
      <c r="AU2" s="13" t="s">
        <v>613</v>
      </c>
      <c r="AV2" s="13" t="s">
        <v>614</v>
      </c>
      <c r="AW2" s="13" t="s">
        <v>616</v>
      </c>
    </row>
    <row r="3" spans="1:49" x14ac:dyDescent="0.3">
      <c r="A3" s="26">
        <v>45352</v>
      </c>
      <c r="B3" s="13" t="s">
        <v>617</v>
      </c>
      <c r="C3" s="13">
        <v>665</v>
      </c>
      <c r="D3" s="13">
        <v>678.3499755859375</v>
      </c>
      <c r="E3" s="13">
        <v>610.79998779296875</v>
      </c>
      <c r="F3" s="13">
        <v>619.9000244140625</v>
      </c>
      <c r="G3" s="13">
        <v>7868220</v>
      </c>
      <c r="H3" s="13">
        <v>612.04500122070317</v>
      </c>
      <c r="I3" s="13">
        <v>723.48903570075879</v>
      </c>
      <c r="J3" s="13">
        <v>500.60096674064755</v>
      </c>
      <c r="M3" s="26">
        <v>45362</v>
      </c>
      <c r="N3" s="13" t="s">
        <v>617</v>
      </c>
      <c r="O3" s="13">
        <v>665.3499755859375</v>
      </c>
      <c r="P3" s="13">
        <v>667</v>
      </c>
      <c r="Q3" s="13">
        <v>610.79998779296875</v>
      </c>
      <c r="R3" s="13">
        <v>619.9000244140625</v>
      </c>
      <c r="S3" s="13">
        <v>3450335</v>
      </c>
      <c r="T3" s="13">
        <v>665.95999755859373</v>
      </c>
      <c r="U3" s="13">
        <v>702.25620817522986</v>
      </c>
      <c r="V3" s="13">
        <v>629.6637869419576</v>
      </c>
      <c r="AA3" s="26">
        <v>45352</v>
      </c>
      <c r="AB3" s="13" t="s">
        <v>617</v>
      </c>
      <c r="AC3" s="13">
        <v>665</v>
      </c>
      <c r="AD3" s="13">
        <v>678.3499755859375</v>
      </c>
      <c r="AE3" s="13">
        <v>610.79998779296875</v>
      </c>
      <c r="AF3" s="13">
        <v>619.9000244140625</v>
      </c>
      <c r="AG3" s="13">
        <v>7868220</v>
      </c>
      <c r="AH3" s="13">
        <v>627.77999267578127</v>
      </c>
      <c r="AI3" s="13">
        <v>706.28942800022321</v>
      </c>
      <c r="AJ3" s="13">
        <v>549.27055735133933</v>
      </c>
      <c r="AM3" s="26">
        <v>45362</v>
      </c>
      <c r="AN3" s="13" t="s">
        <v>617</v>
      </c>
      <c r="AO3" s="13">
        <v>665.3499755859375</v>
      </c>
      <c r="AP3" s="13">
        <v>667</v>
      </c>
      <c r="AQ3" s="13">
        <v>610.79998779296875</v>
      </c>
      <c r="AR3" s="13">
        <v>619.9000244140625</v>
      </c>
      <c r="AS3" s="13">
        <v>3450335</v>
      </c>
      <c r="AT3" s="13">
        <v>665.6200073242187</v>
      </c>
      <c r="AU3" s="13">
        <v>715.43454773099518</v>
      </c>
      <c r="AV3" s="13">
        <v>615.80546691744223</v>
      </c>
    </row>
    <row r="4" spans="1:49" x14ac:dyDescent="0.3">
      <c r="A4" s="26">
        <v>45352</v>
      </c>
      <c r="B4" s="13" t="s">
        <v>618</v>
      </c>
      <c r="C4" s="13">
        <v>5498</v>
      </c>
      <c r="D4" s="13">
        <v>5933.89990234375</v>
      </c>
      <c r="E4" s="13">
        <v>5455</v>
      </c>
      <c r="F4" s="13">
        <v>5597.25</v>
      </c>
      <c r="G4" s="13">
        <v>3319868</v>
      </c>
      <c r="H4" s="13">
        <v>4871.3949218750004</v>
      </c>
      <c r="I4" s="13">
        <v>5814.100656736844</v>
      </c>
      <c r="J4" s="13">
        <v>3928.6891870131567</v>
      </c>
      <c r="M4" s="26">
        <v>45362</v>
      </c>
      <c r="N4" s="13" t="s">
        <v>618</v>
      </c>
      <c r="O4" s="13">
        <v>5801.0498046875</v>
      </c>
      <c r="P4" s="13">
        <v>5933.89990234375</v>
      </c>
      <c r="Q4" s="13">
        <v>5572.7001953125</v>
      </c>
      <c r="R4" s="13">
        <v>5597.25</v>
      </c>
      <c r="S4" s="13">
        <v>1459019</v>
      </c>
      <c r="T4" s="13">
        <v>5243.9649902343754</v>
      </c>
      <c r="U4" s="13">
        <v>6160.5605826164419</v>
      </c>
      <c r="V4" s="13">
        <v>4327.3693978523088</v>
      </c>
      <c r="AA4" s="26">
        <v>45352</v>
      </c>
      <c r="AB4" s="13" t="s">
        <v>618</v>
      </c>
      <c r="AC4" s="13">
        <v>5498</v>
      </c>
      <c r="AD4" s="13">
        <v>5933.89990234375</v>
      </c>
      <c r="AE4" s="13">
        <v>5455</v>
      </c>
      <c r="AF4" s="13">
        <v>5597.25</v>
      </c>
      <c r="AG4" s="13">
        <v>3319868</v>
      </c>
      <c r="AH4" s="13">
        <v>4961.6800781250004</v>
      </c>
      <c r="AI4" s="13">
        <v>5898.7415164948161</v>
      </c>
      <c r="AJ4" s="13">
        <v>4024.6186397551846</v>
      </c>
      <c r="AM4" s="26">
        <v>45362</v>
      </c>
      <c r="AN4" s="13" t="s">
        <v>618</v>
      </c>
      <c r="AO4" s="13">
        <v>5801.0498046875</v>
      </c>
      <c r="AP4" s="13">
        <v>5933.89990234375</v>
      </c>
      <c r="AQ4" s="13">
        <v>5572.7001953125</v>
      </c>
      <c r="AR4" s="13">
        <v>5597.25</v>
      </c>
      <c r="AS4" s="13">
        <v>1459019</v>
      </c>
      <c r="AT4" s="13">
        <v>5354.8099609375004</v>
      </c>
      <c r="AU4" s="13">
        <v>6222.6357803581741</v>
      </c>
      <c r="AV4" s="13">
        <v>4486.9841415168266</v>
      </c>
    </row>
    <row r="5" spans="1:49" x14ac:dyDescent="0.3">
      <c r="A5" s="26">
        <v>45352</v>
      </c>
      <c r="B5" s="13" t="s">
        <v>619</v>
      </c>
      <c r="C5" s="13">
        <v>28569</v>
      </c>
      <c r="D5" s="13">
        <v>28648.849609375</v>
      </c>
      <c r="E5" s="13">
        <v>26829</v>
      </c>
      <c r="F5" s="13">
        <v>27401.94921875</v>
      </c>
      <c r="G5" s="13">
        <v>82013</v>
      </c>
      <c r="H5" s="13">
        <v>25245.255078124999</v>
      </c>
      <c r="I5" s="13">
        <v>29398.254866656916</v>
      </c>
      <c r="J5" s="13">
        <v>21092.255289593082</v>
      </c>
      <c r="M5" s="26">
        <v>45362</v>
      </c>
      <c r="N5" s="13" t="s">
        <v>619</v>
      </c>
      <c r="O5" s="13">
        <v>27699.94921875</v>
      </c>
      <c r="P5" s="13">
        <v>27699.94921875</v>
      </c>
      <c r="Q5" s="13">
        <v>26829</v>
      </c>
      <c r="R5" s="13">
        <v>27401.94921875</v>
      </c>
      <c r="S5" s="13">
        <v>38339</v>
      </c>
      <c r="T5" s="13">
        <v>28217.25</v>
      </c>
      <c r="U5" s="13">
        <v>29562.575469928877</v>
      </c>
      <c r="V5" s="13">
        <v>26871.924530071123</v>
      </c>
      <c r="AA5" s="26">
        <v>45352</v>
      </c>
      <c r="AB5" s="13" t="s">
        <v>619</v>
      </c>
      <c r="AC5" s="13">
        <v>28569</v>
      </c>
      <c r="AD5" s="13">
        <v>28648.849609375</v>
      </c>
      <c r="AE5" s="13">
        <v>26829</v>
      </c>
      <c r="AF5" s="13">
        <v>27401.94921875</v>
      </c>
      <c r="AG5" s="13">
        <v>82013</v>
      </c>
      <c r="AH5" s="13">
        <v>25679.899609374999</v>
      </c>
      <c r="AI5" s="13">
        <v>29886.476932215057</v>
      </c>
      <c r="AJ5" s="13">
        <v>21473.322286534942</v>
      </c>
      <c r="AM5" s="26">
        <v>45362</v>
      </c>
      <c r="AN5" s="13" t="s">
        <v>619</v>
      </c>
      <c r="AO5" s="13">
        <v>27699.94921875</v>
      </c>
      <c r="AP5" s="13">
        <v>27699.94921875</v>
      </c>
      <c r="AQ5" s="13">
        <v>26829</v>
      </c>
      <c r="AR5" s="13">
        <v>27401.94921875</v>
      </c>
      <c r="AS5" s="13">
        <v>38339</v>
      </c>
      <c r="AT5" s="13">
        <v>28259.989843750001</v>
      </c>
      <c r="AU5" s="13">
        <v>29873.478393134643</v>
      </c>
      <c r="AV5" s="13">
        <v>26646.50129436536</v>
      </c>
    </row>
    <row r="6" spans="1:49" x14ac:dyDescent="0.3">
      <c r="A6" s="26">
        <v>45352</v>
      </c>
      <c r="B6" s="13" t="s">
        <v>620</v>
      </c>
      <c r="C6" s="13">
        <v>183</v>
      </c>
      <c r="D6" s="13">
        <v>194.39999389648438</v>
      </c>
      <c r="E6" s="13">
        <v>169.30000305175781</v>
      </c>
      <c r="F6" s="13">
        <v>171.39999389648438</v>
      </c>
      <c r="G6" s="13">
        <v>87887163</v>
      </c>
      <c r="H6" s="13">
        <v>174.39499816894531</v>
      </c>
      <c r="I6" s="13">
        <v>185.9619535668779</v>
      </c>
      <c r="J6" s="13">
        <v>162.82804277101272</v>
      </c>
      <c r="M6" s="26">
        <v>45362</v>
      </c>
      <c r="N6" s="13" t="s">
        <v>620</v>
      </c>
      <c r="O6" s="13">
        <v>184</v>
      </c>
      <c r="P6" s="13">
        <v>190.30000305175781</v>
      </c>
      <c r="Q6" s="13">
        <v>169.30000305175781</v>
      </c>
      <c r="R6" s="13">
        <v>171.39999389648438</v>
      </c>
      <c r="S6" s="13">
        <v>42618616</v>
      </c>
      <c r="T6" s="13">
        <v>183.49499969482423</v>
      </c>
      <c r="U6" s="13">
        <v>187.97968508396775</v>
      </c>
      <c r="V6" s="13">
        <v>179.01031430568071</v>
      </c>
      <c r="AA6" s="26">
        <v>45352</v>
      </c>
      <c r="AB6" s="13" t="s">
        <v>620</v>
      </c>
      <c r="AC6" s="13">
        <v>183</v>
      </c>
      <c r="AD6" s="13">
        <v>194.39999389648438</v>
      </c>
      <c r="AE6" s="13">
        <v>169.30000305175781</v>
      </c>
      <c r="AF6" s="13">
        <v>171.39999389648438</v>
      </c>
      <c r="AG6" s="13">
        <v>87887163</v>
      </c>
      <c r="AH6" s="13">
        <v>172.10999755859376</v>
      </c>
      <c r="AI6" s="13">
        <v>184.24892420541119</v>
      </c>
      <c r="AJ6" s="13">
        <v>159.97107091177634</v>
      </c>
      <c r="AM6" s="26">
        <v>45362</v>
      </c>
      <c r="AN6" s="13" t="s">
        <v>620</v>
      </c>
      <c r="AO6" s="13">
        <v>184</v>
      </c>
      <c r="AP6" s="13">
        <v>190.30000305175781</v>
      </c>
      <c r="AQ6" s="13">
        <v>169.30000305175781</v>
      </c>
      <c r="AR6" s="13">
        <v>171.39999389648438</v>
      </c>
      <c r="AS6" s="13">
        <v>42618616</v>
      </c>
      <c r="AT6" s="13">
        <v>182.80000305175781</v>
      </c>
      <c r="AU6" s="13">
        <v>194.80684305182442</v>
      </c>
      <c r="AV6" s="13">
        <v>170.79316305169121</v>
      </c>
    </row>
    <row r="7" spans="1:49" x14ac:dyDescent="0.3">
      <c r="A7" s="26">
        <v>45352</v>
      </c>
      <c r="B7" s="13" t="s">
        <v>621</v>
      </c>
      <c r="C7" s="13">
        <v>226.89999389648438</v>
      </c>
      <c r="D7" s="13">
        <v>235.80000305175781</v>
      </c>
      <c r="E7" s="13">
        <v>198.85000610351563</v>
      </c>
      <c r="F7" s="13">
        <v>200.35000610351563</v>
      </c>
      <c r="G7" s="13">
        <v>36518213</v>
      </c>
      <c r="H7" s="13">
        <v>229.00500030517577</v>
      </c>
      <c r="I7" s="13">
        <v>247.78656712700248</v>
      </c>
      <c r="J7" s="13">
        <v>210.22343348334905</v>
      </c>
      <c r="M7" s="26">
        <v>45362</v>
      </c>
      <c r="N7" s="13" t="s">
        <v>621</v>
      </c>
      <c r="O7" s="13">
        <v>226</v>
      </c>
      <c r="P7" s="13">
        <v>227.35000610351563</v>
      </c>
      <c r="Q7" s="13">
        <v>198.85000610351563</v>
      </c>
      <c r="R7" s="13">
        <v>200.35000610351563</v>
      </c>
      <c r="S7" s="13">
        <v>12485266</v>
      </c>
      <c r="T7" s="13">
        <v>229.06000061035155</v>
      </c>
      <c r="U7" s="13">
        <v>247.6429047715169</v>
      </c>
      <c r="V7" s="13">
        <v>210.47709644918621</v>
      </c>
      <c r="AA7" s="26">
        <v>45352</v>
      </c>
      <c r="AB7" s="13" t="s">
        <v>621</v>
      </c>
      <c r="AC7" s="13">
        <v>226.89999389648438</v>
      </c>
      <c r="AD7" s="13">
        <v>235.80000305175781</v>
      </c>
      <c r="AE7" s="13">
        <v>198.85000610351563</v>
      </c>
      <c r="AF7" s="13">
        <v>200.35000610351563</v>
      </c>
      <c r="AG7" s="13">
        <v>36518213</v>
      </c>
      <c r="AH7" s="13">
        <v>224.98999938964843</v>
      </c>
      <c r="AI7" s="13">
        <v>253.47180537294878</v>
      </c>
      <c r="AJ7" s="13">
        <v>196.50819340634808</v>
      </c>
      <c r="AM7" s="26">
        <v>45362</v>
      </c>
      <c r="AN7" s="13" t="s">
        <v>621</v>
      </c>
      <c r="AO7" s="13">
        <v>226</v>
      </c>
      <c r="AP7" s="13">
        <v>227.35000610351563</v>
      </c>
      <c r="AQ7" s="13">
        <v>198.85000610351563</v>
      </c>
      <c r="AR7" s="13">
        <v>200.35000610351563</v>
      </c>
      <c r="AS7" s="13">
        <v>12485266</v>
      </c>
      <c r="AT7" s="13">
        <v>222.51000061035157</v>
      </c>
      <c r="AU7" s="13">
        <v>245.04897615936275</v>
      </c>
      <c r="AV7" s="13">
        <v>199.97102506134038</v>
      </c>
    </row>
    <row r="8" spans="1:49" x14ac:dyDescent="0.3">
      <c r="A8" s="26">
        <v>45352</v>
      </c>
      <c r="B8" s="13" t="s">
        <v>622</v>
      </c>
      <c r="C8" s="13">
        <v>2650</v>
      </c>
      <c r="D8" s="13">
        <v>2723.14990234375</v>
      </c>
      <c r="E8" s="13">
        <v>2354.449951171875</v>
      </c>
      <c r="F8" s="13">
        <v>2389.10009765625</v>
      </c>
      <c r="G8" s="13">
        <v>2075432</v>
      </c>
      <c r="H8" s="13">
        <v>2290.7499755859376</v>
      </c>
      <c r="I8" s="13">
        <v>2866.3806414235396</v>
      </c>
      <c r="J8" s="13">
        <v>1715.1193097483358</v>
      </c>
      <c r="M8" s="26">
        <v>45362</v>
      </c>
      <c r="N8" s="13" t="s">
        <v>622</v>
      </c>
      <c r="O8" s="13">
        <v>2645</v>
      </c>
      <c r="P8" s="13">
        <v>2677.10009765625</v>
      </c>
      <c r="Q8" s="13">
        <v>2354.449951171875</v>
      </c>
      <c r="R8" s="13">
        <v>2389.10009765625</v>
      </c>
      <c r="S8" s="13">
        <v>1017547</v>
      </c>
      <c r="T8" s="13">
        <v>2631.7099853515624</v>
      </c>
      <c r="U8" s="13">
        <v>2752.4004095806213</v>
      </c>
      <c r="V8" s="13">
        <v>2511.0195611225035</v>
      </c>
      <c r="AA8" s="26">
        <v>45352</v>
      </c>
      <c r="AB8" s="13" t="s">
        <v>622</v>
      </c>
      <c r="AC8" s="13">
        <v>2650</v>
      </c>
      <c r="AD8" s="13">
        <v>2723.14990234375</v>
      </c>
      <c r="AE8" s="13">
        <v>2354.449951171875</v>
      </c>
      <c r="AF8" s="13">
        <v>2389.10009765625</v>
      </c>
      <c r="AG8" s="13">
        <v>2075432</v>
      </c>
      <c r="AH8" s="13">
        <v>2329.9000488281249</v>
      </c>
      <c r="AI8" s="13">
        <v>2866.276127614768</v>
      </c>
      <c r="AJ8" s="13">
        <v>1793.5239700414818</v>
      </c>
      <c r="AM8" s="26">
        <v>45362</v>
      </c>
      <c r="AN8" s="13" t="s">
        <v>622</v>
      </c>
      <c r="AO8" s="13">
        <v>2645</v>
      </c>
      <c r="AP8" s="13">
        <v>2677.10009765625</v>
      </c>
      <c r="AQ8" s="13">
        <v>2354.449951171875</v>
      </c>
      <c r="AR8" s="13">
        <v>2389.10009765625</v>
      </c>
      <c r="AS8" s="13">
        <v>1017547</v>
      </c>
      <c r="AT8" s="13">
        <v>2624.6600097656251</v>
      </c>
      <c r="AU8" s="13">
        <v>2866.1200223906881</v>
      </c>
      <c r="AV8" s="13">
        <v>2383.1999971405621</v>
      </c>
    </row>
    <row r="9" spans="1:49" x14ac:dyDescent="0.3">
      <c r="A9" s="26">
        <v>45352</v>
      </c>
      <c r="B9" s="13" t="s">
        <v>623</v>
      </c>
      <c r="C9" s="13">
        <v>3309.85009765625</v>
      </c>
      <c r="D9" s="13">
        <v>3350</v>
      </c>
      <c r="E9" s="13">
        <v>2850.14990234375</v>
      </c>
      <c r="F9" s="13">
        <v>2906.199951171875</v>
      </c>
      <c r="G9" s="13">
        <v>11548963</v>
      </c>
      <c r="H9" s="13">
        <v>2879.364990234375</v>
      </c>
      <c r="I9" s="13">
        <v>3509.1985359728583</v>
      </c>
      <c r="J9" s="13">
        <v>2249.5314444958917</v>
      </c>
      <c r="M9" s="26">
        <v>45362</v>
      </c>
      <c r="N9" s="13" t="s">
        <v>623</v>
      </c>
      <c r="O9" s="13">
        <v>3241.199951171875</v>
      </c>
      <c r="P9" s="13">
        <v>3259</v>
      </c>
      <c r="Q9" s="13">
        <v>2850.14990234375</v>
      </c>
      <c r="R9" s="13">
        <v>2906.199951171875</v>
      </c>
      <c r="S9" s="13">
        <v>5344705</v>
      </c>
      <c r="T9" s="13">
        <v>3206.5899902343749</v>
      </c>
      <c r="U9" s="13">
        <v>3375.5578827979894</v>
      </c>
      <c r="V9" s="13">
        <v>3037.6220976707605</v>
      </c>
      <c r="AA9" s="26">
        <v>45352</v>
      </c>
      <c r="AB9" s="13" t="s">
        <v>623</v>
      </c>
      <c r="AC9" s="13">
        <v>3309.85009765625</v>
      </c>
      <c r="AD9" s="13">
        <v>3350</v>
      </c>
      <c r="AE9" s="13">
        <v>2850.14990234375</v>
      </c>
      <c r="AF9" s="13">
        <v>2906.199951171875</v>
      </c>
      <c r="AG9" s="13">
        <v>11548963</v>
      </c>
      <c r="AH9" s="13">
        <v>2908.219970703125</v>
      </c>
      <c r="AI9" s="13">
        <v>3542.2999919235917</v>
      </c>
      <c r="AJ9" s="13">
        <v>2274.1399494826583</v>
      </c>
      <c r="AM9" s="26">
        <v>45362</v>
      </c>
      <c r="AN9" s="13" t="s">
        <v>623</v>
      </c>
      <c r="AO9" s="13">
        <v>3241.199951171875</v>
      </c>
      <c r="AP9" s="13">
        <v>3259</v>
      </c>
      <c r="AQ9" s="13">
        <v>2850.14990234375</v>
      </c>
      <c r="AR9" s="13">
        <v>2906.199951171875</v>
      </c>
      <c r="AS9" s="13">
        <v>5344705</v>
      </c>
      <c r="AT9" s="13">
        <v>3189.6800292968751</v>
      </c>
      <c r="AU9" s="13">
        <v>3481.6009625308011</v>
      </c>
      <c r="AV9" s="13">
        <v>2897.7590960629491</v>
      </c>
    </row>
    <row r="10" spans="1:49" x14ac:dyDescent="0.3">
      <c r="A10" s="26">
        <v>45352</v>
      </c>
      <c r="B10" s="13" t="s">
        <v>624</v>
      </c>
      <c r="C10" s="13">
        <v>1335</v>
      </c>
      <c r="D10" s="13">
        <v>1356.550048828125</v>
      </c>
      <c r="E10" s="13">
        <v>1188.0999755859375</v>
      </c>
      <c r="F10" s="13">
        <v>1209.550048828125</v>
      </c>
      <c r="G10" s="13">
        <v>25713175</v>
      </c>
      <c r="H10" s="13">
        <v>1089.0350158691406</v>
      </c>
      <c r="I10" s="13">
        <v>1448.3725374968724</v>
      </c>
      <c r="J10" s="13">
        <v>729.69749424140878</v>
      </c>
      <c r="M10" s="26">
        <v>45362</v>
      </c>
      <c r="N10" s="13" t="s">
        <v>624</v>
      </c>
      <c r="O10" s="13">
        <v>1331</v>
      </c>
      <c r="P10" s="13">
        <v>1346.949951171875</v>
      </c>
      <c r="Q10" s="13">
        <v>1188.0999755859375</v>
      </c>
      <c r="R10" s="13">
        <v>1209.550048828125</v>
      </c>
      <c r="S10" s="13">
        <v>14027204</v>
      </c>
      <c r="T10" s="13">
        <v>1298.8300048828125</v>
      </c>
      <c r="U10" s="13">
        <v>1351.1409381908384</v>
      </c>
      <c r="V10" s="13">
        <v>1246.5190715747867</v>
      </c>
      <c r="AA10" s="26">
        <v>45352</v>
      </c>
      <c r="AB10" s="13" t="s">
        <v>624</v>
      </c>
      <c r="AC10" s="13">
        <v>1335</v>
      </c>
      <c r="AD10" s="13">
        <v>1356.550048828125</v>
      </c>
      <c r="AE10" s="13">
        <v>1188.0999755859375</v>
      </c>
      <c r="AF10" s="13">
        <v>1209.550048828125</v>
      </c>
      <c r="AG10" s="13">
        <v>25713175</v>
      </c>
      <c r="AH10" s="13">
        <v>1117.510009765625</v>
      </c>
      <c r="AI10" s="13">
        <v>1465.9352269224544</v>
      </c>
      <c r="AJ10" s="13">
        <v>769.08479260879562</v>
      </c>
      <c r="AM10" s="26">
        <v>45362</v>
      </c>
      <c r="AN10" s="13" t="s">
        <v>624</v>
      </c>
      <c r="AO10" s="13">
        <v>1331</v>
      </c>
      <c r="AP10" s="13">
        <v>1346.949951171875</v>
      </c>
      <c r="AQ10" s="13">
        <v>1188.0999755859375</v>
      </c>
      <c r="AR10" s="13">
        <v>1209.550048828125</v>
      </c>
      <c r="AS10" s="13">
        <v>14027204</v>
      </c>
      <c r="AT10" s="13">
        <v>1296.92998046875</v>
      </c>
      <c r="AU10" s="13">
        <v>1385.2276028466106</v>
      </c>
      <c r="AV10" s="13">
        <v>1208.6323580908895</v>
      </c>
    </row>
    <row r="11" spans="1:49" x14ac:dyDescent="0.3">
      <c r="A11" s="26">
        <v>45352</v>
      </c>
      <c r="B11" s="13" t="s">
        <v>625</v>
      </c>
      <c r="C11" s="13">
        <v>5150</v>
      </c>
      <c r="D11" s="13">
        <v>5225</v>
      </c>
      <c r="E11" s="13">
        <v>4895.0498046875</v>
      </c>
      <c r="F11" s="13">
        <v>4945.64990234375</v>
      </c>
      <c r="G11" s="13">
        <v>1252055</v>
      </c>
      <c r="H11" s="13">
        <v>4865.5349853515627</v>
      </c>
      <c r="I11" s="13">
        <v>5508.159754257138</v>
      </c>
      <c r="J11" s="13">
        <v>4222.9102164459873</v>
      </c>
      <c r="M11" s="26">
        <v>45362</v>
      </c>
      <c r="N11" s="13" t="s">
        <v>625</v>
      </c>
      <c r="O11" s="13">
        <v>5188</v>
      </c>
      <c r="P11" s="13">
        <v>5225</v>
      </c>
      <c r="Q11" s="13">
        <v>4895.0498046875</v>
      </c>
      <c r="R11" s="13">
        <v>4945.64990234375</v>
      </c>
      <c r="S11" s="13">
        <v>462616</v>
      </c>
      <c r="T11" s="13">
        <v>5175.8050292968746</v>
      </c>
      <c r="U11" s="13">
        <v>5463.3609754574736</v>
      </c>
      <c r="V11" s="13">
        <v>4888.2490831362757</v>
      </c>
      <c r="AA11" s="26">
        <v>45352</v>
      </c>
      <c r="AB11" s="13" t="s">
        <v>625</v>
      </c>
      <c r="AC11" s="13">
        <v>5150</v>
      </c>
      <c r="AD11" s="13">
        <v>5225</v>
      </c>
      <c r="AE11" s="13">
        <v>4895.0498046875</v>
      </c>
      <c r="AF11" s="13">
        <v>4945.64990234375</v>
      </c>
      <c r="AG11" s="13">
        <v>1252055</v>
      </c>
      <c r="AH11" s="13">
        <v>4999.0399414062504</v>
      </c>
      <c r="AI11" s="13">
        <v>5329.6811197581674</v>
      </c>
      <c r="AJ11" s="13">
        <v>4668.3987630543334</v>
      </c>
      <c r="AM11" s="26">
        <v>45362</v>
      </c>
      <c r="AN11" s="13" t="s">
        <v>625</v>
      </c>
      <c r="AO11" s="13">
        <v>5188</v>
      </c>
      <c r="AP11" s="13">
        <v>5225</v>
      </c>
      <c r="AQ11" s="13">
        <v>4895.0498046875</v>
      </c>
      <c r="AR11" s="13">
        <v>4945.64990234375</v>
      </c>
      <c r="AS11" s="13">
        <v>462616</v>
      </c>
      <c r="AT11" s="13">
        <v>5213.7199218750002</v>
      </c>
      <c r="AU11" s="13">
        <v>5596.5287167020142</v>
      </c>
      <c r="AV11" s="13">
        <v>4830.9111270479862</v>
      </c>
    </row>
    <row r="12" spans="1:49" x14ac:dyDescent="0.3">
      <c r="A12" s="26">
        <v>45352</v>
      </c>
      <c r="B12" s="13" t="s">
        <v>626</v>
      </c>
      <c r="C12" s="13">
        <v>608.0999755859375</v>
      </c>
      <c r="D12" s="13">
        <v>625</v>
      </c>
      <c r="E12" s="13">
        <v>550.79998779296875</v>
      </c>
      <c r="F12" s="13">
        <v>559.25</v>
      </c>
      <c r="G12" s="13">
        <v>26232424</v>
      </c>
      <c r="H12" s="13">
        <v>525.4</v>
      </c>
      <c r="I12" s="13">
        <v>650.83376005339596</v>
      </c>
      <c r="J12" s="13">
        <v>399.96623994660393</v>
      </c>
      <c r="M12" s="26">
        <v>45362</v>
      </c>
      <c r="N12" s="13" t="s">
        <v>626</v>
      </c>
      <c r="O12" s="13">
        <v>604.9000244140625</v>
      </c>
      <c r="P12" s="13">
        <v>612.4000244140625</v>
      </c>
      <c r="Q12" s="13">
        <v>550.79998779296875</v>
      </c>
      <c r="R12" s="13">
        <v>559.25</v>
      </c>
      <c r="S12" s="13">
        <v>11391986</v>
      </c>
      <c r="T12" s="13">
        <v>591.90000610351558</v>
      </c>
      <c r="U12" s="13">
        <v>619.65116004208164</v>
      </c>
      <c r="V12" s="13">
        <v>564.14885216494952</v>
      </c>
      <c r="AA12" s="26">
        <v>45352</v>
      </c>
      <c r="AB12" s="13" t="s">
        <v>626</v>
      </c>
      <c r="AC12" s="13">
        <v>608.0999755859375</v>
      </c>
      <c r="AD12" s="13">
        <v>625</v>
      </c>
      <c r="AE12" s="13">
        <v>550.79998779296875</v>
      </c>
      <c r="AF12" s="13">
        <v>559.25</v>
      </c>
      <c r="AG12" s="13">
        <v>26232424</v>
      </c>
      <c r="AH12" s="13">
        <v>537.1200073242187</v>
      </c>
      <c r="AI12" s="13">
        <v>648.83165398825952</v>
      </c>
      <c r="AJ12" s="13">
        <v>425.40836066017795</v>
      </c>
      <c r="AM12" s="26">
        <v>45362</v>
      </c>
      <c r="AN12" s="13" t="s">
        <v>626</v>
      </c>
      <c r="AO12" s="13">
        <v>604.9000244140625</v>
      </c>
      <c r="AP12" s="13">
        <v>612.4000244140625</v>
      </c>
      <c r="AQ12" s="13">
        <v>550.79998779296875</v>
      </c>
      <c r="AR12" s="13">
        <v>559.25</v>
      </c>
      <c r="AS12" s="13">
        <v>11391986</v>
      </c>
      <c r="AT12" s="13">
        <v>593.6099975585937</v>
      </c>
      <c r="AU12" s="13">
        <v>633.67790928845739</v>
      </c>
      <c r="AV12" s="13">
        <v>553.54208582873002</v>
      </c>
    </row>
    <row r="13" spans="1:49" x14ac:dyDescent="0.3">
      <c r="A13" s="26">
        <v>45352</v>
      </c>
      <c r="B13" s="13" t="s">
        <v>627</v>
      </c>
      <c r="C13" s="13">
        <v>6102</v>
      </c>
      <c r="D13" s="13">
        <v>6274.25</v>
      </c>
      <c r="E13" s="13">
        <v>5941.85009765625</v>
      </c>
      <c r="F13" s="13">
        <v>6008.39990234375</v>
      </c>
      <c r="G13" s="13">
        <v>5711945</v>
      </c>
      <c r="H13" s="13">
        <v>5866.1150390624998</v>
      </c>
      <c r="I13" s="13">
        <v>6768.4986494675977</v>
      </c>
      <c r="J13" s="13">
        <v>4963.7314286574019</v>
      </c>
      <c r="M13" s="26">
        <v>45362</v>
      </c>
      <c r="N13" s="13" t="s">
        <v>627</v>
      </c>
      <c r="O13" s="13">
        <v>6048.7998046875</v>
      </c>
      <c r="P13" s="13">
        <v>6274.25</v>
      </c>
      <c r="Q13" s="13">
        <v>5956.0498046875</v>
      </c>
      <c r="R13" s="13">
        <v>6008.39990234375</v>
      </c>
      <c r="S13" s="13">
        <v>1359849</v>
      </c>
      <c r="T13" s="13">
        <v>6361.614990234375</v>
      </c>
      <c r="U13" s="13">
        <v>6857.9293850641479</v>
      </c>
      <c r="V13" s="13">
        <v>5865.3005954046021</v>
      </c>
      <c r="AA13" s="26">
        <v>45352</v>
      </c>
      <c r="AB13" s="13" t="s">
        <v>627</v>
      </c>
      <c r="AC13" s="13">
        <v>6102</v>
      </c>
      <c r="AD13" s="13">
        <v>6274.25</v>
      </c>
      <c r="AE13" s="13">
        <v>5941.85009765625</v>
      </c>
      <c r="AF13" s="13">
        <v>6008.39990234375</v>
      </c>
      <c r="AG13" s="13">
        <v>5711945</v>
      </c>
      <c r="AH13" s="13">
        <v>5939.2000976562504</v>
      </c>
      <c r="AI13" s="13">
        <v>6522.9318913097413</v>
      </c>
      <c r="AJ13" s="13">
        <v>5355.4683040027594</v>
      </c>
      <c r="AM13" s="26">
        <v>45362</v>
      </c>
      <c r="AN13" s="13" t="s">
        <v>627</v>
      </c>
      <c r="AO13" s="13">
        <v>6048.7998046875</v>
      </c>
      <c r="AP13" s="13">
        <v>6274.25</v>
      </c>
      <c r="AQ13" s="13">
        <v>5956.0498046875</v>
      </c>
      <c r="AR13" s="13">
        <v>6008.39990234375</v>
      </c>
      <c r="AS13" s="13">
        <v>1359849</v>
      </c>
      <c r="AT13" s="13">
        <v>6303.4398437500004</v>
      </c>
      <c r="AU13" s="13">
        <v>6941.6746574598592</v>
      </c>
      <c r="AV13" s="13">
        <v>5665.2050300401415</v>
      </c>
    </row>
    <row r="14" spans="1:49" x14ac:dyDescent="0.3">
      <c r="A14" s="26">
        <v>45352</v>
      </c>
      <c r="B14" s="13" t="s">
        <v>628</v>
      </c>
      <c r="C14" s="13">
        <v>519.45001220703125</v>
      </c>
      <c r="D14" s="13">
        <v>546</v>
      </c>
      <c r="E14" s="13">
        <v>489</v>
      </c>
      <c r="F14" s="13">
        <v>492.10000610351563</v>
      </c>
      <c r="G14" s="13">
        <v>17269530</v>
      </c>
      <c r="H14" s="13">
        <v>480.72000122070313</v>
      </c>
      <c r="I14" s="13">
        <v>570.72642260091993</v>
      </c>
      <c r="J14" s="13">
        <v>390.71357984048626</v>
      </c>
      <c r="M14" s="26">
        <v>45362</v>
      </c>
      <c r="N14" s="13" t="s">
        <v>628</v>
      </c>
      <c r="O14" s="13">
        <v>519.79998779296875</v>
      </c>
      <c r="P14" s="13">
        <v>519.79998779296875</v>
      </c>
      <c r="Q14" s="13">
        <v>489</v>
      </c>
      <c r="R14" s="13">
        <v>492.10000610351563</v>
      </c>
      <c r="S14" s="13">
        <v>8317845</v>
      </c>
      <c r="T14" s="13">
        <v>519.41499633789067</v>
      </c>
      <c r="U14" s="13">
        <v>537.09220082410491</v>
      </c>
      <c r="V14" s="13">
        <v>501.73779185167643</v>
      </c>
      <c r="AA14" s="26">
        <v>45352</v>
      </c>
      <c r="AB14" s="13" t="s">
        <v>628</v>
      </c>
      <c r="AC14" s="13">
        <v>519.45001220703125</v>
      </c>
      <c r="AD14" s="13">
        <v>546</v>
      </c>
      <c r="AE14" s="13">
        <v>489</v>
      </c>
      <c r="AF14" s="13">
        <v>492.10000610351563</v>
      </c>
      <c r="AG14" s="13">
        <v>17269530</v>
      </c>
      <c r="AH14" s="13">
        <v>486.50999755859374</v>
      </c>
      <c r="AI14" s="13">
        <v>569.05537214627407</v>
      </c>
      <c r="AJ14" s="13">
        <v>403.96462297091335</v>
      </c>
      <c r="AM14" s="26">
        <v>45362</v>
      </c>
      <c r="AN14" s="13" t="s">
        <v>628</v>
      </c>
      <c r="AO14" s="13">
        <v>519.79998779296875</v>
      </c>
      <c r="AP14" s="13">
        <v>519.79998779296875</v>
      </c>
      <c r="AQ14" s="13">
        <v>489</v>
      </c>
      <c r="AR14" s="13">
        <v>492.10000610351563</v>
      </c>
      <c r="AS14" s="13">
        <v>8317845</v>
      </c>
      <c r="AT14" s="13">
        <v>518.20000610351565</v>
      </c>
      <c r="AU14" s="13">
        <v>545.88429582641686</v>
      </c>
      <c r="AV14" s="13">
        <v>490.51571638061444</v>
      </c>
    </row>
    <row r="15" spans="1:49" x14ac:dyDescent="0.3">
      <c r="A15" s="26">
        <v>45352</v>
      </c>
      <c r="B15" s="13" t="s">
        <v>629</v>
      </c>
      <c r="C15" s="13">
        <v>171</v>
      </c>
      <c r="D15" s="13">
        <v>173.94999694824219</v>
      </c>
      <c r="E15" s="13">
        <v>159.05000305175781</v>
      </c>
      <c r="F15" s="13">
        <v>159.80000305175781</v>
      </c>
      <c r="G15" s="13">
        <v>92739025</v>
      </c>
      <c r="H15" s="13">
        <v>174.25500030517577</v>
      </c>
      <c r="I15" s="13">
        <v>182.52853708529926</v>
      </c>
      <c r="J15" s="13">
        <v>165.98146352505228</v>
      </c>
      <c r="M15" s="26">
        <v>45362</v>
      </c>
      <c r="N15" s="13" t="s">
        <v>629</v>
      </c>
      <c r="O15" s="13">
        <v>171.94999694824219</v>
      </c>
      <c r="P15" s="13">
        <v>172.75</v>
      </c>
      <c r="Q15" s="13">
        <v>159.05000305175781</v>
      </c>
      <c r="R15" s="13">
        <v>159.80000305175781</v>
      </c>
      <c r="S15" s="13">
        <v>39590473</v>
      </c>
      <c r="T15" s="13">
        <v>170.88999938964844</v>
      </c>
      <c r="U15" s="13">
        <v>176.02581332849874</v>
      </c>
      <c r="V15" s="13">
        <v>165.75418545079813</v>
      </c>
      <c r="AA15" s="26">
        <v>45352</v>
      </c>
      <c r="AB15" s="13" t="s">
        <v>629</v>
      </c>
      <c r="AC15" s="13">
        <v>171</v>
      </c>
      <c r="AD15" s="13">
        <v>173.94999694824219</v>
      </c>
      <c r="AE15" s="13">
        <v>159.05000305175781</v>
      </c>
      <c r="AF15" s="13">
        <v>159.80000305175781</v>
      </c>
      <c r="AG15" s="13">
        <v>92739025</v>
      </c>
      <c r="AH15" s="13">
        <v>174.05999755859375</v>
      </c>
      <c r="AI15" s="13">
        <v>191.09565137141112</v>
      </c>
      <c r="AJ15" s="13">
        <v>157.02434374577638</v>
      </c>
      <c r="AM15" s="26">
        <v>45362</v>
      </c>
      <c r="AN15" s="13" t="s">
        <v>629</v>
      </c>
      <c r="AO15" s="13">
        <v>171.94999694824219</v>
      </c>
      <c r="AP15" s="13">
        <v>172.75</v>
      </c>
      <c r="AQ15" s="13">
        <v>159.05000305175781</v>
      </c>
      <c r="AR15" s="13">
        <v>159.80000305175781</v>
      </c>
      <c r="AS15" s="13">
        <v>39590473</v>
      </c>
      <c r="AT15" s="13">
        <v>170.2</v>
      </c>
      <c r="AU15" s="13">
        <v>180.87276558784077</v>
      </c>
      <c r="AV15" s="13">
        <v>159.5272344121592</v>
      </c>
    </row>
    <row r="16" spans="1:49" x14ac:dyDescent="0.3">
      <c r="A16" s="26">
        <v>45352</v>
      </c>
      <c r="B16" s="13" t="s">
        <v>630</v>
      </c>
      <c r="C16" s="13">
        <v>2832.89990234375</v>
      </c>
      <c r="D16" s="13">
        <v>2899.89990234375</v>
      </c>
      <c r="E16" s="13">
        <v>2777.75</v>
      </c>
      <c r="F16" s="13">
        <v>2860.14990234375</v>
      </c>
      <c r="G16" s="13">
        <v>8458733</v>
      </c>
      <c r="H16" s="13">
        <v>3056.2699951171876</v>
      </c>
      <c r="I16" s="13">
        <v>3385.5289022616848</v>
      </c>
      <c r="J16" s="13">
        <v>2727.0110879726903</v>
      </c>
      <c r="M16" s="26">
        <v>45362</v>
      </c>
      <c r="N16" s="13" t="s">
        <v>630</v>
      </c>
      <c r="O16" s="13">
        <v>2895.550048828125</v>
      </c>
      <c r="P16" s="13">
        <v>2899.89990234375</v>
      </c>
      <c r="Q16" s="13">
        <v>2835</v>
      </c>
      <c r="R16" s="13">
        <v>2860.14990234375</v>
      </c>
      <c r="S16" s="13">
        <v>2485449</v>
      </c>
      <c r="T16" s="13">
        <v>2902.7750000000001</v>
      </c>
      <c r="U16" s="13">
        <v>3028.1900377052934</v>
      </c>
      <c r="V16" s="13">
        <v>2777.3599622947067</v>
      </c>
      <c r="AA16" s="26">
        <v>45352</v>
      </c>
      <c r="AB16" s="13" t="s">
        <v>630</v>
      </c>
      <c r="AC16" s="13">
        <v>2832.89990234375</v>
      </c>
      <c r="AD16" s="13">
        <v>2899.89990234375</v>
      </c>
      <c r="AE16" s="13">
        <v>2777.75</v>
      </c>
      <c r="AF16" s="13">
        <v>2860.14990234375</v>
      </c>
      <c r="AG16" s="13">
        <v>8458733</v>
      </c>
      <c r="AH16" s="13">
        <v>3032.43994140625</v>
      </c>
      <c r="AI16" s="13">
        <v>3455.8491787767275</v>
      </c>
      <c r="AJ16" s="13">
        <v>2609.0307040357725</v>
      </c>
      <c r="AM16" s="26">
        <v>45362</v>
      </c>
      <c r="AN16" s="13" t="s">
        <v>630</v>
      </c>
      <c r="AO16" s="13">
        <v>2895.550048828125</v>
      </c>
      <c r="AP16" s="13">
        <v>2899.89990234375</v>
      </c>
      <c r="AQ16" s="13">
        <v>2835</v>
      </c>
      <c r="AR16" s="13">
        <v>2860.14990234375</v>
      </c>
      <c r="AS16" s="13">
        <v>2485449</v>
      </c>
      <c r="AT16" s="13">
        <v>2911.2599609375002</v>
      </c>
      <c r="AU16" s="13">
        <v>3054.1144094868041</v>
      </c>
      <c r="AV16" s="13">
        <v>2768.4055123881963</v>
      </c>
    </row>
    <row r="17" spans="1:49" x14ac:dyDescent="0.3">
      <c r="A17" s="26">
        <v>45352</v>
      </c>
      <c r="B17" s="13" t="s">
        <v>631</v>
      </c>
      <c r="C17" s="13">
        <v>2086.5</v>
      </c>
      <c r="D17" s="13">
        <v>2143.800048828125</v>
      </c>
      <c r="E17" s="13">
        <v>1975.5999755859375</v>
      </c>
      <c r="F17" s="13">
        <v>2001.1500244140625</v>
      </c>
      <c r="G17" s="13">
        <v>5195973</v>
      </c>
      <c r="H17" s="13">
        <v>1937.0099975585938</v>
      </c>
      <c r="I17" s="13">
        <v>2092.8106081176911</v>
      </c>
      <c r="J17" s="13">
        <v>1781.2093869994967</v>
      </c>
      <c r="M17" s="26">
        <v>45362</v>
      </c>
      <c r="N17" s="13" t="s">
        <v>631</v>
      </c>
      <c r="O17" s="13">
        <v>2100.25</v>
      </c>
      <c r="P17" s="13">
        <v>2124.949951171875</v>
      </c>
      <c r="Q17" s="13">
        <v>1975.5999755859375</v>
      </c>
      <c r="R17" s="13">
        <v>2001.1500244140625</v>
      </c>
      <c r="S17" s="13">
        <v>2347955</v>
      </c>
      <c r="T17" s="13">
        <v>2029.3150146484375</v>
      </c>
      <c r="U17" s="13">
        <v>2164.0923752700805</v>
      </c>
      <c r="V17" s="13">
        <v>1894.5376540267944</v>
      </c>
      <c r="AA17" s="26">
        <v>45352</v>
      </c>
      <c r="AB17" s="13" t="s">
        <v>631</v>
      </c>
      <c r="AC17" s="13">
        <v>2086.5</v>
      </c>
      <c r="AD17" s="13">
        <v>2143.800048828125</v>
      </c>
      <c r="AE17" s="13">
        <v>1975.5999755859375</v>
      </c>
      <c r="AF17" s="13">
        <v>2001.1500244140625</v>
      </c>
      <c r="AG17" s="13">
        <v>5195973</v>
      </c>
      <c r="AH17" s="13">
        <v>1951.580029296875</v>
      </c>
      <c r="AI17" s="13">
        <v>2113.801897959132</v>
      </c>
      <c r="AJ17" s="13">
        <v>1789.3581606346177</v>
      </c>
      <c r="AM17" s="26">
        <v>45362</v>
      </c>
      <c r="AN17" s="13" t="s">
        <v>631</v>
      </c>
      <c r="AO17" s="13">
        <v>2100.25</v>
      </c>
      <c r="AP17" s="13">
        <v>2124.949951171875</v>
      </c>
      <c r="AQ17" s="13">
        <v>1975.5999755859375</v>
      </c>
      <c r="AR17" s="13">
        <v>2001.1500244140625</v>
      </c>
      <c r="AS17" s="13">
        <v>2347955</v>
      </c>
      <c r="AT17" s="13">
        <v>2043.9400146484375</v>
      </c>
      <c r="AU17" s="13">
        <v>2144.1356916951295</v>
      </c>
      <c r="AV17" s="13">
        <v>1943.7443376017457</v>
      </c>
    </row>
    <row r="18" spans="1:49" x14ac:dyDescent="0.3">
      <c r="A18" s="26">
        <v>45352</v>
      </c>
      <c r="B18" s="13" t="s">
        <v>632</v>
      </c>
      <c r="C18" s="13">
        <v>6218</v>
      </c>
      <c r="D18" s="13">
        <v>6238.10009765625</v>
      </c>
      <c r="E18" s="13">
        <v>5950</v>
      </c>
      <c r="F18" s="13">
        <v>5995.10009765625</v>
      </c>
      <c r="G18" s="13">
        <v>359244</v>
      </c>
      <c r="H18" s="13">
        <v>6474.5149902343746</v>
      </c>
      <c r="I18" s="13">
        <v>7055.6041375336454</v>
      </c>
      <c r="J18" s="13">
        <v>5893.4258429351039</v>
      </c>
      <c r="M18" s="26">
        <v>45362</v>
      </c>
      <c r="N18" s="13" t="s">
        <v>632</v>
      </c>
      <c r="O18" s="13">
        <v>6110</v>
      </c>
      <c r="P18" s="13">
        <v>6132.0498046875</v>
      </c>
      <c r="Q18" s="13">
        <v>5950</v>
      </c>
      <c r="R18" s="13">
        <v>5995.10009765625</v>
      </c>
      <c r="S18" s="13">
        <v>146202</v>
      </c>
      <c r="T18" s="13">
        <v>6205.3799804687496</v>
      </c>
      <c r="U18" s="13">
        <v>6481.4064642496714</v>
      </c>
      <c r="V18" s="13">
        <v>5929.3534966878278</v>
      </c>
      <c r="AA18" s="26">
        <v>45352</v>
      </c>
      <c r="AB18" s="13" t="s">
        <v>632</v>
      </c>
      <c r="AC18" s="13">
        <v>6218</v>
      </c>
      <c r="AD18" s="13">
        <v>6238.10009765625</v>
      </c>
      <c r="AE18" s="13">
        <v>5950</v>
      </c>
      <c r="AF18" s="13">
        <v>5995.10009765625</v>
      </c>
      <c r="AG18" s="13">
        <v>359244</v>
      </c>
      <c r="AH18" s="13">
        <v>6479.580078125</v>
      </c>
      <c r="AI18" s="13">
        <v>7267.4692939346114</v>
      </c>
      <c r="AJ18" s="13">
        <v>5691.6908623153886</v>
      </c>
      <c r="AM18" s="26">
        <v>45362</v>
      </c>
      <c r="AN18" s="13" t="s">
        <v>632</v>
      </c>
      <c r="AO18" s="13">
        <v>6110</v>
      </c>
      <c r="AP18" s="13">
        <v>6132.0498046875</v>
      </c>
      <c r="AQ18" s="13">
        <v>5950</v>
      </c>
      <c r="AR18" s="13">
        <v>5995.10009765625</v>
      </c>
      <c r="AS18" s="13">
        <v>146202</v>
      </c>
      <c r="AT18" s="13">
        <v>6181.55</v>
      </c>
      <c r="AU18" s="13">
        <v>6450.3610377780205</v>
      </c>
      <c r="AV18" s="13">
        <v>5912.7389622219798</v>
      </c>
    </row>
    <row r="19" spans="1:49" x14ac:dyDescent="0.3">
      <c r="A19" s="26">
        <v>45352</v>
      </c>
      <c r="B19" s="13" t="s">
        <v>633</v>
      </c>
      <c r="C19" s="13">
        <v>574.4000244140625</v>
      </c>
      <c r="D19" s="13">
        <v>590.8499755859375</v>
      </c>
      <c r="E19" s="13">
        <v>564.45001220703125</v>
      </c>
      <c r="F19" s="13">
        <v>576.9000244140625</v>
      </c>
      <c r="G19" s="13">
        <v>26117707</v>
      </c>
      <c r="H19" s="13">
        <v>673.18000488281245</v>
      </c>
      <c r="I19" s="13">
        <v>813.70662503913422</v>
      </c>
      <c r="J19" s="13">
        <v>532.65338472649069</v>
      </c>
      <c r="M19" s="26">
        <v>45362</v>
      </c>
      <c r="N19" s="13" t="s">
        <v>633</v>
      </c>
      <c r="O19" s="13">
        <v>572</v>
      </c>
      <c r="P19" s="13">
        <v>590.8499755859375</v>
      </c>
      <c r="Q19" s="13">
        <v>569.29998779296875</v>
      </c>
      <c r="R19" s="13">
        <v>576.9000244140625</v>
      </c>
      <c r="S19" s="13">
        <v>11845954</v>
      </c>
      <c r="T19" s="13">
        <v>586.35000610351563</v>
      </c>
      <c r="U19" s="13">
        <v>601.40930197319437</v>
      </c>
      <c r="V19" s="13">
        <v>571.29071023383688</v>
      </c>
      <c r="AA19" s="26">
        <v>45352</v>
      </c>
      <c r="AB19" s="13" t="s">
        <v>633</v>
      </c>
      <c r="AC19" s="13">
        <v>574.4000244140625</v>
      </c>
      <c r="AD19" s="13">
        <v>590.8499755859375</v>
      </c>
      <c r="AE19" s="13">
        <v>564.45001220703125</v>
      </c>
      <c r="AF19" s="13">
        <v>576.9000244140625</v>
      </c>
      <c r="AG19" s="13">
        <v>26117707</v>
      </c>
      <c r="AH19" s="13">
        <v>662.43000488281245</v>
      </c>
      <c r="AI19" s="13">
        <v>837.71810958699234</v>
      </c>
      <c r="AJ19" s="13">
        <v>487.14190017863257</v>
      </c>
      <c r="AM19" s="26">
        <v>45362</v>
      </c>
      <c r="AN19" s="13" t="s">
        <v>633</v>
      </c>
      <c r="AO19" s="13">
        <v>572</v>
      </c>
      <c r="AP19" s="13">
        <v>590.8499755859375</v>
      </c>
      <c r="AQ19" s="13">
        <v>569.29998779296875</v>
      </c>
      <c r="AR19" s="13">
        <v>576.9000244140625</v>
      </c>
      <c r="AS19" s="13">
        <v>11845954</v>
      </c>
      <c r="AT19" s="13">
        <v>581.08000488281255</v>
      </c>
      <c r="AU19" s="13">
        <v>601.10415813037446</v>
      </c>
      <c r="AV19" s="13">
        <v>561.05585163525063</v>
      </c>
    </row>
    <row r="20" spans="1:49" x14ac:dyDescent="0.3">
      <c r="A20" s="26">
        <v>45352</v>
      </c>
      <c r="B20" s="13" t="s">
        <v>634</v>
      </c>
      <c r="C20" s="13">
        <v>1020.5999755859375</v>
      </c>
      <c r="D20" s="13">
        <v>1114</v>
      </c>
      <c r="E20" s="13">
        <v>985.04998779296875</v>
      </c>
      <c r="F20" s="13">
        <v>1005.5999755859375</v>
      </c>
      <c r="G20" s="13">
        <v>17714218</v>
      </c>
      <c r="H20" s="13">
        <v>1043.9950073242187</v>
      </c>
      <c r="I20" s="13">
        <v>1155.0391515988538</v>
      </c>
      <c r="J20" s="13">
        <v>932.95086304958352</v>
      </c>
      <c r="M20" s="26">
        <v>45362</v>
      </c>
      <c r="N20" s="13" t="s">
        <v>634</v>
      </c>
      <c r="O20" s="13">
        <v>1072</v>
      </c>
      <c r="P20" s="13">
        <v>1085</v>
      </c>
      <c r="Q20" s="13">
        <v>985.04998779296875</v>
      </c>
      <c r="R20" s="13">
        <v>1005.5999755859375</v>
      </c>
      <c r="S20" s="13">
        <v>5918751</v>
      </c>
      <c r="T20" s="13">
        <v>1038.4549987792968</v>
      </c>
      <c r="U20" s="13">
        <v>1083.4757497391977</v>
      </c>
      <c r="V20" s="13">
        <v>993.43424781939598</v>
      </c>
      <c r="AA20" s="26">
        <v>45352</v>
      </c>
      <c r="AB20" s="13" t="s">
        <v>634</v>
      </c>
      <c r="AC20" s="13">
        <v>1020.5999755859375</v>
      </c>
      <c r="AD20" s="13">
        <v>1114</v>
      </c>
      <c r="AE20" s="13">
        <v>985.04998779296875</v>
      </c>
      <c r="AF20" s="13">
        <v>1005.5999755859375</v>
      </c>
      <c r="AG20" s="13">
        <v>17714218</v>
      </c>
      <c r="AH20" s="13">
        <v>1061.9300048828125</v>
      </c>
      <c r="AI20" s="13">
        <v>1164.0942441524812</v>
      </c>
      <c r="AJ20" s="13">
        <v>959.76576561314369</v>
      </c>
      <c r="AM20" s="26">
        <v>45362</v>
      </c>
      <c r="AN20" s="13" t="s">
        <v>634</v>
      </c>
      <c r="AO20" s="13">
        <v>1072</v>
      </c>
      <c r="AP20" s="13">
        <v>1085</v>
      </c>
      <c r="AQ20" s="13">
        <v>985.04998779296875</v>
      </c>
      <c r="AR20" s="13">
        <v>1005.5999755859375</v>
      </c>
      <c r="AS20" s="13">
        <v>5918751</v>
      </c>
      <c r="AT20" s="13">
        <v>1033.7699951171876</v>
      </c>
      <c r="AU20" s="13">
        <v>1069.296421658815</v>
      </c>
      <c r="AV20" s="13">
        <v>998.24356857556029</v>
      </c>
      <c r="AW20" s="13" t="s">
        <v>404</v>
      </c>
    </row>
    <row r="21" spans="1:49" x14ac:dyDescent="0.3">
      <c r="A21" s="26">
        <v>45352</v>
      </c>
      <c r="B21" s="13" t="s">
        <v>635</v>
      </c>
      <c r="C21" s="13">
        <v>1076</v>
      </c>
      <c r="D21" s="13">
        <v>1131.949951171875</v>
      </c>
      <c r="E21" s="13">
        <v>1070.75</v>
      </c>
      <c r="F21" s="13">
        <v>1080.4000244140625</v>
      </c>
      <c r="G21" s="13">
        <v>64370259</v>
      </c>
      <c r="H21" s="13">
        <v>1078.289990234375</v>
      </c>
      <c r="I21" s="13">
        <v>1138.8165709187112</v>
      </c>
      <c r="J21" s="13">
        <v>1017.7634095500388</v>
      </c>
      <c r="M21" s="26">
        <v>45362</v>
      </c>
      <c r="N21" s="13" t="s">
        <v>635</v>
      </c>
      <c r="O21" s="13">
        <v>1112.25</v>
      </c>
      <c r="P21" s="13">
        <v>1121.4000244140625</v>
      </c>
      <c r="Q21" s="13">
        <v>1070.75</v>
      </c>
      <c r="R21" s="13">
        <v>1080.4000244140625</v>
      </c>
      <c r="S21" s="13">
        <v>28072465</v>
      </c>
      <c r="T21" s="13">
        <v>1087.8899780273437</v>
      </c>
      <c r="U21" s="13">
        <v>1118.4298069957613</v>
      </c>
      <c r="V21" s="13">
        <v>1057.350149058926</v>
      </c>
      <c r="AA21" s="26">
        <v>45352</v>
      </c>
      <c r="AB21" s="13" t="s">
        <v>635</v>
      </c>
      <c r="AC21" s="13">
        <v>1076</v>
      </c>
      <c r="AD21" s="13">
        <v>1131.949951171875</v>
      </c>
      <c r="AE21" s="13">
        <v>1070.75</v>
      </c>
      <c r="AF21" s="13">
        <v>1080.4000244140625</v>
      </c>
      <c r="AG21" s="13">
        <v>64370259</v>
      </c>
      <c r="AH21" s="13">
        <v>1079.960009765625</v>
      </c>
      <c r="AI21" s="13">
        <v>1103.7016093820419</v>
      </c>
      <c r="AJ21" s="13">
        <v>1056.2184101492082</v>
      </c>
      <c r="AM21" s="26">
        <v>45362</v>
      </c>
      <c r="AN21" s="13" t="s">
        <v>635</v>
      </c>
      <c r="AO21" s="13">
        <v>1112.25</v>
      </c>
      <c r="AP21" s="13">
        <v>1121.4000244140625</v>
      </c>
      <c r="AQ21" s="13">
        <v>1070.75</v>
      </c>
      <c r="AR21" s="13">
        <v>1080.4000244140625</v>
      </c>
      <c r="AS21" s="13">
        <v>28072465</v>
      </c>
      <c r="AT21" s="13">
        <v>1091.3300048828125</v>
      </c>
      <c r="AU21" s="13">
        <v>1121.3537426334631</v>
      </c>
      <c r="AV21" s="13">
        <v>1061.306267132162</v>
      </c>
    </row>
    <row r="22" spans="1:49" x14ac:dyDescent="0.3">
      <c r="A22" s="26">
        <v>45352</v>
      </c>
      <c r="B22" s="13" t="s">
        <v>636</v>
      </c>
      <c r="C22" s="13">
        <v>7955</v>
      </c>
      <c r="D22" s="13">
        <v>9025</v>
      </c>
      <c r="E22" s="13">
        <v>7945.2998046875</v>
      </c>
      <c r="F22" s="13">
        <v>8384.900390625</v>
      </c>
      <c r="G22" s="13">
        <v>5014129</v>
      </c>
      <c r="H22" s="13">
        <v>7173.64501953125</v>
      </c>
      <c r="I22" s="13">
        <v>9250.7128560391247</v>
      </c>
      <c r="J22" s="13">
        <v>5096.5771830233753</v>
      </c>
      <c r="M22" s="26">
        <v>45362</v>
      </c>
      <c r="N22" s="13" t="s">
        <v>636</v>
      </c>
      <c r="O22" s="13">
        <v>9023.4501953125</v>
      </c>
      <c r="P22" s="13">
        <v>9025</v>
      </c>
      <c r="Q22" s="13">
        <v>8296.9501953125</v>
      </c>
      <c r="R22" s="13">
        <v>8384.900390625</v>
      </c>
      <c r="S22" s="13">
        <v>1386862</v>
      </c>
      <c r="T22" s="13">
        <v>8385.5899902343754</v>
      </c>
      <c r="U22" s="13">
        <v>8781.8793757790481</v>
      </c>
      <c r="V22" s="13">
        <v>7989.3006046897026</v>
      </c>
      <c r="W22" s="13" t="s">
        <v>404</v>
      </c>
      <c r="AA22" s="26">
        <v>45352</v>
      </c>
      <c r="AB22" s="13" t="s">
        <v>636</v>
      </c>
      <c r="AC22" s="13">
        <v>7955</v>
      </c>
      <c r="AD22" s="13">
        <v>9025</v>
      </c>
      <c r="AE22" s="13">
        <v>7945.2998046875</v>
      </c>
      <c r="AF22" s="13">
        <v>8384.900390625</v>
      </c>
      <c r="AG22" s="13">
        <v>5014129</v>
      </c>
      <c r="AH22" s="13">
        <v>7369.9200195312496</v>
      </c>
      <c r="AI22" s="13">
        <v>9012.964157660952</v>
      </c>
      <c r="AJ22" s="13">
        <v>5726.8758814015473</v>
      </c>
      <c r="AM22" s="26">
        <v>45362</v>
      </c>
      <c r="AN22" s="13" t="s">
        <v>636</v>
      </c>
      <c r="AO22" s="13">
        <v>9023.4501953125</v>
      </c>
      <c r="AP22" s="13">
        <v>9025</v>
      </c>
      <c r="AQ22" s="13">
        <v>8296.9501953125</v>
      </c>
      <c r="AR22" s="13">
        <v>8384.900390625</v>
      </c>
      <c r="AS22" s="13">
        <v>1386862</v>
      </c>
      <c r="AT22" s="13">
        <v>8413.2000000000007</v>
      </c>
      <c r="AU22" s="13">
        <v>8953.8607109017121</v>
      </c>
      <c r="AV22" s="13">
        <v>7872.5392890982894</v>
      </c>
      <c r="AW22" s="13" t="s">
        <v>404</v>
      </c>
    </row>
    <row r="23" spans="1:49" x14ac:dyDescent="0.3">
      <c r="A23" s="26">
        <v>45352</v>
      </c>
      <c r="B23" s="13" t="s">
        <v>637</v>
      </c>
      <c r="C23" s="13">
        <v>1597.949951171875</v>
      </c>
      <c r="D23" s="13">
        <v>1636.5999755859375</v>
      </c>
      <c r="E23" s="13">
        <v>1530.800048828125</v>
      </c>
      <c r="F23" s="13">
        <v>1573.1500244140625</v>
      </c>
      <c r="G23" s="13">
        <v>10445638</v>
      </c>
      <c r="H23" s="13">
        <v>1625.1700073242187</v>
      </c>
      <c r="I23" s="13">
        <v>1699.02903261296</v>
      </c>
      <c r="J23" s="13">
        <v>1551.3109820354773</v>
      </c>
      <c r="M23" s="26">
        <v>45362</v>
      </c>
      <c r="N23" s="13" t="s">
        <v>637</v>
      </c>
      <c r="O23" s="13">
        <v>1597.5</v>
      </c>
      <c r="P23" s="13">
        <v>1616.1500244140625</v>
      </c>
      <c r="Q23" s="13">
        <v>1562</v>
      </c>
      <c r="R23" s="13">
        <v>1573.1500244140625</v>
      </c>
      <c r="S23" s="13">
        <v>4151897</v>
      </c>
      <c r="T23" s="13">
        <v>1587.5650024414063</v>
      </c>
      <c r="U23" s="13">
        <v>1607.3570816775193</v>
      </c>
      <c r="V23" s="13">
        <v>1567.7729232052932</v>
      </c>
      <c r="AA23" s="26">
        <v>45352</v>
      </c>
      <c r="AB23" s="13" t="s">
        <v>637</v>
      </c>
      <c r="AC23" s="13">
        <v>1597.949951171875</v>
      </c>
      <c r="AD23" s="13">
        <v>1636.5999755859375</v>
      </c>
      <c r="AE23" s="13">
        <v>1530.800048828125</v>
      </c>
      <c r="AF23" s="13">
        <v>1573.1500244140625</v>
      </c>
      <c r="AG23" s="13">
        <v>10445638</v>
      </c>
      <c r="AH23" s="13">
        <v>1630.7100341796875</v>
      </c>
      <c r="AI23" s="13">
        <v>1718.1309499005279</v>
      </c>
      <c r="AJ23" s="13">
        <v>1543.289118458847</v>
      </c>
      <c r="AM23" s="26">
        <v>45362</v>
      </c>
      <c r="AN23" s="13" t="s">
        <v>637</v>
      </c>
      <c r="AO23" s="13">
        <v>1597.5</v>
      </c>
      <c r="AP23" s="13">
        <v>1616.1500244140625</v>
      </c>
      <c r="AQ23" s="13">
        <v>1562</v>
      </c>
      <c r="AR23" s="13">
        <v>1573.1500244140625</v>
      </c>
      <c r="AS23" s="13">
        <v>4151897</v>
      </c>
      <c r="AT23" s="13">
        <v>1592.3600341796875</v>
      </c>
      <c r="AU23" s="13">
        <v>1629.8747002648993</v>
      </c>
      <c r="AV23" s="13">
        <v>1554.8453680944758</v>
      </c>
    </row>
    <row r="24" spans="1:49" x14ac:dyDescent="0.3">
      <c r="A24" s="26">
        <v>45352</v>
      </c>
      <c r="B24" s="13" t="s">
        <v>638</v>
      </c>
      <c r="C24" s="13">
        <v>6511.75</v>
      </c>
      <c r="D24" s="13">
        <v>6639.9501953125</v>
      </c>
      <c r="E24" s="13">
        <v>6187.7998046875</v>
      </c>
      <c r="F24" s="13">
        <v>6456.14990234375</v>
      </c>
      <c r="G24" s="13">
        <v>10038416</v>
      </c>
      <c r="H24" s="13">
        <v>7014.7200195312498</v>
      </c>
      <c r="I24" s="13">
        <v>7830.0534731274647</v>
      </c>
      <c r="J24" s="13">
        <v>6199.3865659350349</v>
      </c>
      <c r="M24" s="26">
        <v>45362</v>
      </c>
      <c r="N24" s="13" t="s">
        <v>638</v>
      </c>
      <c r="O24" s="13">
        <v>6550</v>
      </c>
      <c r="P24" s="13">
        <v>6552</v>
      </c>
      <c r="Q24" s="13">
        <v>6341.35009765625</v>
      </c>
      <c r="R24" s="13">
        <v>6456.14990234375</v>
      </c>
      <c r="S24" s="13">
        <v>3430447</v>
      </c>
      <c r="T24" s="13">
        <v>6539.0600097656252</v>
      </c>
      <c r="U24" s="13">
        <v>6740.6027097708693</v>
      </c>
      <c r="V24" s="13">
        <v>6337.5173097603811</v>
      </c>
      <c r="AA24" s="26">
        <v>45352</v>
      </c>
      <c r="AB24" s="13" t="s">
        <v>638</v>
      </c>
      <c r="AC24" s="13">
        <v>6511.75</v>
      </c>
      <c r="AD24" s="13">
        <v>6639.9501953125</v>
      </c>
      <c r="AE24" s="13">
        <v>6187.7998046875</v>
      </c>
      <c r="AF24" s="13">
        <v>6456.14990234375</v>
      </c>
      <c r="AG24" s="13">
        <v>10038416</v>
      </c>
      <c r="AH24" s="13">
        <v>6852.8099609375004</v>
      </c>
      <c r="AI24" s="13">
        <v>7535.8595931774644</v>
      </c>
      <c r="AJ24" s="13">
        <v>6169.7603286975364</v>
      </c>
      <c r="AM24" s="26">
        <v>45362</v>
      </c>
      <c r="AN24" s="13" t="s">
        <v>638</v>
      </c>
      <c r="AO24" s="13">
        <v>6550</v>
      </c>
      <c r="AP24" s="13">
        <v>6552</v>
      </c>
      <c r="AQ24" s="13">
        <v>6341.35009765625</v>
      </c>
      <c r="AR24" s="13">
        <v>6456.14990234375</v>
      </c>
      <c r="AS24" s="13">
        <v>3430447</v>
      </c>
      <c r="AT24" s="13">
        <v>6553.1400390625004</v>
      </c>
      <c r="AU24" s="13">
        <v>6758.0695367183434</v>
      </c>
      <c r="AV24" s="13">
        <v>6348.2105414066573</v>
      </c>
    </row>
    <row r="25" spans="1:49" x14ac:dyDescent="0.3">
      <c r="A25" s="26">
        <v>45352</v>
      </c>
      <c r="B25" s="13" t="s">
        <v>639</v>
      </c>
      <c r="C25" s="13">
        <v>2241.85009765625</v>
      </c>
      <c r="D25" s="13">
        <v>2378.800048828125</v>
      </c>
      <c r="E25" s="13">
        <v>2193.800048828125</v>
      </c>
      <c r="F25" s="13">
        <v>2285.39990234375</v>
      </c>
      <c r="G25" s="13">
        <v>4998198</v>
      </c>
      <c r="H25" s="13">
        <v>2469.8000000000002</v>
      </c>
      <c r="I25" s="13">
        <v>2727.648452065212</v>
      </c>
      <c r="J25" s="13">
        <v>2211.9515479347883</v>
      </c>
      <c r="M25" s="26">
        <v>45362</v>
      </c>
      <c r="N25" s="13" t="s">
        <v>639</v>
      </c>
      <c r="O25" s="13">
        <v>2250</v>
      </c>
      <c r="P25" s="13">
        <v>2378.800048828125</v>
      </c>
      <c r="Q25" s="13">
        <v>2193.800048828125</v>
      </c>
      <c r="R25" s="13">
        <v>2285.39990234375</v>
      </c>
      <c r="S25" s="13">
        <v>2632379</v>
      </c>
      <c r="T25" s="13">
        <v>2291.5150146484375</v>
      </c>
      <c r="U25" s="13">
        <v>2334.675665317935</v>
      </c>
      <c r="V25" s="13">
        <v>2248.35436397894</v>
      </c>
      <c r="AA25" s="26">
        <v>45352</v>
      </c>
      <c r="AB25" s="13" t="s">
        <v>639</v>
      </c>
      <c r="AC25" s="13">
        <v>2241.85009765625</v>
      </c>
      <c r="AD25" s="13">
        <v>2378.800048828125</v>
      </c>
      <c r="AE25" s="13">
        <v>2193.800048828125</v>
      </c>
      <c r="AF25" s="13">
        <v>2285.39990234375</v>
      </c>
      <c r="AG25" s="13">
        <v>4998198</v>
      </c>
      <c r="AH25" s="13">
        <v>2422.7099609375</v>
      </c>
      <c r="AI25" s="13">
        <v>2708.7612807594651</v>
      </c>
      <c r="AJ25" s="13">
        <v>2136.6586411155349</v>
      </c>
      <c r="AM25" s="26">
        <v>45362</v>
      </c>
      <c r="AN25" s="13" t="s">
        <v>639</v>
      </c>
      <c r="AO25" s="13">
        <v>2250</v>
      </c>
      <c r="AP25" s="13">
        <v>2378.800048828125</v>
      </c>
      <c r="AQ25" s="13">
        <v>2193.800048828125</v>
      </c>
      <c r="AR25" s="13">
        <v>2285.39990234375</v>
      </c>
      <c r="AS25" s="13">
        <v>2632379</v>
      </c>
      <c r="AT25" s="13">
        <v>2295.3299804687499</v>
      </c>
      <c r="AU25" s="13">
        <v>2366.3301030370167</v>
      </c>
      <c r="AV25" s="13">
        <v>2224.3298579004831</v>
      </c>
    </row>
    <row r="26" spans="1:49" x14ac:dyDescent="0.3">
      <c r="A26" s="26">
        <v>45352</v>
      </c>
      <c r="B26" s="13" t="s">
        <v>640</v>
      </c>
      <c r="C26" s="13">
        <v>373.79998779296875</v>
      </c>
      <c r="D26" s="13">
        <v>386.10000610351563</v>
      </c>
      <c r="E26" s="13">
        <v>345.29998779296875</v>
      </c>
      <c r="F26" s="13">
        <v>347.60000610351563</v>
      </c>
      <c r="G26" s="13">
        <v>12337112</v>
      </c>
      <c r="H26" s="13">
        <v>404.3799987792969</v>
      </c>
      <c r="I26" s="13">
        <v>462.19801323462656</v>
      </c>
      <c r="J26" s="13">
        <v>346.56198432396724</v>
      </c>
      <c r="M26" s="26">
        <v>45362</v>
      </c>
      <c r="N26" s="13" t="s">
        <v>640</v>
      </c>
      <c r="O26" s="13">
        <v>378.89999389648438</v>
      </c>
      <c r="P26" s="13">
        <v>379.45001220703125</v>
      </c>
      <c r="Q26" s="13">
        <v>345.29998779296875</v>
      </c>
      <c r="R26" s="13">
        <v>347.60000610351563</v>
      </c>
      <c r="S26" s="13">
        <v>5179237</v>
      </c>
      <c r="T26" s="13">
        <v>375.27999877929688</v>
      </c>
      <c r="U26" s="13">
        <v>389.61887312595792</v>
      </c>
      <c r="V26" s="13">
        <v>360.94112443263583</v>
      </c>
      <c r="AA26" s="26">
        <v>45352</v>
      </c>
      <c r="AB26" s="13" t="s">
        <v>640</v>
      </c>
      <c r="AC26" s="13">
        <v>373.79998779296875</v>
      </c>
      <c r="AD26" s="13">
        <v>386.10000610351563</v>
      </c>
      <c r="AE26" s="13">
        <v>345.29998779296875</v>
      </c>
      <c r="AF26" s="13">
        <v>347.60000610351563</v>
      </c>
      <c r="AG26" s="13">
        <v>12337112</v>
      </c>
      <c r="AH26" s="13">
        <v>399.90000610351564</v>
      </c>
      <c r="AI26" s="13">
        <v>484.48661055907155</v>
      </c>
      <c r="AJ26" s="13">
        <v>315.31340164795972</v>
      </c>
      <c r="AM26" s="26">
        <v>45362</v>
      </c>
      <c r="AN26" s="13" t="s">
        <v>640</v>
      </c>
      <c r="AO26" s="13">
        <v>378.89999389648438</v>
      </c>
      <c r="AP26" s="13">
        <v>379.45001220703125</v>
      </c>
      <c r="AQ26" s="13">
        <v>345.29998779296875</v>
      </c>
      <c r="AR26" s="13">
        <v>347.60000610351563</v>
      </c>
      <c r="AS26" s="13">
        <v>5179237</v>
      </c>
      <c r="AT26" s="13">
        <v>370.02000122070314</v>
      </c>
      <c r="AU26" s="13">
        <v>393.29218312499472</v>
      </c>
      <c r="AV26" s="13">
        <v>346.74781931641155</v>
      </c>
    </row>
    <row r="27" spans="1:49" x14ac:dyDescent="0.3">
      <c r="A27" s="26">
        <v>45352</v>
      </c>
      <c r="B27" s="13" t="s">
        <v>641</v>
      </c>
      <c r="C27" s="13">
        <v>197.5</v>
      </c>
      <c r="D27" s="13">
        <v>201.69999694824219</v>
      </c>
      <c r="E27" s="13">
        <v>176.85000610351563</v>
      </c>
      <c r="F27" s="13">
        <v>178.69999694824219</v>
      </c>
      <c r="G27" s="13">
        <v>88115950</v>
      </c>
      <c r="H27" s="13">
        <v>220.96999969482422</v>
      </c>
      <c r="I27" s="13">
        <v>259.67920388265316</v>
      </c>
      <c r="J27" s="13">
        <v>182.26079550699532</v>
      </c>
      <c r="M27" s="26">
        <v>45362</v>
      </c>
      <c r="N27" s="13" t="s">
        <v>641</v>
      </c>
      <c r="O27" s="13">
        <v>196</v>
      </c>
      <c r="P27" s="13">
        <v>196.14999389648438</v>
      </c>
      <c r="Q27" s="13">
        <v>176.85000610351563</v>
      </c>
      <c r="R27" s="13">
        <v>178.69999694824219</v>
      </c>
      <c r="S27" s="13">
        <v>44823837</v>
      </c>
      <c r="T27" s="13">
        <v>199.47500152587889</v>
      </c>
      <c r="U27" s="13">
        <v>214.11170306001316</v>
      </c>
      <c r="V27" s="13">
        <v>184.83829999174463</v>
      </c>
      <c r="AA27" s="26">
        <v>45352</v>
      </c>
      <c r="AB27" s="13" t="s">
        <v>641</v>
      </c>
      <c r="AC27" s="13">
        <v>197.5</v>
      </c>
      <c r="AD27" s="13">
        <v>201.69999694824219</v>
      </c>
      <c r="AE27" s="13">
        <v>176.85000610351563</v>
      </c>
      <c r="AF27" s="13">
        <v>178.69999694824219</v>
      </c>
      <c r="AG27" s="13">
        <v>88115950</v>
      </c>
      <c r="AH27" s="13">
        <v>214.16000061035157</v>
      </c>
      <c r="AI27" s="13">
        <v>260.69335899420952</v>
      </c>
      <c r="AJ27" s="13">
        <v>167.6266422264936</v>
      </c>
      <c r="AM27" s="26">
        <v>45362</v>
      </c>
      <c r="AN27" s="13" t="s">
        <v>641</v>
      </c>
      <c r="AO27" s="13">
        <v>196</v>
      </c>
      <c r="AP27" s="13">
        <v>196.14999389648438</v>
      </c>
      <c r="AQ27" s="13">
        <v>176.85000610351563</v>
      </c>
      <c r="AR27" s="13">
        <v>178.69999694824219</v>
      </c>
      <c r="AS27" s="13">
        <v>44823837</v>
      </c>
      <c r="AT27" s="13">
        <v>196.53000183105468</v>
      </c>
      <c r="AU27" s="13">
        <v>216.26247590567354</v>
      </c>
      <c r="AV27" s="13">
        <v>176.79752775643581</v>
      </c>
    </row>
    <row r="28" spans="1:49" x14ac:dyDescent="0.3">
      <c r="A28" s="26">
        <v>45352</v>
      </c>
      <c r="B28" s="13" t="s">
        <v>642</v>
      </c>
      <c r="C28" s="13">
        <v>266.5</v>
      </c>
      <c r="D28" s="13">
        <v>285.60000610351563</v>
      </c>
      <c r="E28" s="13">
        <v>258.39999389648438</v>
      </c>
      <c r="F28" s="13">
        <v>260.89999389648438</v>
      </c>
      <c r="G28" s="13">
        <v>130515080</v>
      </c>
      <c r="H28" s="13">
        <v>236.60499877929686</v>
      </c>
      <c r="I28" s="13">
        <v>291.72458173984404</v>
      </c>
      <c r="J28" s="13">
        <v>181.48541581874969</v>
      </c>
      <c r="M28" s="26">
        <v>45362</v>
      </c>
      <c r="N28" s="13" t="s">
        <v>642</v>
      </c>
      <c r="O28" s="13">
        <v>283.85000610351563</v>
      </c>
      <c r="P28" s="13">
        <v>285.60000610351563</v>
      </c>
      <c r="Q28" s="13">
        <v>258.39999389648438</v>
      </c>
      <c r="R28" s="13">
        <v>260.89999389648438</v>
      </c>
      <c r="S28" s="13">
        <v>50924798</v>
      </c>
      <c r="T28" s="13">
        <v>270.66499786376954</v>
      </c>
      <c r="U28" s="13">
        <v>280.2629385189021</v>
      </c>
      <c r="V28" s="13">
        <v>261.06705720863698</v>
      </c>
      <c r="W28" s="13" t="s">
        <v>404</v>
      </c>
      <c r="AA28" s="26">
        <v>45352</v>
      </c>
      <c r="AB28" s="13" t="s">
        <v>642</v>
      </c>
      <c r="AC28" s="13">
        <v>266.5</v>
      </c>
      <c r="AD28" s="13">
        <v>285.60000610351563</v>
      </c>
      <c r="AE28" s="13">
        <v>258.39999389648438</v>
      </c>
      <c r="AF28" s="13">
        <v>260.89999389648438</v>
      </c>
      <c r="AG28" s="13">
        <v>130515080</v>
      </c>
      <c r="AH28" s="13">
        <v>240.43000488281251</v>
      </c>
      <c r="AI28" s="13">
        <v>289.91509601672266</v>
      </c>
      <c r="AJ28" s="13">
        <v>190.94491374890237</v>
      </c>
      <c r="AM28" s="26">
        <v>45362</v>
      </c>
      <c r="AN28" s="13" t="s">
        <v>642</v>
      </c>
      <c r="AO28" s="13">
        <v>283.85000610351563</v>
      </c>
      <c r="AP28" s="13">
        <v>285.60000610351563</v>
      </c>
      <c r="AQ28" s="13">
        <v>258.39999389648438</v>
      </c>
      <c r="AR28" s="13">
        <v>260.89999389648438</v>
      </c>
      <c r="AS28" s="13">
        <v>50924798</v>
      </c>
      <c r="AT28" s="13">
        <v>271.65999755859377</v>
      </c>
      <c r="AU28" s="13">
        <v>285.56430062104323</v>
      </c>
      <c r="AV28" s="13">
        <v>257.75569449614432</v>
      </c>
    </row>
    <row r="29" spans="1:49" x14ac:dyDescent="0.3">
      <c r="A29" s="26">
        <v>45352</v>
      </c>
      <c r="B29" s="13" t="s">
        <v>643</v>
      </c>
      <c r="C29" s="13">
        <v>1413</v>
      </c>
      <c r="D29" s="13">
        <v>1473.8499755859375</v>
      </c>
      <c r="E29" s="13">
        <v>1378.75</v>
      </c>
      <c r="F29" s="13">
        <v>1403.5</v>
      </c>
      <c r="G29" s="13">
        <v>3164020</v>
      </c>
      <c r="H29" s="13">
        <v>1528.5199951171876</v>
      </c>
      <c r="I29" s="13">
        <v>1700.1103369692134</v>
      </c>
      <c r="J29" s="13">
        <v>1356.9296532651617</v>
      </c>
      <c r="M29" s="26">
        <v>45362</v>
      </c>
      <c r="N29" s="13" t="s">
        <v>643</v>
      </c>
      <c r="O29" s="13">
        <v>1452</v>
      </c>
      <c r="P29" s="13">
        <v>1466.949951171875</v>
      </c>
      <c r="Q29" s="13">
        <v>1378.75</v>
      </c>
      <c r="R29" s="13">
        <v>1403.5</v>
      </c>
      <c r="S29" s="13">
        <v>1412496</v>
      </c>
      <c r="T29" s="13">
        <v>1425.7699829101562</v>
      </c>
      <c r="U29" s="13">
        <v>1448.480490837404</v>
      </c>
      <c r="V29" s="13">
        <v>1403.0594749829083</v>
      </c>
      <c r="W29" s="13" t="s">
        <v>404</v>
      </c>
      <c r="AA29" s="26">
        <v>45352</v>
      </c>
      <c r="AB29" s="13" t="s">
        <v>643</v>
      </c>
      <c r="AC29" s="13">
        <v>1413</v>
      </c>
      <c r="AD29" s="13">
        <v>1473.8499755859375</v>
      </c>
      <c r="AE29" s="13">
        <v>1378.75</v>
      </c>
      <c r="AF29" s="13">
        <v>1403.5</v>
      </c>
      <c r="AG29" s="13">
        <v>3164020</v>
      </c>
      <c r="AH29" s="13">
        <v>1514.15</v>
      </c>
      <c r="AI29" s="13">
        <v>1720.9084463727884</v>
      </c>
      <c r="AJ29" s="13">
        <v>1307.3915536272118</v>
      </c>
      <c r="AM29" s="26">
        <v>45362</v>
      </c>
      <c r="AN29" s="13" t="s">
        <v>643</v>
      </c>
      <c r="AO29" s="13">
        <v>1452</v>
      </c>
      <c r="AP29" s="13">
        <v>1466.949951171875</v>
      </c>
      <c r="AQ29" s="13">
        <v>1378.75</v>
      </c>
      <c r="AR29" s="13">
        <v>1403.5</v>
      </c>
      <c r="AS29" s="13">
        <v>1412496</v>
      </c>
      <c r="AT29" s="13">
        <v>1429.15</v>
      </c>
      <c r="AU29" s="13">
        <v>1459.3914057394411</v>
      </c>
      <c r="AV29" s="13">
        <v>1398.9085942605591</v>
      </c>
    </row>
    <row r="30" spans="1:49" x14ac:dyDescent="0.3">
      <c r="A30" s="26">
        <v>45352</v>
      </c>
      <c r="B30" s="13" t="s">
        <v>644</v>
      </c>
      <c r="C30" s="13">
        <v>205.94999694824219</v>
      </c>
      <c r="D30" s="13">
        <v>216.80000305175781</v>
      </c>
      <c r="E30" s="13">
        <v>188.19999694824219</v>
      </c>
      <c r="F30" s="13">
        <v>190.30000305175781</v>
      </c>
      <c r="G30" s="13">
        <v>239037562</v>
      </c>
      <c r="H30" s="13">
        <v>177.17500000000001</v>
      </c>
      <c r="I30" s="13">
        <v>221.69186124514658</v>
      </c>
      <c r="J30" s="13">
        <v>132.65813875485344</v>
      </c>
      <c r="M30" s="26">
        <v>45362</v>
      </c>
      <c r="N30" s="13" t="s">
        <v>644</v>
      </c>
      <c r="O30" s="13">
        <v>216.44999694824219</v>
      </c>
      <c r="P30" s="13">
        <v>216.44999694824219</v>
      </c>
      <c r="Q30" s="13">
        <v>188.19999694824219</v>
      </c>
      <c r="R30" s="13">
        <v>190.30000305175781</v>
      </c>
      <c r="S30" s="13">
        <v>99130120</v>
      </c>
      <c r="T30" s="13">
        <v>199.11999969482423</v>
      </c>
      <c r="U30" s="13">
        <v>219.43079881592067</v>
      </c>
      <c r="V30" s="13">
        <v>178.80920057372779</v>
      </c>
      <c r="AA30" s="26">
        <v>45352</v>
      </c>
      <c r="AB30" s="13" t="s">
        <v>644</v>
      </c>
      <c r="AC30" s="13">
        <v>205.94999694824219</v>
      </c>
      <c r="AD30" s="13">
        <v>216.80000305175781</v>
      </c>
      <c r="AE30" s="13">
        <v>188.19999694824219</v>
      </c>
      <c r="AF30" s="13">
        <v>190.30000305175781</v>
      </c>
      <c r="AG30" s="13">
        <v>239037562</v>
      </c>
      <c r="AH30" s="13">
        <v>182.27999877929688</v>
      </c>
      <c r="AI30" s="13">
        <v>221.52659063844681</v>
      </c>
      <c r="AJ30" s="13">
        <v>143.03340692014694</v>
      </c>
      <c r="AM30" s="26">
        <v>45362</v>
      </c>
      <c r="AN30" s="13" t="s">
        <v>644</v>
      </c>
      <c r="AO30" s="13">
        <v>216.44999694824219</v>
      </c>
      <c r="AP30" s="13">
        <v>216.44999694824219</v>
      </c>
      <c r="AQ30" s="13">
        <v>188.19999694824219</v>
      </c>
      <c r="AR30" s="13">
        <v>190.30000305175781</v>
      </c>
      <c r="AS30" s="13">
        <v>99130120</v>
      </c>
      <c r="AT30" s="13">
        <v>200.94000244140625</v>
      </c>
      <c r="AU30" s="13">
        <v>221.27818042017637</v>
      </c>
      <c r="AV30" s="13">
        <v>180.60182446263613</v>
      </c>
    </row>
    <row r="31" spans="1:49" x14ac:dyDescent="0.3">
      <c r="A31" s="26">
        <v>45352</v>
      </c>
      <c r="B31" s="13" t="s">
        <v>645</v>
      </c>
      <c r="C31" s="13">
        <v>589.29998779296875</v>
      </c>
      <c r="D31" s="13">
        <v>595.1500244140625</v>
      </c>
      <c r="E31" s="13">
        <v>553.25</v>
      </c>
      <c r="F31" s="13">
        <v>556.75</v>
      </c>
      <c r="G31" s="13">
        <v>10697446</v>
      </c>
      <c r="H31" s="13">
        <v>576.7500061035156</v>
      </c>
      <c r="I31" s="13">
        <v>589.3328755115482</v>
      </c>
      <c r="J31" s="13">
        <v>564.16713669548301</v>
      </c>
      <c r="M31" s="26">
        <v>45362</v>
      </c>
      <c r="N31" s="13" t="s">
        <v>645</v>
      </c>
      <c r="O31" s="13">
        <v>573.4000244140625</v>
      </c>
      <c r="P31" s="13">
        <v>583.9000244140625</v>
      </c>
      <c r="Q31" s="13">
        <v>553.25</v>
      </c>
      <c r="R31" s="13">
        <v>556.75</v>
      </c>
      <c r="S31" s="13">
        <v>2091198</v>
      </c>
      <c r="T31" s="13">
        <v>571.32999877929683</v>
      </c>
      <c r="U31" s="13">
        <v>594.77989913225599</v>
      </c>
      <c r="V31" s="13">
        <v>547.88009842633767</v>
      </c>
      <c r="AA31" s="26">
        <v>45352</v>
      </c>
      <c r="AB31" s="13" t="s">
        <v>645</v>
      </c>
      <c r="AC31" s="13">
        <v>589.29998779296875</v>
      </c>
      <c r="AD31" s="13">
        <v>595.1500244140625</v>
      </c>
      <c r="AE31" s="13">
        <v>553.25</v>
      </c>
      <c r="AF31" s="13">
        <v>556.75</v>
      </c>
      <c r="AG31" s="13">
        <v>10697446</v>
      </c>
      <c r="AH31" s="13">
        <v>581.5300170898438</v>
      </c>
      <c r="AI31" s="13">
        <v>622.53005216748204</v>
      </c>
      <c r="AJ31" s="13">
        <v>540.52998201220555</v>
      </c>
      <c r="AM31" s="26">
        <v>45362</v>
      </c>
      <c r="AN31" s="13" t="s">
        <v>645</v>
      </c>
      <c r="AO31" s="13">
        <v>573.4000244140625</v>
      </c>
      <c r="AP31" s="13">
        <v>583.9000244140625</v>
      </c>
      <c r="AQ31" s="13">
        <v>553.25</v>
      </c>
      <c r="AR31" s="13">
        <v>556.75</v>
      </c>
      <c r="AS31" s="13">
        <v>2091198</v>
      </c>
      <c r="AT31" s="13">
        <v>570.82001953124995</v>
      </c>
      <c r="AU31" s="13">
        <v>592.81099380729688</v>
      </c>
      <c r="AV31" s="13">
        <v>548.82904525520303</v>
      </c>
    </row>
    <row r="32" spans="1:49" x14ac:dyDescent="0.3">
      <c r="A32" s="26">
        <v>45352</v>
      </c>
      <c r="B32" s="13" t="s">
        <v>646</v>
      </c>
      <c r="C32" s="13">
        <v>1150.050048828125</v>
      </c>
      <c r="D32" s="13">
        <v>1211</v>
      </c>
      <c r="E32" s="13">
        <v>1115</v>
      </c>
      <c r="F32" s="13">
        <v>1127</v>
      </c>
      <c r="G32" s="13">
        <v>9824824</v>
      </c>
      <c r="H32" s="13">
        <v>1171.5849975585938</v>
      </c>
      <c r="I32" s="13">
        <v>1283.0634598343506</v>
      </c>
      <c r="J32" s="13">
        <v>1060.1065352828371</v>
      </c>
      <c r="M32" s="26">
        <v>45362</v>
      </c>
      <c r="N32" s="13" t="s">
        <v>646</v>
      </c>
      <c r="O32" s="13">
        <v>1170.050048828125</v>
      </c>
      <c r="P32" s="13">
        <v>1190.5999755859375</v>
      </c>
      <c r="Q32" s="13">
        <v>1115</v>
      </c>
      <c r="R32" s="13">
        <v>1127</v>
      </c>
      <c r="S32" s="13">
        <v>4795682</v>
      </c>
      <c r="T32" s="13">
        <v>1162.4299926757813</v>
      </c>
      <c r="U32" s="13">
        <v>1211.4945046408984</v>
      </c>
      <c r="V32" s="13">
        <v>1113.3654807106641</v>
      </c>
      <c r="AA32" s="26">
        <v>45352</v>
      </c>
      <c r="AB32" s="13" t="s">
        <v>646</v>
      </c>
      <c r="AC32" s="13">
        <v>1150.050048828125</v>
      </c>
      <c r="AD32" s="13">
        <v>1211</v>
      </c>
      <c r="AE32" s="13">
        <v>1115</v>
      </c>
      <c r="AF32" s="13">
        <v>1127</v>
      </c>
      <c r="AG32" s="13">
        <v>9824824</v>
      </c>
      <c r="AH32" s="13">
        <v>1174.3699951171875</v>
      </c>
      <c r="AI32" s="13">
        <v>1278.3656099323405</v>
      </c>
      <c r="AJ32" s="13">
        <v>1070.3743803020345</v>
      </c>
      <c r="AM32" s="26">
        <v>45362</v>
      </c>
      <c r="AN32" s="13" t="s">
        <v>646</v>
      </c>
      <c r="AO32" s="13">
        <v>1170.050048828125</v>
      </c>
      <c r="AP32" s="13">
        <v>1190.5999755859375</v>
      </c>
      <c r="AQ32" s="13">
        <v>1115</v>
      </c>
      <c r="AR32" s="13">
        <v>1127</v>
      </c>
      <c r="AS32" s="13">
        <v>4795682</v>
      </c>
      <c r="AT32" s="13">
        <v>1151.2099853515624</v>
      </c>
      <c r="AU32" s="13">
        <v>1201.0761857775267</v>
      </c>
      <c r="AV32" s="13">
        <v>1101.3437849255981</v>
      </c>
    </row>
    <row r="33" spans="1:49" x14ac:dyDescent="0.3">
      <c r="A33" s="26">
        <v>45352</v>
      </c>
      <c r="B33" s="13" t="s">
        <v>647</v>
      </c>
      <c r="C33" s="13">
        <v>1128</v>
      </c>
      <c r="D33" s="13">
        <v>1218.300048828125</v>
      </c>
      <c r="E33" s="13">
        <v>1117.4000244140625</v>
      </c>
      <c r="F33" s="13">
        <v>1168.75</v>
      </c>
      <c r="G33" s="13">
        <v>49983070</v>
      </c>
      <c r="H33" s="13">
        <v>1073.5800048828125</v>
      </c>
      <c r="I33" s="13">
        <v>1234.497100819051</v>
      </c>
      <c r="J33" s="13">
        <v>912.66290894657402</v>
      </c>
      <c r="M33" s="26">
        <v>45362</v>
      </c>
      <c r="N33" s="13" t="s">
        <v>647</v>
      </c>
      <c r="O33" s="13">
        <v>1186</v>
      </c>
      <c r="P33" s="13">
        <v>1218.300048828125</v>
      </c>
      <c r="Q33" s="13">
        <v>1151.699951171875</v>
      </c>
      <c r="R33" s="13">
        <v>1168.75</v>
      </c>
      <c r="S33" s="13">
        <v>18456662</v>
      </c>
      <c r="T33" s="13">
        <v>1145.9300048828125</v>
      </c>
      <c r="U33" s="13">
        <v>1200.7835899776312</v>
      </c>
      <c r="V33" s="13">
        <v>1091.0764197879937</v>
      </c>
      <c r="AA33" s="26">
        <v>45352</v>
      </c>
      <c r="AB33" s="13" t="s">
        <v>647</v>
      </c>
      <c r="AC33" s="13">
        <v>1128</v>
      </c>
      <c r="AD33" s="13">
        <v>1218.300048828125</v>
      </c>
      <c r="AE33" s="13">
        <v>1117.4000244140625</v>
      </c>
      <c r="AF33" s="13">
        <v>1168.75</v>
      </c>
      <c r="AG33" s="13">
        <v>49983070</v>
      </c>
      <c r="AH33" s="13">
        <v>1101.9399780273438</v>
      </c>
      <c r="AI33" s="13">
        <v>1234.9794726758525</v>
      </c>
      <c r="AJ33" s="13">
        <v>968.90048337883502</v>
      </c>
      <c r="AM33" s="26">
        <v>45362</v>
      </c>
      <c r="AN33" s="13" t="s">
        <v>647</v>
      </c>
      <c r="AO33" s="13">
        <v>1186</v>
      </c>
      <c r="AP33" s="13">
        <v>1218.300048828125</v>
      </c>
      <c r="AQ33" s="13">
        <v>1151.699951171875</v>
      </c>
      <c r="AR33" s="13">
        <v>1168.75</v>
      </c>
      <c r="AS33" s="13">
        <v>18456662</v>
      </c>
      <c r="AT33" s="13">
        <v>1148.5799804687499</v>
      </c>
      <c r="AU33" s="13">
        <v>1210.2456594107455</v>
      </c>
      <c r="AV33" s="13">
        <v>1086.9143015267543</v>
      </c>
    </row>
    <row r="34" spans="1:49" x14ac:dyDescent="0.3">
      <c r="A34" s="26">
        <v>45352</v>
      </c>
      <c r="B34" s="13" t="s">
        <v>648</v>
      </c>
      <c r="C34" s="13">
        <v>230</v>
      </c>
      <c r="D34" s="13">
        <v>275.85000610351563</v>
      </c>
      <c r="E34" s="13">
        <v>222.05000305175781</v>
      </c>
      <c r="F34" s="13">
        <v>225.30000305175781</v>
      </c>
      <c r="G34" s="13">
        <v>544594638</v>
      </c>
      <c r="H34" s="13">
        <v>203.15000152587891</v>
      </c>
      <c r="I34" s="13">
        <v>272.17884032929408</v>
      </c>
      <c r="J34" s="13">
        <v>134.12116272246377</v>
      </c>
      <c r="M34" s="26">
        <v>45362</v>
      </c>
      <c r="N34" s="13" t="s">
        <v>648</v>
      </c>
      <c r="O34" s="13">
        <v>259.10000610351563</v>
      </c>
      <c r="P34" s="13">
        <v>259.54998779296875</v>
      </c>
      <c r="Q34" s="13">
        <v>222.05000305175781</v>
      </c>
      <c r="R34" s="13">
        <v>225.30000305175781</v>
      </c>
      <c r="S34" s="13">
        <v>90856377</v>
      </c>
      <c r="T34" s="13">
        <v>234.0000015258789</v>
      </c>
      <c r="U34" s="13">
        <v>261.00646572466951</v>
      </c>
      <c r="V34" s="13">
        <v>206.99353732708829</v>
      </c>
      <c r="AA34" s="26">
        <v>45352</v>
      </c>
      <c r="AB34" s="13" t="s">
        <v>648</v>
      </c>
      <c r="AC34" s="13">
        <v>230</v>
      </c>
      <c r="AD34" s="13">
        <v>275.85000610351563</v>
      </c>
      <c r="AE34" s="13">
        <v>222.05000305175781</v>
      </c>
      <c r="AF34" s="13">
        <v>225.30000305175781</v>
      </c>
      <c r="AG34" s="13">
        <v>544594638</v>
      </c>
      <c r="AH34" s="13">
        <v>209.02000122070314</v>
      </c>
      <c r="AI34" s="13">
        <v>255.5401762285822</v>
      </c>
      <c r="AJ34" s="13">
        <v>162.49982621282408</v>
      </c>
      <c r="AM34" s="26">
        <v>45362</v>
      </c>
      <c r="AN34" s="13" t="s">
        <v>648</v>
      </c>
      <c r="AO34" s="13">
        <v>259.10000610351563</v>
      </c>
      <c r="AP34" s="13">
        <v>259.54998779296875</v>
      </c>
      <c r="AQ34" s="13">
        <v>222.05000305175781</v>
      </c>
      <c r="AR34" s="13">
        <v>225.30000305175781</v>
      </c>
      <c r="AS34" s="13">
        <v>90856377</v>
      </c>
      <c r="AT34" s="13">
        <v>234.71000366210939</v>
      </c>
      <c r="AU34" s="13">
        <v>258.59123940291295</v>
      </c>
      <c r="AV34" s="13">
        <v>210.82876792130583</v>
      </c>
      <c r="AW34" s="13" t="s">
        <v>404</v>
      </c>
    </row>
    <row r="35" spans="1:49" x14ac:dyDescent="0.3">
      <c r="A35" s="26">
        <v>45352</v>
      </c>
      <c r="B35" s="13" t="s">
        <v>649</v>
      </c>
      <c r="C35" s="13">
        <v>276.54998779296875</v>
      </c>
      <c r="D35" s="13">
        <v>287.20001220703125</v>
      </c>
      <c r="E35" s="13">
        <v>250.39999389648438</v>
      </c>
      <c r="F35" s="13">
        <v>252.85000610351563</v>
      </c>
      <c r="G35" s="13">
        <v>58654084</v>
      </c>
      <c r="H35" s="13">
        <v>260.10999908447263</v>
      </c>
      <c r="I35" s="13">
        <v>299.62023708085547</v>
      </c>
      <c r="J35" s="13">
        <v>220.59976108808979</v>
      </c>
      <c r="M35" s="26">
        <v>45362</v>
      </c>
      <c r="N35" s="13" t="s">
        <v>649</v>
      </c>
      <c r="O35" s="13">
        <v>284</v>
      </c>
      <c r="P35" s="13">
        <v>286.20001220703125</v>
      </c>
      <c r="Q35" s="13">
        <v>250.39999389648438</v>
      </c>
      <c r="R35" s="13">
        <v>252.85000610351563</v>
      </c>
      <c r="S35" s="13">
        <v>15275358</v>
      </c>
      <c r="T35" s="13">
        <v>276.48500366210936</v>
      </c>
      <c r="U35" s="13">
        <v>287.65064763468376</v>
      </c>
      <c r="V35" s="13">
        <v>265.31935968953496</v>
      </c>
      <c r="AA35" s="26">
        <v>45352</v>
      </c>
      <c r="AB35" s="13" t="s">
        <v>649</v>
      </c>
      <c r="AC35" s="13">
        <v>276.54998779296875</v>
      </c>
      <c r="AD35" s="13">
        <v>287.20001220703125</v>
      </c>
      <c r="AE35" s="13">
        <v>250.39999389648438</v>
      </c>
      <c r="AF35" s="13">
        <v>252.85000610351563</v>
      </c>
      <c r="AG35" s="13">
        <v>58654084</v>
      </c>
      <c r="AH35" s="13">
        <v>257.13999938964844</v>
      </c>
      <c r="AI35" s="13">
        <v>284.43170929022023</v>
      </c>
      <c r="AJ35" s="13">
        <v>229.84828948907662</v>
      </c>
      <c r="AM35" s="26">
        <v>45362</v>
      </c>
      <c r="AN35" s="13" t="s">
        <v>649</v>
      </c>
      <c r="AO35" s="13">
        <v>284</v>
      </c>
      <c r="AP35" s="13">
        <v>286.20001220703125</v>
      </c>
      <c r="AQ35" s="13">
        <v>250.39999389648438</v>
      </c>
      <c r="AR35" s="13">
        <v>252.85000610351563</v>
      </c>
      <c r="AS35" s="13">
        <v>15275358</v>
      </c>
      <c r="AT35" s="13">
        <v>273.70999755859373</v>
      </c>
      <c r="AU35" s="13">
        <v>296.9538667645644</v>
      </c>
      <c r="AV35" s="13">
        <v>250.46612835262309</v>
      </c>
    </row>
    <row r="36" spans="1:49" x14ac:dyDescent="0.3">
      <c r="A36" s="26">
        <v>45352</v>
      </c>
      <c r="B36" s="13" t="s">
        <v>650</v>
      </c>
      <c r="C36" s="13">
        <v>28590.849609375</v>
      </c>
      <c r="D36" s="13">
        <v>30468.05078125</v>
      </c>
      <c r="E36" s="13">
        <v>28116</v>
      </c>
      <c r="F36" s="13">
        <v>28300.30078125</v>
      </c>
      <c r="G36" s="13">
        <v>394449</v>
      </c>
      <c r="H36" s="13">
        <v>24252.735156250001</v>
      </c>
      <c r="I36" s="13">
        <v>30634.622180048304</v>
      </c>
      <c r="J36" s="13">
        <v>17870.848132451698</v>
      </c>
      <c r="M36" s="26">
        <v>45362</v>
      </c>
      <c r="N36" s="13" t="s">
        <v>650</v>
      </c>
      <c r="O36" s="13">
        <v>29819.94921875</v>
      </c>
      <c r="P36" s="13">
        <v>30020</v>
      </c>
      <c r="Q36" s="13">
        <v>28116</v>
      </c>
      <c r="R36" s="13">
        <v>28300.30078125</v>
      </c>
      <c r="S36" s="13">
        <v>131877</v>
      </c>
      <c r="T36" s="13">
        <v>28552.724999999999</v>
      </c>
      <c r="U36" s="13">
        <v>30352.089277681793</v>
      </c>
      <c r="V36" s="13">
        <v>26753.360722318204</v>
      </c>
      <c r="AA36" s="26">
        <v>45352</v>
      </c>
      <c r="AB36" s="13" t="s">
        <v>650</v>
      </c>
      <c r="AC36" s="13">
        <v>28590.849609375</v>
      </c>
      <c r="AD36" s="13">
        <v>30468.05078125</v>
      </c>
      <c r="AE36" s="13">
        <v>28116</v>
      </c>
      <c r="AF36" s="13">
        <v>28300.30078125</v>
      </c>
      <c r="AG36" s="13">
        <v>394449</v>
      </c>
      <c r="AH36" s="13">
        <v>24852.530468749999</v>
      </c>
      <c r="AI36" s="13">
        <v>30859.821246778673</v>
      </c>
      <c r="AJ36" s="13">
        <v>18845.239690721326</v>
      </c>
      <c r="AM36" s="26">
        <v>45362</v>
      </c>
      <c r="AN36" s="13" t="s">
        <v>650</v>
      </c>
      <c r="AO36" s="13">
        <v>29819.94921875</v>
      </c>
      <c r="AP36" s="13">
        <v>30020</v>
      </c>
      <c r="AQ36" s="13">
        <v>28116</v>
      </c>
      <c r="AR36" s="13">
        <v>28300.30078125</v>
      </c>
      <c r="AS36" s="13">
        <v>131877</v>
      </c>
      <c r="AT36" s="13">
        <v>28669.990234375</v>
      </c>
      <c r="AU36" s="13">
        <v>29636.799524964474</v>
      </c>
      <c r="AV36" s="13">
        <v>27703.180943785526</v>
      </c>
      <c r="AW36" s="13" t="s">
        <v>404</v>
      </c>
    </row>
    <row r="37" spans="1:49" x14ac:dyDescent="0.3">
      <c r="A37" s="26">
        <v>45352</v>
      </c>
      <c r="B37" s="13" t="s">
        <v>651</v>
      </c>
      <c r="C37" s="13">
        <v>611</v>
      </c>
      <c r="D37" s="13">
        <v>653</v>
      </c>
      <c r="E37" s="13">
        <v>594.20001220703125</v>
      </c>
      <c r="F37" s="13">
        <v>597.75</v>
      </c>
      <c r="G37" s="13">
        <v>58723459</v>
      </c>
      <c r="H37" s="13">
        <v>510.14500122070314</v>
      </c>
      <c r="I37" s="13">
        <v>681.63134692449967</v>
      </c>
      <c r="J37" s="13">
        <v>338.65865551690661</v>
      </c>
      <c r="M37" s="26">
        <v>45362</v>
      </c>
      <c r="N37" s="13" t="s">
        <v>651</v>
      </c>
      <c r="O37" s="13">
        <v>617</v>
      </c>
      <c r="P37" s="13">
        <v>638.70001220703125</v>
      </c>
      <c r="Q37" s="13">
        <v>594.20001220703125</v>
      </c>
      <c r="R37" s="13">
        <v>597.75</v>
      </c>
      <c r="S37" s="13">
        <v>22167406</v>
      </c>
      <c r="T37" s="13">
        <v>628.17999267578125</v>
      </c>
      <c r="U37" s="13">
        <v>649.62463405076642</v>
      </c>
      <c r="V37" s="13">
        <v>606.73535130079608</v>
      </c>
      <c r="AA37" s="26">
        <v>45352</v>
      </c>
      <c r="AB37" s="13" t="s">
        <v>651</v>
      </c>
      <c r="AC37" s="13">
        <v>611</v>
      </c>
      <c r="AD37" s="13">
        <v>653</v>
      </c>
      <c r="AE37" s="13">
        <v>594.20001220703125</v>
      </c>
      <c r="AF37" s="13">
        <v>597.75</v>
      </c>
      <c r="AG37" s="13">
        <v>58723459</v>
      </c>
      <c r="AH37" s="13">
        <v>518.05999755859375</v>
      </c>
      <c r="AI37" s="13">
        <v>660.2837548747251</v>
      </c>
      <c r="AJ37" s="13">
        <v>375.8362402424624</v>
      </c>
      <c r="AM37" s="26">
        <v>45362</v>
      </c>
      <c r="AN37" s="13" t="s">
        <v>651</v>
      </c>
      <c r="AO37" s="13">
        <v>617</v>
      </c>
      <c r="AP37" s="13">
        <v>638.70001220703125</v>
      </c>
      <c r="AQ37" s="13">
        <v>594.20001220703125</v>
      </c>
      <c r="AR37" s="13">
        <v>597.75</v>
      </c>
      <c r="AS37" s="13">
        <v>22167406</v>
      </c>
      <c r="AT37" s="13">
        <v>623.65999755859377</v>
      </c>
      <c r="AU37" s="13">
        <v>660.12834420643856</v>
      </c>
      <c r="AV37" s="13">
        <v>587.19165091074899</v>
      </c>
    </row>
    <row r="38" spans="1:49" x14ac:dyDescent="0.3">
      <c r="A38" s="26">
        <v>45352</v>
      </c>
      <c r="B38" s="13" t="s">
        <v>652</v>
      </c>
      <c r="C38" s="13">
        <v>4965.2001953125</v>
      </c>
      <c r="D38" s="13">
        <v>4986.7001953125</v>
      </c>
      <c r="E38" s="13">
        <v>4788.75</v>
      </c>
      <c r="F38" s="13">
        <v>4856.64990234375</v>
      </c>
      <c r="G38" s="13">
        <v>2034792</v>
      </c>
      <c r="H38" s="13">
        <v>4959.1700195312496</v>
      </c>
      <c r="I38" s="13">
        <v>5350.2760780352164</v>
      </c>
      <c r="J38" s="13">
        <v>4568.0639610272829</v>
      </c>
      <c r="M38" s="26">
        <v>45362</v>
      </c>
      <c r="N38" s="13" t="s">
        <v>652</v>
      </c>
      <c r="O38" s="13">
        <v>4894.0498046875</v>
      </c>
      <c r="P38" s="13">
        <v>4975</v>
      </c>
      <c r="Q38" s="13">
        <v>4822</v>
      </c>
      <c r="R38" s="13">
        <v>4856.64990234375</v>
      </c>
      <c r="S38" s="13">
        <v>846327</v>
      </c>
      <c r="T38" s="13">
        <v>4914.02001953125</v>
      </c>
      <c r="U38" s="13">
        <v>4985.2018577775816</v>
      </c>
      <c r="V38" s="13">
        <v>4842.8381812849184</v>
      </c>
      <c r="AA38" s="26">
        <v>45352</v>
      </c>
      <c r="AB38" s="13" t="s">
        <v>652</v>
      </c>
      <c r="AC38" s="13">
        <v>4965.2001953125</v>
      </c>
      <c r="AD38" s="13">
        <v>4986.7001953125</v>
      </c>
      <c r="AE38" s="13">
        <v>4788.75</v>
      </c>
      <c r="AF38" s="13">
        <v>4856.64990234375</v>
      </c>
      <c r="AG38" s="13">
        <v>2034792</v>
      </c>
      <c r="AH38" s="13">
        <v>5042.27001953125</v>
      </c>
      <c r="AI38" s="13">
        <v>5430.5478699269361</v>
      </c>
      <c r="AJ38" s="13">
        <v>4653.9921691355639</v>
      </c>
      <c r="AM38" s="26">
        <v>45362</v>
      </c>
      <c r="AN38" s="13" t="s">
        <v>652</v>
      </c>
      <c r="AO38" s="13">
        <v>4894.0498046875</v>
      </c>
      <c r="AP38" s="13">
        <v>4975</v>
      </c>
      <c r="AQ38" s="13">
        <v>4822</v>
      </c>
      <c r="AR38" s="13">
        <v>4856.64990234375</v>
      </c>
      <c r="AS38" s="13">
        <v>846327</v>
      </c>
      <c r="AT38" s="13">
        <v>4904.7100585937496</v>
      </c>
      <c r="AU38" s="13">
        <v>4962.4152271507792</v>
      </c>
      <c r="AV38" s="13">
        <v>4847.0048900367201</v>
      </c>
    </row>
    <row r="39" spans="1:49" x14ac:dyDescent="0.3">
      <c r="A39" s="26">
        <v>45352</v>
      </c>
      <c r="B39" s="13" t="s">
        <v>653</v>
      </c>
      <c r="C39" s="13">
        <v>781</v>
      </c>
      <c r="D39" s="13">
        <v>794</v>
      </c>
      <c r="E39" s="13">
        <v>717.5</v>
      </c>
      <c r="F39" s="13">
        <v>723.29998779296875</v>
      </c>
      <c r="G39" s="13">
        <v>13463858</v>
      </c>
      <c r="H39" s="13">
        <v>721.22000122070313</v>
      </c>
      <c r="I39" s="13">
        <v>873.8846875956699</v>
      </c>
      <c r="J39" s="13">
        <v>568.55531484573635</v>
      </c>
      <c r="M39" s="26">
        <v>45362</v>
      </c>
      <c r="N39" s="13" t="s">
        <v>653</v>
      </c>
      <c r="O39" s="13">
        <v>765</v>
      </c>
      <c r="P39" s="13">
        <v>791</v>
      </c>
      <c r="Q39" s="13">
        <v>717.5</v>
      </c>
      <c r="R39" s="13">
        <v>723.29998779296875</v>
      </c>
      <c r="S39" s="13">
        <v>6540935</v>
      </c>
      <c r="T39" s="13">
        <v>790.5050048828125</v>
      </c>
      <c r="U39" s="13">
        <v>848.20734825011618</v>
      </c>
      <c r="V39" s="13">
        <v>732.80266151550882</v>
      </c>
      <c r="AA39" s="26">
        <v>45352</v>
      </c>
      <c r="AB39" s="13" t="s">
        <v>653</v>
      </c>
      <c r="AC39" s="13">
        <v>781</v>
      </c>
      <c r="AD39" s="13">
        <v>794</v>
      </c>
      <c r="AE39" s="13">
        <v>717.5</v>
      </c>
      <c r="AF39" s="13">
        <v>723.29998779296875</v>
      </c>
      <c r="AG39" s="13">
        <v>13463858</v>
      </c>
      <c r="AH39" s="13">
        <v>739.8499877929687</v>
      </c>
      <c r="AI39" s="13">
        <v>883.3090330736768</v>
      </c>
      <c r="AJ39" s="13">
        <v>596.39094251226061</v>
      </c>
      <c r="AM39" s="26">
        <v>45362</v>
      </c>
      <c r="AN39" s="13" t="s">
        <v>653</v>
      </c>
      <c r="AO39" s="13">
        <v>765</v>
      </c>
      <c r="AP39" s="13">
        <v>791</v>
      </c>
      <c r="AQ39" s="13">
        <v>717.5</v>
      </c>
      <c r="AR39" s="13">
        <v>723.29998779296875</v>
      </c>
      <c r="AS39" s="13">
        <v>6540935</v>
      </c>
      <c r="AT39" s="13">
        <v>784.67999267578125</v>
      </c>
      <c r="AU39" s="13">
        <v>864.75737277232508</v>
      </c>
      <c r="AV39" s="13">
        <v>704.60261257923742</v>
      </c>
    </row>
    <row r="40" spans="1:49" x14ac:dyDescent="0.3">
      <c r="A40" s="26">
        <v>45352</v>
      </c>
      <c r="B40" s="13" t="s">
        <v>654</v>
      </c>
      <c r="C40" s="13">
        <v>570</v>
      </c>
      <c r="D40" s="13">
        <v>606.29998779296875</v>
      </c>
      <c r="E40" s="13">
        <v>529.45001220703125</v>
      </c>
      <c r="F40" s="13">
        <v>536.45001220703125</v>
      </c>
      <c r="G40" s="13">
        <v>67378799</v>
      </c>
      <c r="H40" s="13">
        <v>478.76000061035154</v>
      </c>
      <c r="I40" s="13">
        <v>608.99580147883967</v>
      </c>
      <c r="J40" s="13">
        <v>348.52419974186347</v>
      </c>
      <c r="M40" s="26">
        <v>45362</v>
      </c>
      <c r="N40" s="13" t="s">
        <v>654</v>
      </c>
      <c r="O40" s="13">
        <v>597.95001220703125</v>
      </c>
      <c r="P40" s="13">
        <v>602.4000244140625</v>
      </c>
      <c r="Q40" s="13">
        <v>529.45001220703125</v>
      </c>
      <c r="R40" s="13">
        <v>536.45001220703125</v>
      </c>
      <c r="S40" s="13">
        <v>27196640</v>
      </c>
      <c r="T40" s="13">
        <v>574.22500000000002</v>
      </c>
      <c r="U40" s="13">
        <v>598.63874086788883</v>
      </c>
      <c r="V40" s="13">
        <v>549.81125913211122</v>
      </c>
      <c r="AA40" s="26">
        <v>45352</v>
      </c>
      <c r="AB40" s="13" t="s">
        <v>654</v>
      </c>
      <c r="AC40" s="13">
        <v>570</v>
      </c>
      <c r="AD40" s="13">
        <v>606.29998779296875</v>
      </c>
      <c r="AE40" s="13">
        <v>529.45001220703125</v>
      </c>
      <c r="AF40" s="13">
        <v>536.45001220703125</v>
      </c>
      <c r="AG40" s="13">
        <v>67378799</v>
      </c>
      <c r="AH40" s="13">
        <v>484.69000244140625</v>
      </c>
      <c r="AI40" s="13">
        <v>604.48977607759298</v>
      </c>
      <c r="AJ40" s="13">
        <v>364.89022880521952</v>
      </c>
      <c r="AM40" s="26">
        <v>45362</v>
      </c>
      <c r="AN40" s="13" t="s">
        <v>654</v>
      </c>
      <c r="AO40" s="13">
        <v>597.95001220703125</v>
      </c>
      <c r="AP40" s="13">
        <v>602.4000244140625</v>
      </c>
      <c r="AQ40" s="13">
        <v>529.45001220703125</v>
      </c>
      <c r="AR40" s="13">
        <v>536.45001220703125</v>
      </c>
      <c r="AS40" s="13">
        <v>27196640</v>
      </c>
      <c r="AT40" s="13">
        <v>575.8700073242187</v>
      </c>
      <c r="AU40" s="13">
        <v>617.53310693925391</v>
      </c>
      <c r="AV40" s="13">
        <v>534.2069077091835</v>
      </c>
    </row>
    <row r="41" spans="1:49" x14ac:dyDescent="0.3">
      <c r="A41" s="26">
        <v>45352</v>
      </c>
      <c r="B41" s="13" t="s">
        <v>655</v>
      </c>
      <c r="C41" s="13">
        <v>785.3499755859375</v>
      </c>
      <c r="D41" s="13">
        <v>801</v>
      </c>
      <c r="E41" s="13">
        <v>717.95001220703125</v>
      </c>
      <c r="F41" s="13">
        <v>721.45001220703125</v>
      </c>
      <c r="G41" s="13">
        <v>3349363</v>
      </c>
      <c r="H41" s="13">
        <v>777.60000610351563</v>
      </c>
      <c r="I41" s="13">
        <v>817.00810682953966</v>
      </c>
      <c r="J41" s="13">
        <v>738.19190537749159</v>
      </c>
      <c r="M41" s="26">
        <v>45362</v>
      </c>
      <c r="N41" s="13" t="s">
        <v>655</v>
      </c>
      <c r="O41" s="13">
        <v>783.0999755859375</v>
      </c>
      <c r="P41" s="13">
        <v>787.70001220703125</v>
      </c>
      <c r="Q41" s="13">
        <v>717.95001220703125</v>
      </c>
      <c r="R41" s="13">
        <v>721.45001220703125</v>
      </c>
      <c r="S41" s="13">
        <v>1332655</v>
      </c>
      <c r="T41" s="13">
        <v>783.40500488281248</v>
      </c>
      <c r="U41" s="13">
        <v>817.17013297234757</v>
      </c>
      <c r="V41" s="13">
        <v>749.63987679327738</v>
      </c>
      <c r="AA41" s="26">
        <v>45352</v>
      </c>
      <c r="AB41" s="13" t="s">
        <v>655</v>
      </c>
      <c r="AC41" s="13">
        <v>785.3499755859375</v>
      </c>
      <c r="AD41" s="13">
        <v>801</v>
      </c>
      <c r="AE41" s="13">
        <v>717.95001220703125</v>
      </c>
      <c r="AF41" s="13">
        <v>721.45001220703125</v>
      </c>
      <c r="AG41" s="13">
        <v>3349363</v>
      </c>
      <c r="AH41" s="13">
        <v>766.21000976562505</v>
      </c>
      <c r="AI41" s="13">
        <v>811.17912305465165</v>
      </c>
      <c r="AJ41" s="13">
        <v>721.24089647659844</v>
      </c>
      <c r="AM41" s="26">
        <v>45362</v>
      </c>
      <c r="AN41" s="13" t="s">
        <v>655</v>
      </c>
      <c r="AO41" s="13">
        <v>783.0999755859375</v>
      </c>
      <c r="AP41" s="13">
        <v>787.70001220703125</v>
      </c>
      <c r="AQ41" s="13">
        <v>717.95001220703125</v>
      </c>
      <c r="AR41" s="13">
        <v>721.45001220703125</v>
      </c>
      <c r="AS41" s="13">
        <v>1332655</v>
      </c>
      <c r="AT41" s="13">
        <v>781.5</v>
      </c>
      <c r="AU41" s="13">
        <v>843.12206683563079</v>
      </c>
      <c r="AV41" s="13">
        <v>719.87793316436921</v>
      </c>
    </row>
    <row r="42" spans="1:49" x14ac:dyDescent="0.3">
      <c r="A42" s="26">
        <v>45352</v>
      </c>
      <c r="B42" s="13" t="s">
        <v>656</v>
      </c>
      <c r="C42" s="13">
        <v>354</v>
      </c>
      <c r="D42" s="13">
        <v>378.39999389648438</v>
      </c>
      <c r="E42" s="13">
        <v>335.20001220703125</v>
      </c>
      <c r="F42" s="13">
        <v>337.75</v>
      </c>
      <c r="G42" s="13">
        <v>16719837</v>
      </c>
      <c r="H42" s="13">
        <v>349.51499938964844</v>
      </c>
      <c r="I42" s="13">
        <v>399.57538737422198</v>
      </c>
      <c r="J42" s="13">
        <v>299.4546114050749</v>
      </c>
      <c r="M42" s="26">
        <v>45362</v>
      </c>
      <c r="N42" s="13" t="s">
        <v>656</v>
      </c>
      <c r="O42" s="13">
        <v>375.89999389648438</v>
      </c>
      <c r="P42" s="13">
        <v>378</v>
      </c>
      <c r="Q42" s="13">
        <v>335.20001220703125</v>
      </c>
      <c r="R42" s="13">
        <v>337.75</v>
      </c>
      <c r="S42" s="13">
        <v>5680308</v>
      </c>
      <c r="T42" s="13">
        <v>360.89499816894534</v>
      </c>
      <c r="U42" s="13">
        <v>371.22948363598465</v>
      </c>
      <c r="V42" s="13">
        <v>350.56051270190602</v>
      </c>
      <c r="W42" s="13" t="s">
        <v>404</v>
      </c>
      <c r="AA42" s="26">
        <v>45352</v>
      </c>
      <c r="AB42" s="13" t="s">
        <v>656</v>
      </c>
      <c r="AC42" s="13">
        <v>354</v>
      </c>
      <c r="AD42" s="13">
        <v>378.39999389648438</v>
      </c>
      <c r="AE42" s="13">
        <v>335.20001220703125</v>
      </c>
      <c r="AF42" s="13">
        <v>337.75</v>
      </c>
      <c r="AG42" s="13">
        <v>16719837</v>
      </c>
      <c r="AH42" s="13">
        <v>349.45999755859373</v>
      </c>
      <c r="AI42" s="13">
        <v>389.3523715789579</v>
      </c>
      <c r="AJ42" s="13">
        <v>309.56762353822955</v>
      </c>
      <c r="AM42" s="26">
        <v>45362</v>
      </c>
      <c r="AN42" s="13" t="s">
        <v>656</v>
      </c>
      <c r="AO42" s="13">
        <v>375.89999389648438</v>
      </c>
      <c r="AP42" s="13">
        <v>378</v>
      </c>
      <c r="AQ42" s="13">
        <v>335.20001220703125</v>
      </c>
      <c r="AR42" s="13">
        <v>337.75</v>
      </c>
      <c r="AS42" s="13">
        <v>5680308</v>
      </c>
      <c r="AT42" s="13">
        <v>360.2</v>
      </c>
      <c r="AU42" s="13">
        <v>385.86039730296773</v>
      </c>
      <c r="AV42" s="13">
        <v>334.53960269703225</v>
      </c>
    </row>
    <row r="43" spans="1:49" x14ac:dyDescent="0.3">
      <c r="A43" s="26">
        <v>45352</v>
      </c>
      <c r="B43" s="13" t="s">
        <v>657</v>
      </c>
      <c r="C43" s="13">
        <v>1090.050048828125</v>
      </c>
      <c r="D43" s="13">
        <v>1107.9000244140625</v>
      </c>
      <c r="E43" s="13">
        <v>1011.2000122070313</v>
      </c>
      <c r="F43" s="13">
        <v>1048.300048828125</v>
      </c>
      <c r="G43" s="13">
        <v>17826818</v>
      </c>
      <c r="H43" s="13">
        <v>1156.1100158691406</v>
      </c>
      <c r="I43" s="13">
        <v>1281.1940749710375</v>
      </c>
      <c r="J43" s="13">
        <v>1031.0259567672438</v>
      </c>
      <c r="M43" s="26">
        <v>45362</v>
      </c>
      <c r="N43" s="13" t="s">
        <v>657</v>
      </c>
      <c r="O43" s="13">
        <v>1092</v>
      </c>
      <c r="P43" s="13">
        <v>1107.9000244140625</v>
      </c>
      <c r="Q43" s="13">
        <v>1035.8499755859375</v>
      </c>
      <c r="R43" s="13">
        <v>1048.300048828125</v>
      </c>
      <c r="S43" s="13">
        <v>6334343</v>
      </c>
      <c r="T43" s="13">
        <v>1091.1150085449219</v>
      </c>
      <c r="U43" s="13">
        <v>1143.1145839131887</v>
      </c>
      <c r="V43" s="13">
        <v>1039.1154331766552</v>
      </c>
      <c r="AA43" s="26">
        <v>45352</v>
      </c>
      <c r="AB43" s="13" t="s">
        <v>657</v>
      </c>
      <c r="AC43" s="13">
        <v>1090.050048828125</v>
      </c>
      <c r="AD43" s="13">
        <v>1107.9000244140625</v>
      </c>
      <c r="AE43" s="13">
        <v>1011.2000122070313</v>
      </c>
      <c r="AF43" s="13">
        <v>1048.300048828125</v>
      </c>
      <c r="AG43" s="13">
        <v>17826818</v>
      </c>
      <c r="AH43" s="13">
        <v>1139.7800048828126</v>
      </c>
      <c r="AI43" s="13">
        <v>1288.908312252649</v>
      </c>
      <c r="AJ43" s="13">
        <v>990.65169751297606</v>
      </c>
      <c r="AM43" s="26">
        <v>45362</v>
      </c>
      <c r="AN43" s="13" t="s">
        <v>657</v>
      </c>
      <c r="AO43" s="13">
        <v>1092</v>
      </c>
      <c r="AP43" s="13">
        <v>1107.9000244140625</v>
      </c>
      <c r="AQ43" s="13">
        <v>1035.8499755859375</v>
      </c>
      <c r="AR43" s="13">
        <v>1048.300048828125</v>
      </c>
      <c r="AS43" s="13">
        <v>6334343</v>
      </c>
      <c r="AT43" s="13">
        <v>1095.3600097656249</v>
      </c>
      <c r="AU43" s="13">
        <v>1157.5093967013527</v>
      </c>
      <c r="AV43" s="13">
        <v>1033.2106228298971</v>
      </c>
    </row>
    <row r="44" spans="1:49" x14ac:dyDescent="0.3">
      <c r="A44" s="26">
        <v>45352</v>
      </c>
      <c r="B44" s="13" t="s">
        <v>658</v>
      </c>
      <c r="C44" s="13">
        <v>1494</v>
      </c>
      <c r="D44" s="13">
        <v>1519</v>
      </c>
      <c r="E44" s="13">
        <v>1448.1500244140625</v>
      </c>
      <c r="F44" s="13">
        <v>1471.25</v>
      </c>
      <c r="G44" s="13">
        <v>12922492</v>
      </c>
      <c r="H44" s="13">
        <v>1339.2650024414063</v>
      </c>
      <c r="I44" s="13">
        <v>1545.3615327974694</v>
      </c>
      <c r="J44" s="13">
        <v>1133.1684720853432</v>
      </c>
      <c r="M44" s="26">
        <v>45362</v>
      </c>
      <c r="N44" s="13" t="s">
        <v>658</v>
      </c>
      <c r="O44" s="13">
        <v>1493</v>
      </c>
      <c r="P44" s="13">
        <v>1519</v>
      </c>
      <c r="Q44" s="13">
        <v>1449</v>
      </c>
      <c r="R44" s="13">
        <v>1471.25</v>
      </c>
      <c r="S44" s="13">
        <v>5759802</v>
      </c>
      <c r="T44" s="13">
        <v>1463.3750122070312</v>
      </c>
      <c r="U44" s="13">
        <v>1497.0786090251349</v>
      </c>
      <c r="V44" s="13">
        <v>1429.6714153889275</v>
      </c>
      <c r="AA44" s="26">
        <v>45352</v>
      </c>
      <c r="AB44" s="13" t="s">
        <v>658</v>
      </c>
      <c r="AC44" s="13">
        <v>1494</v>
      </c>
      <c r="AD44" s="13">
        <v>1519</v>
      </c>
      <c r="AE44" s="13">
        <v>1448.1500244140625</v>
      </c>
      <c r="AF44" s="13">
        <v>1471.25</v>
      </c>
      <c r="AG44" s="13">
        <v>12922492</v>
      </c>
      <c r="AH44" s="13">
        <v>1352.2400146484374</v>
      </c>
      <c r="AI44" s="13">
        <v>1573.8406405192404</v>
      </c>
      <c r="AJ44" s="13">
        <v>1130.6393887776344</v>
      </c>
      <c r="AM44" s="26">
        <v>45362</v>
      </c>
      <c r="AN44" s="13" t="s">
        <v>658</v>
      </c>
      <c r="AO44" s="13">
        <v>1493</v>
      </c>
      <c r="AP44" s="13">
        <v>1519</v>
      </c>
      <c r="AQ44" s="13">
        <v>1449</v>
      </c>
      <c r="AR44" s="13">
        <v>1471.25</v>
      </c>
      <c r="AS44" s="13">
        <v>5759802</v>
      </c>
      <c r="AT44" s="13">
        <v>1466.4800048828124</v>
      </c>
      <c r="AU44" s="13">
        <v>1494.5484432926855</v>
      </c>
      <c r="AV44" s="13">
        <v>1438.4115664729393</v>
      </c>
    </row>
    <row r="45" spans="1:49" x14ac:dyDescent="0.3">
      <c r="A45" s="26">
        <v>45352</v>
      </c>
      <c r="B45" s="13" t="s">
        <v>659</v>
      </c>
      <c r="C45" s="13">
        <v>438</v>
      </c>
      <c r="D45" s="13">
        <v>465.39999389648438</v>
      </c>
      <c r="E45" s="13">
        <v>410</v>
      </c>
      <c r="F45" s="13">
        <v>417.04998779296875</v>
      </c>
      <c r="G45" s="13">
        <v>87771124</v>
      </c>
      <c r="H45" s="13">
        <v>393.89499816894534</v>
      </c>
      <c r="I45" s="13">
        <v>480.19766593068391</v>
      </c>
      <c r="J45" s="13">
        <v>307.59233040720676</v>
      </c>
      <c r="M45" s="26">
        <v>45362</v>
      </c>
      <c r="N45" s="13" t="s">
        <v>659</v>
      </c>
      <c r="O45" s="13">
        <v>461</v>
      </c>
      <c r="P45" s="13">
        <v>462.85000610351563</v>
      </c>
      <c r="Q45" s="13">
        <v>410</v>
      </c>
      <c r="R45" s="13">
        <v>417.04998779296875</v>
      </c>
      <c r="S45" s="13">
        <v>34034022</v>
      </c>
      <c r="T45" s="13">
        <v>449.42999877929685</v>
      </c>
      <c r="U45" s="13">
        <v>468.62746008047992</v>
      </c>
      <c r="V45" s="13">
        <v>430.23253747811378</v>
      </c>
      <c r="AA45" s="26">
        <v>45352</v>
      </c>
      <c r="AB45" s="13" t="s">
        <v>659</v>
      </c>
      <c r="AC45" s="13">
        <v>438</v>
      </c>
      <c r="AD45" s="13">
        <v>465.39999389648438</v>
      </c>
      <c r="AE45" s="13">
        <v>410</v>
      </c>
      <c r="AF45" s="13">
        <v>417.04998779296875</v>
      </c>
      <c r="AG45" s="13">
        <v>87771124</v>
      </c>
      <c r="AH45" s="13">
        <v>395.60999755859376</v>
      </c>
      <c r="AI45" s="13">
        <v>461.95261133684312</v>
      </c>
      <c r="AJ45" s="13">
        <v>329.2673837803444</v>
      </c>
      <c r="AM45" s="26">
        <v>45362</v>
      </c>
      <c r="AN45" s="13" t="s">
        <v>659</v>
      </c>
      <c r="AO45" s="13">
        <v>461</v>
      </c>
      <c r="AP45" s="13">
        <v>462.85000610351563</v>
      </c>
      <c r="AQ45" s="13">
        <v>410</v>
      </c>
      <c r="AR45" s="13">
        <v>417.04998779296875</v>
      </c>
      <c r="AS45" s="13">
        <v>34034022</v>
      </c>
      <c r="AT45" s="13">
        <v>449.17999877929685</v>
      </c>
      <c r="AU45" s="13">
        <v>490.2344399940697</v>
      </c>
      <c r="AV45" s="13">
        <v>408.125557564524</v>
      </c>
    </row>
    <row r="46" spans="1:49" x14ac:dyDescent="0.3">
      <c r="A46" s="26">
        <v>45352</v>
      </c>
      <c r="B46" s="13" t="s">
        <v>660</v>
      </c>
      <c r="C46" s="13">
        <v>6586.75</v>
      </c>
      <c r="D46" s="13">
        <v>6624.85009765625</v>
      </c>
      <c r="E46" s="13">
        <v>6113.7001953125</v>
      </c>
      <c r="F46" s="13">
        <v>6173.60009765625</v>
      </c>
      <c r="G46" s="13">
        <v>2978187</v>
      </c>
      <c r="H46" s="13">
        <v>6116.6650390625</v>
      </c>
      <c r="I46" s="13">
        <v>6889.6426323258092</v>
      </c>
      <c r="J46" s="13">
        <v>5343.6874457991908</v>
      </c>
      <c r="M46" s="26">
        <v>45362</v>
      </c>
      <c r="N46" s="13" t="s">
        <v>660</v>
      </c>
      <c r="O46" s="13">
        <v>6280</v>
      </c>
      <c r="P46" s="13">
        <v>6346.60009765625</v>
      </c>
      <c r="Q46" s="13">
        <v>6120</v>
      </c>
      <c r="R46" s="13">
        <v>6173.60009765625</v>
      </c>
      <c r="S46" s="13">
        <v>1128149</v>
      </c>
      <c r="T46" s="13">
        <v>6468.4200195312496</v>
      </c>
      <c r="U46" s="13">
        <v>6795.1248181011697</v>
      </c>
      <c r="V46" s="13">
        <v>6141.7152209613296</v>
      </c>
      <c r="AA46" s="26">
        <v>45352</v>
      </c>
      <c r="AB46" s="13" t="s">
        <v>660</v>
      </c>
      <c r="AC46" s="13">
        <v>6586.75</v>
      </c>
      <c r="AD46" s="13">
        <v>6624.85009765625</v>
      </c>
      <c r="AE46" s="13">
        <v>6113.7001953125</v>
      </c>
      <c r="AF46" s="13">
        <v>6173.60009765625</v>
      </c>
      <c r="AG46" s="13">
        <v>2978187</v>
      </c>
      <c r="AH46" s="13">
        <v>6202.6</v>
      </c>
      <c r="AI46" s="13">
        <v>6713.9999773370882</v>
      </c>
      <c r="AJ46" s="13">
        <v>5691.2000226629125</v>
      </c>
      <c r="AM46" s="26">
        <v>45362</v>
      </c>
      <c r="AN46" s="13" t="s">
        <v>660</v>
      </c>
      <c r="AO46" s="13">
        <v>6280</v>
      </c>
      <c r="AP46" s="13">
        <v>6346.60009765625</v>
      </c>
      <c r="AQ46" s="13">
        <v>6120</v>
      </c>
      <c r="AR46" s="13">
        <v>6173.60009765625</v>
      </c>
      <c r="AS46" s="13">
        <v>1128149</v>
      </c>
      <c r="AT46" s="13">
        <v>6440.6800781250004</v>
      </c>
      <c r="AU46" s="13">
        <v>6828.7228014574985</v>
      </c>
      <c r="AV46" s="13">
        <v>6052.6373547925023</v>
      </c>
    </row>
    <row r="47" spans="1:49" x14ac:dyDescent="0.3">
      <c r="A47" s="26">
        <v>45352</v>
      </c>
      <c r="B47" s="13" t="s">
        <v>661</v>
      </c>
      <c r="C47" s="13">
        <v>2534</v>
      </c>
      <c r="D47" s="13">
        <v>2660</v>
      </c>
      <c r="E47" s="13">
        <v>2505</v>
      </c>
      <c r="F47" s="13">
        <v>2572.39990234375</v>
      </c>
      <c r="G47" s="13">
        <v>1645944</v>
      </c>
      <c r="H47" s="13">
        <v>2426.0649902343748</v>
      </c>
      <c r="I47" s="13">
        <v>2736.5841115737749</v>
      </c>
      <c r="J47" s="13">
        <v>2115.5458688949748</v>
      </c>
      <c r="M47" s="26">
        <v>45362</v>
      </c>
      <c r="N47" s="13" t="s">
        <v>661</v>
      </c>
      <c r="O47" s="13">
        <v>2600</v>
      </c>
      <c r="P47" s="13">
        <v>2660</v>
      </c>
      <c r="Q47" s="13">
        <v>2538</v>
      </c>
      <c r="R47" s="13">
        <v>2572.39990234375</v>
      </c>
      <c r="S47" s="13">
        <v>858820</v>
      </c>
      <c r="T47" s="13">
        <v>2555.625</v>
      </c>
      <c r="U47" s="13">
        <v>2608.7374017782781</v>
      </c>
      <c r="V47" s="13">
        <v>2502.5125982217219</v>
      </c>
      <c r="AA47" s="26">
        <v>45352</v>
      </c>
      <c r="AB47" s="13" t="s">
        <v>661</v>
      </c>
      <c r="AC47" s="13">
        <v>2534</v>
      </c>
      <c r="AD47" s="13">
        <v>2660</v>
      </c>
      <c r="AE47" s="13">
        <v>2505</v>
      </c>
      <c r="AF47" s="13">
        <v>2572.39990234375</v>
      </c>
      <c r="AG47" s="13">
        <v>1645944</v>
      </c>
      <c r="AH47" s="13">
        <v>2478.8299804687499</v>
      </c>
      <c r="AI47" s="13">
        <v>2764.0216212835585</v>
      </c>
      <c r="AJ47" s="13">
        <v>2193.6383396539413</v>
      </c>
      <c r="AM47" s="26">
        <v>45362</v>
      </c>
      <c r="AN47" s="13" t="s">
        <v>661</v>
      </c>
      <c r="AO47" s="13">
        <v>2600</v>
      </c>
      <c r="AP47" s="13">
        <v>2660</v>
      </c>
      <c r="AQ47" s="13">
        <v>2538</v>
      </c>
      <c r="AR47" s="13">
        <v>2572.39990234375</v>
      </c>
      <c r="AS47" s="13">
        <v>858820</v>
      </c>
      <c r="AT47" s="13">
        <v>2562.3499511718751</v>
      </c>
      <c r="AU47" s="13">
        <v>2599.0932589705963</v>
      </c>
      <c r="AV47" s="13">
        <v>2525.6066433731539</v>
      </c>
      <c r="AW47" s="13" t="s">
        <v>404</v>
      </c>
    </row>
    <row r="48" spans="1:49" x14ac:dyDescent="0.3">
      <c r="A48" s="26">
        <v>45352</v>
      </c>
      <c r="B48" s="13" t="s">
        <v>662</v>
      </c>
      <c r="C48" s="13">
        <v>983.79998779296875</v>
      </c>
      <c r="D48" s="13">
        <v>990.75</v>
      </c>
      <c r="E48" s="13">
        <v>853.0999755859375</v>
      </c>
      <c r="F48" s="13">
        <v>862.45001220703125</v>
      </c>
      <c r="G48" s="13">
        <v>11878094</v>
      </c>
      <c r="H48" s="13">
        <v>859.1200073242187</v>
      </c>
      <c r="I48" s="13">
        <v>1017.9980108314319</v>
      </c>
      <c r="J48" s="13">
        <v>700.24200381700552</v>
      </c>
      <c r="M48" s="26">
        <v>45362</v>
      </c>
      <c r="N48" s="13" t="s">
        <v>662</v>
      </c>
      <c r="O48" s="13">
        <v>964.70001220703125</v>
      </c>
      <c r="P48" s="13">
        <v>971.5999755859375</v>
      </c>
      <c r="Q48" s="13">
        <v>853.0999755859375</v>
      </c>
      <c r="R48" s="13">
        <v>862.45001220703125</v>
      </c>
      <c r="S48" s="13">
        <v>6286876</v>
      </c>
      <c r="T48" s="13">
        <v>959.01499633789058</v>
      </c>
      <c r="U48" s="13">
        <v>1017.9973688916549</v>
      </c>
      <c r="V48" s="13">
        <v>900.03262378412626</v>
      </c>
      <c r="AA48" s="26">
        <v>45352</v>
      </c>
      <c r="AB48" s="13" t="s">
        <v>662</v>
      </c>
      <c r="AC48" s="13">
        <v>983.79998779296875</v>
      </c>
      <c r="AD48" s="13">
        <v>990.75</v>
      </c>
      <c r="AE48" s="13">
        <v>853.0999755859375</v>
      </c>
      <c r="AF48" s="13">
        <v>862.45001220703125</v>
      </c>
      <c r="AG48" s="13">
        <v>11878094</v>
      </c>
      <c r="AH48" s="13">
        <v>872.60001220703123</v>
      </c>
      <c r="AI48" s="13">
        <v>1001.6188921806573</v>
      </c>
      <c r="AJ48" s="13">
        <v>743.58113223340513</v>
      </c>
      <c r="AM48" s="26">
        <v>45362</v>
      </c>
      <c r="AN48" s="13" t="s">
        <v>662</v>
      </c>
      <c r="AO48" s="13">
        <v>964.70001220703125</v>
      </c>
      <c r="AP48" s="13">
        <v>971.5999755859375</v>
      </c>
      <c r="AQ48" s="13">
        <v>853.0999755859375</v>
      </c>
      <c r="AR48" s="13">
        <v>862.45001220703125</v>
      </c>
      <c r="AS48" s="13">
        <v>6286876</v>
      </c>
      <c r="AT48" s="13">
        <v>958.19000244140625</v>
      </c>
      <c r="AU48" s="13">
        <v>1057.3894174649647</v>
      </c>
      <c r="AV48" s="13">
        <v>858.99058741784779</v>
      </c>
    </row>
    <row r="49" spans="1:49" x14ac:dyDescent="0.3">
      <c r="A49" s="26">
        <v>45352</v>
      </c>
      <c r="B49" s="13" t="s">
        <v>663</v>
      </c>
      <c r="C49" s="13">
        <v>1081.9000244140625</v>
      </c>
      <c r="D49" s="13">
        <v>1130.0999755859375</v>
      </c>
      <c r="E49" s="13">
        <v>1066.1500244140625</v>
      </c>
      <c r="F49" s="13">
        <v>1076.75</v>
      </c>
      <c r="G49" s="13">
        <v>3341123</v>
      </c>
      <c r="H49" s="13">
        <v>1128.4199951171875</v>
      </c>
      <c r="I49" s="13">
        <v>1228.5131236393036</v>
      </c>
      <c r="J49" s="13">
        <v>1028.3268665950714</v>
      </c>
      <c r="M49" s="26">
        <v>45362</v>
      </c>
      <c r="N49" s="13" t="s">
        <v>663</v>
      </c>
      <c r="O49" s="13">
        <v>1122</v>
      </c>
      <c r="P49" s="13">
        <v>1130.0999755859375</v>
      </c>
      <c r="Q49" s="13">
        <v>1067.800048828125</v>
      </c>
      <c r="R49" s="13">
        <v>1076.75</v>
      </c>
      <c r="S49" s="13">
        <v>1359081</v>
      </c>
      <c r="T49" s="13">
        <v>1090.3450073242188</v>
      </c>
      <c r="U49" s="13">
        <v>1119.0942561238671</v>
      </c>
      <c r="V49" s="13">
        <v>1061.5957585245706</v>
      </c>
      <c r="W49" s="13" t="s">
        <v>404</v>
      </c>
      <c r="AA49" s="26">
        <v>45352</v>
      </c>
      <c r="AB49" s="13" t="s">
        <v>663</v>
      </c>
      <c r="AC49" s="13">
        <v>1081.9000244140625</v>
      </c>
      <c r="AD49" s="13">
        <v>1130.0999755859375</v>
      </c>
      <c r="AE49" s="13">
        <v>1066.1500244140625</v>
      </c>
      <c r="AF49" s="13">
        <v>1076.75</v>
      </c>
      <c r="AG49" s="13">
        <v>3341123</v>
      </c>
      <c r="AH49" s="13">
        <v>1123.5400146484376</v>
      </c>
      <c r="AI49" s="13">
        <v>1272.7502732602388</v>
      </c>
      <c r="AJ49" s="13">
        <v>974.32975603663647</v>
      </c>
      <c r="AM49" s="26">
        <v>45362</v>
      </c>
      <c r="AN49" s="13" t="s">
        <v>663</v>
      </c>
      <c r="AO49" s="13">
        <v>1122</v>
      </c>
      <c r="AP49" s="13">
        <v>1130.0999755859375</v>
      </c>
      <c r="AQ49" s="13">
        <v>1067.800048828125</v>
      </c>
      <c r="AR49" s="13">
        <v>1076.75</v>
      </c>
      <c r="AS49" s="13">
        <v>1359081</v>
      </c>
      <c r="AT49" s="13">
        <v>1089.939990234375</v>
      </c>
      <c r="AU49" s="13">
        <v>1116.1911566073729</v>
      </c>
      <c r="AV49" s="13">
        <v>1063.6888238613772</v>
      </c>
      <c r="AW49" s="13" t="s">
        <v>404</v>
      </c>
    </row>
    <row r="50" spans="1:49" x14ac:dyDescent="0.3">
      <c r="A50" s="26">
        <v>45352</v>
      </c>
      <c r="B50" s="13" t="s">
        <v>664</v>
      </c>
      <c r="C50" s="13">
        <v>292.35000610351563</v>
      </c>
      <c r="D50" s="13">
        <v>302.85000610351563</v>
      </c>
      <c r="E50" s="13">
        <v>274.54998779296875</v>
      </c>
      <c r="F50" s="13">
        <v>277.14999389648438</v>
      </c>
      <c r="G50" s="13">
        <v>18424054</v>
      </c>
      <c r="H50" s="13">
        <v>295.42999877929685</v>
      </c>
      <c r="I50" s="13">
        <v>313.85302438811573</v>
      </c>
      <c r="J50" s="13">
        <v>277.00697317047798</v>
      </c>
      <c r="M50" s="26">
        <v>45362</v>
      </c>
      <c r="N50" s="13" t="s">
        <v>664</v>
      </c>
      <c r="O50" s="13">
        <v>291.89999389648438</v>
      </c>
      <c r="P50" s="13">
        <v>293.14999389648438</v>
      </c>
      <c r="Q50" s="13">
        <v>274.54998779296875</v>
      </c>
      <c r="R50" s="13">
        <v>277.14999389648438</v>
      </c>
      <c r="S50" s="13">
        <v>7198665</v>
      </c>
      <c r="T50" s="13">
        <v>289.32999877929689</v>
      </c>
      <c r="U50" s="13">
        <v>298.42359882505144</v>
      </c>
      <c r="V50" s="13">
        <v>280.23639873354233</v>
      </c>
      <c r="AA50" s="26">
        <v>45352</v>
      </c>
      <c r="AB50" s="13" t="s">
        <v>664</v>
      </c>
      <c r="AC50" s="13">
        <v>292.35000610351563</v>
      </c>
      <c r="AD50" s="13">
        <v>302.85000610351563</v>
      </c>
      <c r="AE50" s="13">
        <v>274.54998779296875</v>
      </c>
      <c r="AF50" s="13">
        <v>277.14999389648438</v>
      </c>
      <c r="AG50" s="13">
        <v>18424054</v>
      </c>
      <c r="AH50" s="13">
        <v>293.39000244140624</v>
      </c>
      <c r="AI50" s="13">
        <v>317.6992930413586</v>
      </c>
      <c r="AJ50" s="13">
        <v>269.08071184145388</v>
      </c>
      <c r="AM50" s="26">
        <v>45362</v>
      </c>
      <c r="AN50" s="13" t="s">
        <v>664</v>
      </c>
      <c r="AO50" s="13">
        <v>291.89999389648438</v>
      </c>
      <c r="AP50" s="13">
        <v>293.14999389648438</v>
      </c>
      <c r="AQ50" s="13">
        <v>274.54998779296875</v>
      </c>
      <c r="AR50" s="13">
        <v>277.14999389648438</v>
      </c>
      <c r="AS50" s="13">
        <v>7198665</v>
      </c>
      <c r="AT50" s="13">
        <v>288.32999267578123</v>
      </c>
      <c r="AU50" s="13">
        <v>301.67444689461399</v>
      </c>
      <c r="AV50" s="13">
        <v>274.98553845694846</v>
      </c>
    </row>
    <row r="51" spans="1:49" x14ac:dyDescent="0.3">
      <c r="A51" s="26">
        <v>45352</v>
      </c>
      <c r="B51" s="13" t="s">
        <v>665</v>
      </c>
      <c r="C51" s="13">
        <v>135.69999694824219</v>
      </c>
      <c r="D51" s="13">
        <v>140.25</v>
      </c>
      <c r="E51" s="13">
        <v>126.25</v>
      </c>
      <c r="F51" s="13">
        <v>126.80000305175781</v>
      </c>
      <c r="G51" s="13">
        <v>23870433</v>
      </c>
      <c r="H51" s="13">
        <v>143.73000030517579</v>
      </c>
      <c r="I51" s="13">
        <v>159.68278472780872</v>
      </c>
      <c r="J51" s="13">
        <v>127.77721588254286</v>
      </c>
      <c r="M51" s="26">
        <v>45362</v>
      </c>
      <c r="N51" s="13" t="s">
        <v>665</v>
      </c>
      <c r="O51" s="13">
        <v>137.05000305175781</v>
      </c>
      <c r="P51" s="13">
        <v>137.10000610351563</v>
      </c>
      <c r="Q51" s="13">
        <v>126.25</v>
      </c>
      <c r="R51" s="13">
        <v>126.80000305175781</v>
      </c>
      <c r="S51" s="13">
        <v>8279053</v>
      </c>
      <c r="T51" s="13">
        <v>135.35500030517579</v>
      </c>
      <c r="U51" s="13">
        <v>139.46953308901769</v>
      </c>
      <c r="V51" s="13">
        <v>131.2404675213339</v>
      </c>
      <c r="AA51" s="26">
        <v>45352</v>
      </c>
      <c r="AB51" s="13" t="s">
        <v>665</v>
      </c>
      <c r="AC51" s="13">
        <v>135.69999694824219</v>
      </c>
      <c r="AD51" s="13">
        <v>140.25</v>
      </c>
      <c r="AE51" s="13">
        <v>126.25</v>
      </c>
      <c r="AF51" s="13">
        <v>126.80000305175781</v>
      </c>
      <c r="AG51" s="13">
        <v>23870433</v>
      </c>
      <c r="AH51" s="13">
        <v>140.43999938964845</v>
      </c>
      <c r="AI51" s="13">
        <v>156.98392876627616</v>
      </c>
      <c r="AJ51" s="13">
        <v>123.89607001302072</v>
      </c>
      <c r="AM51" s="26">
        <v>45362</v>
      </c>
      <c r="AN51" s="13" t="s">
        <v>665</v>
      </c>
      <c r="AO51" s="13">
        <v>137.05000305175781</v>
      </c>
      <c r="AP51" s="13">
        <v>137.10000610351563</v>
      </c>
      <c r="AQ51" s="13">
        <v>126.25</v>
      </c>
      <c r="AR51" s="13">
        <v>126.80000305175781</v>
      </c>
      <c r="AS51" s="13">
        <v>8279053</v>
      </c>
      <c r="AT51" s="13">
        <v>135.23000183105469</v>
      </c>
      <c r="AU51" s="13">
        <v>144.17887971767968</v>
      </c>
      <c r="AV51" s="13">
        <v>126.28112394442971</v>
      </c>
    </row>
    <row r="52" spans="1:49" x14ac:dyDescent="0.3">
      <c r="A52" s="26">
        <v>45352</v>
      </c>
      <c r="B52" s="13" t="s">
        <v>666</v>
      </c>
      <c r="C52" s="13">
        <v>2749</v>
      </c>
      <c r="D52" s="13">
        <v>2891.949951171875</v>
      </c>
      <c r="E52" s="13">
        <v>2652</v>
      </c>
      <c r="F52" s="13">
        <v>2675.949951171875</v>
      </c>
      <c r="G52" s="13">
        <v>4497223</v>
      </c>
      <c r="H52" s="13">
        <v>2228.5450073242187</v>
      </c>
      <c r="I52" s="13">
        <v>2961.2227285149879</v>
      </c>
      <c r="J52" s="13">
        <v>1495.8672861334494</v>
      </c>
      <c r="M52" s="26">
        <v>45362</v>
      </c>
      <c r="N52" s="13" t="s">
        <v>666</v>
      </c>
      <c r="O52" s="13">
        <v>2823.85009765625</v>
      </c>
      <c r="P52" s="13">
        <v>2891.949951171875</v>
      </c>
      <c r="Q52" s="13">
        <v>2652</v>
      </c>
      <c r="R52" s="13">
        <v>2675.949951171875</v>
      </c>
      <c r="S52" s="13">
        <v>2082916</v>
      </c>
      <c r="T52" s="13">
        <v>2712.4149902343752</v>
      </c>
      <c r="U52" s="13">
        <v>2855.2895299065231</v>
      </c>
      <c r="V52" s="13">
        <v>2569.5404505622273</v>
      </c>
      <c r="AA52" s="26">
        <v>45352</v>
      </c>
      <c r="AB52" s="13" t="s">
        <v>666</v>
      </c>
      <c r="AC52" s="13">
        <v>2749</v>
      </c>
      <c r="AD52" s="13">
        <v>2891.949951171875</v>
      </c>
      <c r="AE52" s="13">
        <v>2652</v>
      </c>
      <c r="AF52" s="13">
        <v>2675.949951171875</v>
      </c>
      <c r="AG52" s="13">
        <v>4497223</v>
      </c>
      <c r="AH52" s="13">
        <v>2316.2999755859373</v>
      </c>
      <c r="AI52" s="13">
        <v>3008.0767848502801</v>
      </c>
      <c r="AJ52" s="13">
        <v>1624.5231663215948</v>
      </c>
      <c r="AM52" s="26">
        <v>45362</v>
      </c>
      <c r="AN52" s="13" t="s">
        <v>666</v>
      </c>
      <c r="AO52" s="13">
        <v>2823.85009765625</v>
      </c>
      <c r="AP52" s="13">
        <v>2891.949951171875</v>
      </c>
      <c r="AQ52" s="13">
        <v>2652</v>
      </c>
      <c r="AR52" s="13">
        <v>2675.949951171875</v>
      </c>
      <c r="AS52" s="13">
        <v>2082916</v>
      </c>
      <c r="AT52" s="13">
        <v>2723.6499511718748</v>
      </c>
      <c r="AU52" s="13">
        <v>2865.1724184832879</v>
      </c>
      <c r="AV52" s="13">
        <v>2582.1274838604618</v>
      </c>
    </row>
    <row r="53" spans="1:49" x14ac:dyDescent="0.3">
      <c r="A53" s="26">
        <v>45352</v>
      </c>
      <c r="B53" s="13" t="s">
        <v>667</v>
      </c>
      <c r="C53" s="13">
        <v>538.1500244140625</v>
      </c>
      <c r="D53" s="13">
        <v>544.95001220703125</v>
      </c>
      <c r="E53" s="13">
        <v>515.79998779296875</v>
      </c>
      <c r="F53" s="13">
        <v>519.95001220703125</v>
      </c>
      <c r="G53" s="13">
        <v>10897229</v>
      </c>
      <c r="H53" s="13">
        <v>539.81000366210935</v>
      </c>
      <c r="I53" s="13">
        <v>555.68458522186972</v>
      </c>
      <c r="J53" s="13">
        <v>523.93542210234898</v>
      </c>
      <c r="M53" s="26">
        <v>45362</v>
      </c>
      <c r="N53" s="13" t="s">
        <v>667</v>
      </c>
      <c r="O53" s="13">
        <v>535.25</v>
      </c>
      <c r="P53" s="13">
        <v>538.4000244140625</v>
      </c>
      <c r="Q53" s="13">
        <v>515.79998779296875</v>
      </c>
      <c r="R53" s="13">
        <v>519.95001220703125</v>
      </c>
      <c r="S53" s="13">
        <v>4662543</v>
      </c>
      <c r="T53" s="13">
        <v>535.7550048828125</v>
      </c>
      <c r="U53" s="13">
        <v>546.36676078971868</v>
      </c>
      <c r="V53" s="13">
        <v>525.14324897590632</v>
      </c>
      <c r="AA53" s="26">
        <v>45352</v>
      </c>
      <c r="AB53" s="13" t="s">
        <v>667</v>
      </c>
      <c r="AC53" s="13">
        <v>538.1500244140625</v>
      </c>
      <c r="AD53" s="13">
        <v>544.95001220703125</v>
      </c>
      <c r="AE53" s="13">
        <v>515.79998779296875</v>
      </c>
      <c r="AF53" s="13">
        <v>519.95001220703125</v>
      </c>
      <c r="AG53" s="13">
        <v>10897229</v>
      </c>
      <c r="AH53" s="13">
        <v>538.59000244140623</v>
      </c>
      <c r="AI53" s="13">
        <v>562.17452179884913</v>
      </c>
      <c r="AJ53" s="13">
        <v>515.00548308396333</v>
      </c>
      <c r="AM53" s="26">
        <v>45362</v>
      </c>
      <c r="AN53" s="13" t="s">
        <v>667</v>
      </c>
      <c r="AO53" s="13">
        <v>535.25</v>
      </c>
      <c r="AP53" s="13">
        <v>538.4000244140625</v>
      </c>
      <c r="AQ53" s="13">
        <v>515.79998779296875</v>
      </c>
      <c r="AR53" s="13">
        <v>519.95001220703125</v>
      </c>
      <c r="AS53" s="13">
        <v>4662543</v>
      </c>
      <c r="AT53" s="13">
        <v>535.21999511718752</v>
      </c>
      <c r="AU53" s="13">
        <v>552.04550760591826</v>
      </c>
      <c r="AV53" s="13">
        <v>518.39448262845679</v>
      </c>
    </row>
    <row r="54" spans="1:49" x14ac:dyDescent="0.3">
      <c r="A54" s="26">
        <v>45352</v>
      </c>
      <c r="B54" s="13" t="s">
        <v>668</v>
      </c>
      <c r="C54" s="13">
        <v>2025</v>
      </c>
      <c r="D54" s="13">
        <v>2103.14990234375</v>
      </c>
      <c r="E54" s="13">
        <v>1803.1500244140625</v>
      </c>
      <c r="F54" s="13">
        <v>1825.5</v>
      </c>
      <c r="G54" s="13">
        <v>2658500</v>
      </c>
      <c r="H54" s="13">
        <v>2158.5650024414063</v>
      </c>
      <c r="I54" s="13">
        <v>2389.2167050857233</v>
      </c>
      <c r="J54" s="13">
        <v>1927.9132997970889</v>
      </c>
      <c r="M54" s="26">
        <v>45362</v>
      </c>
      <c r="N54" s="13" t="s">
        <v>668</v>
      </c>
      <c r="O54" s="13">
        <v>1961.199951171875</v>
      </c>
      <c r="P54" s="13">
        <v>1977.949951171875</v>
      </c>
      <c r="Q54" s="13">
        <v>1803.1500244140625</v>
      </c>
      <c r="R54" s="13">
        <v>1825.5</v>
      </c>
      <c r="S54" s="13">
        <v>1357557</v>
      </c>
      <c r="T54" s="13">
        <v>2025.3199951171875</v>
      </c>
      <c r="U54" s="13">
        <v>2171.6901528896301</v>
      </c>
      <c r="V54" s="13">
        <v>1878.9498373447452</v>
      </c>
      <c r="AA54" s="26">
        <v>45352</v>
      </c>
      <c r="AB54" s="13" t="s">
        <v>668</v>
      </c>
      <c r="AC54" s="13">
        <v>2025</v>
      </c>
      <c r="AD54" s="13">
        <v>2103.14990234375</v>
      </c>
      <c r="AE54" s="13">
        <v>1803.1500244140625</v>
      </c>
      <c r="AF54" s="13">
        <v>1825.5</v>
      </c>
      <c r="AG54" s="13">
        <v>2658500</v>
      </c>
      <c r="AH54" s="13">
        <v>2124.5900146484373</v>
      </c>
      <c r="AI54" s="13">
        <v>2476.5081945251518</v>
      </c>
      <c r="AJ54" s="13">
        <v>1772.6718347717226</v>
      </c>
      <c r="AM54" s="26">
        <v>45362</v>
      </c>
      <c r="AN54" s="13" t="s">
        <v>668</v>
      </c>
      <c r="AO54" s="13">
        <v>1961.199951171875</v>
      </c>
      <c r="AP54" s="13">
        <v>1977.949951171875</v>
      </c>
      <c r="AQ54" s="13">
        <v>1803.1500244140625</v>
      </c>
      <c r="AR54" s="13">
        <v>1825.5</v>
      </c>
      <c r="AS54" s="13">
        <v>1357557</v>
      </c>
      <c r="AT54" s="13">
        <v>2003.289990234375</v>
      </c>
      <c r="AU54" s="13">
        <v>2203.6487254250342</v>
      </c>
      <c r="AV54" s="13">
        <v>1802.9312550437157</v>
      </c>
    </row>
    <row r="55" spans="1:49" x14ac:dyDescent="0.3">
      <c r="A55" s="26">
        <v>45352</v>
      </c>
      <c r="B55" s="13" t="s">
        <v>669</v>
      </c>
      <c r="C55" s="13">
        <v>2206.14990234375</v>
      </c>
      <c r="D55" s="13">
        <v>2250</v>
      </c>
      <c r="E55" s="13">
        <v>2054.199951171875</v>
      </c>
      <c r="F55" s="13">
        <v>2065.199951171875</v>
      </c>
      <c r="G55" s="13">
        <v>1671786</v>
      </c>
      <c r="H55" s="13">
        <v>2245.0649902343748</v>
      </c>
      <c r="I55" s="13">
        <v>2453.9125795339751</v>
      </c>
      <c r="J55" s="13">
        <v>2036.2174009347748</v>
      </c>
      <c r="M55" s="26">
        <v>45362</v>
      </c>
      <c r="N55" s="13" t="s">
        <v>669</v>
      </c>
      <c r="O55" s="13">
        <v>2206.050048828125</v>
      </c>
      <c r="P55" s="13">
        <v>2215.14990234375</v>
      </c>
      <c r="Q55" s="13">
        <v>2054.199951171875</v>
      </c>
      <c r="R55" s="13">
        <v>2065.199951171875</v>
      </c>
      <c r="S55" s="13">
        <v>706440</v>
      </c>
      <c r="T55" s="13">
        <v>2228.8350097656248</v>
      </c>
      <c r="U55" s="13">
        <v>2356.3931754333853</v>
      </c>
      <c r="V55" s="13">
        <v>2101.2768440978643</v>
      </c>
      <c r="AA55" s="26">
        <v>45352</v>
      </c>
      <c r="AB55" s="13" t="s">
        <v>669</v>
      </c>
      <c r="AC55" s="13">
        <v>2206.14990234375</v>
      </c>
      <c r="AD55" s="13">
        <v>2250</v>
      </c>
      <c r="AE55" s="13">
        <v>2054.199951171875</v>
      </c>
      <c r="AF55" s="13">
        <v>2065.199951171875</v>
      </c>
      <c r="AG55" s="13">
        <v>1671786</v>
      </c>
      <c r="AH55" s="13">
        <v>2252.25</v>
      </c>
      <c r="AI55" s="13">
        <v>2527.9154157018775</v>
      </c>
      <c r="AJ55" s="13">
        <v>1976.5845842981223</v>
      </c>
      <c r="AM55" s="26">
        <v>45362</v>
      </c>
      <c r="AN55" s="13" t="s">
        <v>669</v>
      </c>
      <c r="AO55" s="13">
        <v>2206.050048828125</v>
      </c>
      <c r="AP55" s="13">
        <v>2215.14990234375</v>
      </c>
      <c r="AQ55" s="13">
        <v>2054.199951171875</v>
      </c>
      <c r="AR55" s="13">
        <v>2065.199951171875</v>
      </c>
      <c r="AS55" s="13">
        <v>706440</v>
      </c>
      <c r="AT55" s="13">
        <v>2222.0500000000002</v>
      </c>
      <c r="AU55" s="13">
        <v>2400.8411588540766</v>
      </c>
      <c r="AV55" s="13">
        <v>2043.2588411459237</v>
      </c>
    </row>
    <row r="56" spans="1:49" x14ac:dyDescent="0.3">
      <c r="A56" s="26">
        <v>45352</v>
      </c>
      <c r="B56" s="13" t="s">
        <v>670</v>
      </c>
      <c r="C56" s="13">
        <v>3491</v>
      </c>
      <c r="D56" s="13">
        <v>3652.050048828125</v>
      </c>
      <c r="E56" s="13">
        <v>3450</v>
      </c>
      <c r="F56" s="13">
        <v>3479.800048828125</v>
      </c>
      <c r="G56" s="13">
        <v>3819668</v>
      </c>
      <c r="H56" s="13">
        <v>3663.6400146484375</v>
      </c>
      <c r="I56" s="13">
        <v>3873.4640251254509</v>
      </c>
      <c r="J56" s="13">
        <v>3453.8160041714241</v>
      </c>
      <c r="M56" s="26">
        <v>45362</v>
      </c>
      <c r="N56" s="13" t="s">
        <v>670</v>
      </c>
      <c r="O56" s="13">
        <v>3601.60009765625</v>
      </c>
      <c r="P56" s="13">
        <v>3652.050048828125</v>
      </c>
      <c r="Q56" s="13">
        <v>3454.75</v>
      </c>
      <c r="R56" s="13">
        <v>3479.800048828125</v>
      </c>
      <c r="S56" s="13">
        <v>1225969</v>
      </c>
      <c r="T56" s="13">
        <v>3612.1950195312502</v>
      </c>
      <c r="U56" s="13">
        <v>3770.2162464306216</v>
      </c>
      <c r="V56" s="13">
        <v>3454.1737926318788</v>
      </c>
      <c r="AA56" s="26">
        <v>45352</v>
      </c>
      <c r="AB56" s="13" t="s">
        <v>670</v>
      </c>
      <c r="AC56" s="13">
        <v>3491</v>
      </c>
      <c r="AD56" s="13">
        <v>3652.050048828125</v>
      </c>
      <c r="AE56" s="13">
        <v>3450</v>
      </c>
      <c r="AF56" s="13">
        <v>3479.800048828125</v>
      </c>
      <c r="AG56" s="13">
        <v>3819668</v>
      </c>
      <c r="AH56" s="13">
        <v>3666.3600097656249</v>
      </c>
      <c r="AI56" s="13">
        <v>3998.3147041776911</v>
      </c>
      <c r="AJ56" s="13">
        <v>3334.4053153535588</v>
      </c>
      <c r="AM56" s="26">
        <v>45362</v>
      </c>
      <c r="AN56" s="13" t="s">
        <v>670</v>
      </c>
      <c r="AO56" s="13">
        <v>3601.60009765625</v>
      </c>
      <c r="AP56" s="13">
        <v>3652.050048828125</v>
      </c>
      <c r="AQ56" s="13">
        <v>3454.75</v>
      </c>
      <c r="AR56" s="13">
        <v>3479.800048828125</v>
      </c>
      <c r="AS56" s="13">
        <v>1225969</v>
      </c>
      <c r="AT56" s="13">
        <v>3588.2200195312498</v>
      </c>
      <c r="AU56" s="13">
        <v>3781.2853527656252</v>
      </c>
      <c r="AV56" s="13">
        <v>3395.1546862968744</v>
      </c>
    </row>
    <row r="57" spans="1:49" x14ac:dyDescent="0.3">
      <c r="A57" s="26">
        <v>45352</v>
      </c>
      <c r="B57" s="13" t="s">
        <v>671</v>
      </c>
      <c r="C57" s="13">
        <v>6719</v>
      </c>
      <c r="D57" s="13">
        <v>7236</v>
      </c>
      <c r="E57" s="13">
        <v>6558.7001953125</v>
      </c>
      <c r="F57" s="13">
        <v>6603.89990234375</v>
      </c>
      <c r="G57" s="13">
        <v>2703858</v>
      </c>
      <c r="H57" s="13">
        <v>6224.81005859375</v>
      </c>
      <c r="I57" s="13">
        <v>7259.4385190410649</v>
      </c>
      <c r="J57" s="13">
        <v>5190.1815981464351</v>
      </c>
      <c r="M57" s="26">
        <v>45362</v>
      </c>
      <c r="N57" s="13" t="s">
        <v>671</v>
      </c>
      <c r="O57" s="13">
        <v>7184</v>
      </c>
      <c r="P57" s="13">
        <v>7229.7998046875</v>
      </c>
      <c r="Q57" s="13">
        <v>6558.7001953125</v>
      </c>
      <c r="R57" s="13">
        <v>6603.89990234375</v>
      </c>
      <c r="S57" s="13">
        <v>877371</v>
      </c>
      <c r="T57" s="13">
        <v>6740.864990234375</v>
      </c>
      <c r="U57" s="13">
        <v>7259.6432812001258</v>
      </c>
      <c r="V57" s="13">
        <v>6222.0866992686242</v>
      </c>
      <c r="AA57" s="26">
        <v>45352</v>
      </c>
      <c r="AB57" s="13" t="s">
        <v>671</v>
      </c>
      <c r="AC57" s="13">
        <v>6719</v>
      </c>
      <c r="AD57" s="13">
        <v>7236</v>
      </c>
      <c r="AE57" s="13">
        <v>6558.7001953125</v>
      </c>
      <c r="AF57" s="13">
        <v>6603.89990234375</v>
      </c>
      <c r="AG57" s="13">
        <v>2703858</v>
      </c>
      <c r="AH57" s="13">
        <v>6271.2400390624998</v>
      </c>
      <c r="AI57" s="13">
        <v>7176.9054471853542</v>
      </c>
      <c r="AJ57" s="13">
        <v>5365.5746309396454</v>
      </c>
      <c r="AM57" s="26">
        <v>45362</v>
      </c>
      <c r="AN57" s="13" t="s">
        <v>671</v>
      </c>
      <c r="AO57" s="13">
        <v>7184</v>
      </c>
      <c r="AP57" s="13">
        <v>7229.7998046875</v>
      </c>
      <c r="AQ57" s="13">
        <v>6558.7001953125</v>
      </c>
      <c r="AR57" s="13">
        <v>6603.89990234375</v>
      </c>
      <c r="AS57" s="13">
        <v>877371</v>
      </c>
      <c r="AT57" s="13">
        <v>6799.4800781249996</v>
      </c>
      <c r="AU57" s="13">
        <v>7351.2982317431579</v>
      </c>
      <c r="AV57" s="13">
        <v>6247.6619245068414</v>
      </c>
    </row>
    <row r="58" spans="1:49" x14ac:dyDescent="0.3">
      <c r="A58" s="26">
        <v>45352</v>
      </c>
      <c r="B58" s="13" t="s">
        <v>672</v>
      </c>
      <c r="C58" s="13">
        <v>902</v>
      </c>
      <c r="D58" s="13">
        <v>941.9000244140625</v>
      </c>
      <c r="E58" s="13">
        <v>820.6500244140625</v>
      </c>
      <c r="F58" s="13">
        <v>830.1500244140625</v>
      </c>
      <c r="G58" s="13">
        <v>36207803</v>
      </c>
      <c r="H58" s="13">
        <v>754.82000732421875</v>
      </c>
      <c r="I58" s="13">
        <v>963.15013964633397</v>
      </c>
      <c r="J58" s="13">
        <v>546.48987500210353</v>
      </c>
      <c r="M58" s="26">
        <v>45362</v>
      </c>
      <c r="N58" s="13" t="s">
        <v>672</v>
      </c>
      <c r="O58" s="13">
        <v>928</v>
      </c>
      <c r="P58" s="13">
        <v>933.29998779296875</v>
      </c>
      <c r="Q58" s="13">
        <v>820.6500244140625</v>
      </c>
      <c r="R58" s="13">
        <v>830.1500244140625</v>
      </c>
      <c r="S58" s="13">
        <v>21481377</v>
      </c>
      <c r="T58" s="13">
        <v>882.42499999999995</v>
      </c>
      <c r="U58" s="13">
        <v>942.82765365935779</v>
      </c>
      <c r="V58" s="13">
        <v>822.02234634064212</v>
      </c>
      <c r="AA58" s="26">
        <v>45352</v>
      </c>
      <c r="AB58" s="13" t="s">
        <v>672</v>
      </c>
      <c r="AC58" s="13">
        <v>902</v>
      </c>
      <c r="AD58" s="13">
        <v>941.9000244140625</v>
      </c>
      <c r="AE58" s="13">
        <v>820.6500244140625</v>
      </c>
      <c r="AF58" s="13">
        <v>830.1500244140625</v>
      </c>
      <c r="AG58" s="13">
        <v>36207803</v>
      </c>
      <c r="AH58" s="13">
        <v>777.2400024414062</v>
      </c>
      <c r="AI58" s="13">
        <v>965.52133721732605</v>
      </c>
      <c r="AJ58" s="13">
        <v>588.95866766548636</v>
      </c>
      <c r="AM58" s="26">
        <v>45362</v>
      </c>
      <c r="AN58" s="13" t="s">
        <v>672</v>
      </c>
      <c r="AO58" s="13">
        <v>928</v>
      </c>
      <c r="AP58" s="13">
        <v>933.29998779296875</v>
      </c>
      <c r="AQ58" s="13">
        <v>820.6500244140625</v>
      </c>
      <c r="AR58" s="13">
        <v>830.1500244140625</v>
      </c>
      <c r="AS58" s="13">
        <v>21481377</v>
      </c>
      <c r="AT58" s="13">
        <v>884.58000488281255</v>
      </c>
      <c r="AU58" s="13">
        <v>951.19946886189666</v>
      </c>
      <c r="AV58" s="13">
        <v>817.96054090372843</v>
      </c>
    </row>
    <row r="59" spans="1:49" x14ac:dyDescent="0.3">
      <c r="A59" s="26">
        <v>45352</v>
      </c>
      <c r="B59" s="13" t="s">
        <v>673</v>
      </c>
      <c r="C59" s="13">
        <v>6449</v>
      </c>
      <c r="D59" s="13">
        <v>6473</v>
      </c>
      <c r="E59" s="13">
        <v>6172.10009765625</v>
      </c>
      <c r="F59" s="13">
        <v>6303.7998046875</v>
      </c>
      <c r="G59" s="13">
        <v>2521010</v>
      </c>
      <c r="H59" s="13">
        <v>5906.7149902343754</v>
      </c>
      <c r="I59" s="13">
        <v>6542.5364930102724</v>
      </c>
      <c r="J59" s="13">
        <v>5270.8934874584784</v>
      </c>
      <c r="M59" s="26">
        <v>45362</v>
      </c>
      <c r="N59" s="13" t="s">
        <v>673</v>
      </c>
      <c r="O59" s="13">
        <v>6369</v>
      </c>
      <c r="P59" s="13">
        <v>6428</v>
      </c>
      <c r="Q59" s="13">
        <v>6248.7998046875</v>
      </c>
      <c r="R59" s="13">
        <v>6303.7998046875</v>
      </c>
      <c r="S59" s="13">
        <v>822131</v>
      </c>
      <c r="T59" s="13">
        <v>6328.95</v>
      </c>
      <c r="U59" s="13">
        <v>6378.3640028904692</v>
      </c>
      <c r="V59" s="13">
        <v>6279.5359971095304</v>
      </c>
      <c r="AA59" s="26">
        <v>45352</v>
      </c>
      <c r="AB59" s="13" t="s">
        <v>673</v>
      </c>
      <c r="AC59" s="13">
        <v>6449</v>
      </c>
      <c r="AD59" s="13">
        <v>6473</v>
      </c>
      <c r="AE59" s="13">
        <v>6172.10009765625</v>
      </c>
      <c r="AF59" s="13">
        <v>6303.7998046875</v>
      </c>
      <c r="AG59" s="13">
        <v>2521010</v>
      </c>
      <c r="AH59" s="13">
        <v>6087.0499023437496</v>
      </c>
      <c r="AI59" s="13">
        <v>6604.5795486639672</v>
      </c>
      <c r="AJ59" s="13">
        <v>5569.5202560235321</v>
      </c>
      <c r="AM59" s="26">
        <v>45362</v>
      </c>
      <c r="AN59" s="13" t="s">
        <v>673</v>
      </c>
      <c r="AO59" s="13">
        <v>6369</v>
      </c>
      <c r="AP59" s="13">
        <v>6428</v>
      </c>
      <c r="AQ59" s="13">
        <v>6248.7998046875</v>
      </c>
      <c r="AR59" s="13">
        <v>6303.7998046875</v>
      </c>
      <c r="AS59" s="13">
        <v>822131</v>
      </c>
      <c r="AT59" s="13">
        <v>6316.1598632812502</v>
      </c>
      <c r="AU59" s="13">
        <v>6473.9554484193404</v>
      </c>
      <c r="AV59" s="13">
        <v>6158.3642781431599</v>
      </c>
    </row>
    <row r="60" spans="1:49" x14ac:dyDescent="0.3">
      <c r="A60" s="26">
        <v>45352</v>
      </c>
      <c r="B60" s="13" t="s">
        <v>674</v>
      </c>
      <c r="C60" s="13">
        <v>3790.199951171875</v>
      </c>
      <c r="D60" s="13">
        <v>3883.300048828125</v>
      </c>
      <c r="E60" s="13">
        <v>3715</v>
      </c>
      <c r="F60" s="13">
        <v>3735.550048828125</v>
      </c>
      <c r="G60" s="13">
        <v>4277689</v>
      </c>
      <c r="H60" s="13">
        <v>3829.385009765625</v>
      </c>
      <c r="I60" s="13">
        <v>4104.9896790955308</v>
      </c>
      <c r="J60" s="13">
        <v>3553.7803404357187</v>
      </c>
      <c r="M60" s="26">
        <v>45362</v>
      </c>
      <c r="N60" s="13" t="s">
        <v>674</v>
      </c>
      <c r="O60" s="13">
        <v>3795.449951171875</v>
      </c>
      <c r="P60" s="13">
        <v>3855.800048828125</v>
      </c>
      <c r="Q60" s="13">
        <v>3715</v>
      </c>
      <c r="R60" s="13">
        <v>3735.550048828125</v>
      </c>
      <c r="S60" s="13">
        <v>1329562</v>
      </c>
      <c r="T60" s="13">
        <v>3845.2950195312501</v>
      </c>
      <c r="U60" s="13">
        <v>3926.973042534994</v>
      </c>
      <c r="V60" s="13">
        <v>3763.6169965275062</v>
      </c>
      <c r="AA60" s="26">
        <v>45352</v>
      </c>
      <c r="AB60" s="13" t="s">
        <v>674</v>
      </c>
      <c r="AC60" s="13">
        <v>3790.199951171875</v>
      </c>
      <c r="AD60" s="13">
        <v>3883.300048828125</v>
      </c>
      <c r="AE60" s="13">
        <v>3715</v>
      </c>
      <c r="AF60" s="13">
        <v>3735.550048828125</v>
      </c>
      <c r="AG60" s="13">
        <v>4277689</v>
      </c>
      <c r="AH60" s="13">
        <v>3881.5899902343749</v>
      </c>
      <c r="AI60" s="13">
        <v>4164.2586074763003</v>
      </c>
      <c r="AJ60" s="13">
        <v>3598.92137299245</v>
      </c>
      <c r="AM60" s="26">
        <v>45362</v>
      </c>
      <c r="AN60" s="13" t="s">
        <v>674</v>
      </c>
      <c r="AO60" s="13">
        <v>3795.449951171875</v>
      </c>
      <c r="AP60" s="13">
        <v>3855.800048828125</v>
      </c>
      <c r="AQ60" s="13">
        <v>3715</v>
      </c>
      <c r="AR60" s="13">
        <v>3735.550048828125</v>
      </c>
      <c r="AS60" s="13">
        <v>1329562</v>
      </c>
      <c r="AT60" s="13">
        <v>3844.010009765625</v>
      </c>
      <c r="AU60" s="13">
        <v>3997.0487576471264</v>
      </c>
      <c r="AV60" s="13">
        <v>3690.9712618841236</v>
      </c>
    </row>
    <row r="61" spans="1:49" x14ac:dyDescent="0.3">
      <c r="A61" s="26">
        <v>45352</v>
      </c>
      <c r="B61" s="13" t="s">
        <v>675</v>
      </c>
      <c r="C61" s="13">
        <v>2845.050048828125</v>
      </c>
      <c r="D61" s="13">
        <v>2966.35009765625</v>
      </c>
      <c r="E61" s="13">
        <v>2700.550048828125</v>
      </c>
      <c r="F61" s="13">
        <v>2712.89990234375</v>
      </c>
      <c r="G61" s="13">
        <v>1696850</v>
      </c>
      <c r="H61" s="13">
        <v>2972.2900146484376</v>
      </c>
      <c r="I61" s="13">
        <v>3236.4977370373381</v>
      </c>
      <c r="J61" s="13">
        <v>2708.0822922595371</v>
      </c>
      <c r="M61" s="26">
        <v>45362</v>
      </c>
      <c r="N61" s="13" t="s">
        <v>675</v>
      </c>
      <c r="O61" s="13">
        <v>2868</v>
      </c>
      <c r="P61" s="13">
        <v>2873.550048828125</v>
      </c>
      <c r="Q61" s="13">
        <v>2700.550048828125</v>
      </c>
      <c r="R61" s="13">
        <v>2712.89990234375</v>
      </c>
      <c r="S61" s="13">
        <v>453039</v>
      </c>
      <c r="T61" s="13">
        <v>2867.1900146484377</v>
      </c>
      <c r="U61" s="13">
        <v>2960.8529222655161</v>
      </c>
      <c r="V61" s="13">
        <v>2773.5271070313593</v>
      </c>
      <c r="AA61" s="26">
        <v>45352</v>
      </c>
      <c r="AB61" s="13" t="s">
        <v>675</v>
      </c>
      <c r="AC61" s="13">
        <v>2845.050048828125</v>
      </c>
      <c r="AD61" s="13">
        <v>2966.35009765625</v>
      </c>
      <c r="AE61" s="13">
        <v>2700.550048828125</v>
      </c>
      <c r="AF61" s="13">
        <v>2712.89990234375</v>
      </c>
      <c r="AG61" s="13">
        <v>1696850</v>
      </c>
      <c r="AH61" s="13">
        <v>2937.2</v>
      </c>
      <c r="AI61" s="13">
        <v>3229.0494906211079</v>
      </c>
      <c r="AJ61" s="13">
        <v>2645.3505093788917</v>
      </c>
      <c r="AM61" s="26">
        <v>45362</v>
      </c>
      <c r="AN61" s="13" t="s">
        <v>675</v>
      </c>
      <c r="AO61" s="13">
        <v>2868</v>
      </c>
      <c r="AP61" s="13">
        <v>2873.550048828125</v>
      </c>
      <c r="AQ61" s="13">
        <v>2700.550048828125</v>
      </c>
      <c r="AR61" s="13">
        <v>2712.89990234375</v>
      </c>
      <c r="AS61" s="13">
        <v>453039</v>
      </c>
      <c r="AT61" s="13">
        <v>2859.8699707031251</v>
      </c>
      <c r="AU61" s="13">
        <v>3015.6042891553002</v>
      </c>
      <c r="AV61" s="13">
        <v>2704.13565225095</v>
      </c>
    </row>
    <row r="62" spans="1:49" x14ac:dyDescent="0.3">
      <c r="A62" s="26">
        <v>45352</v>
      </c>
      <c r="B62" s="13" t="s">
        <v>676</v>
      </c>
      <c r="C62" s="13">
        <v>322</v>
      </c>
      <c r="D62" s="13">
        <v>332.29998779296875</v>
      </c>
      <c r="E62" s="13">
        <v>297.95001220703125</v>
      </c>
      <c r="F62" s="13">
        <v>300.70001220703125</v>
      </c>
      <c r="G62" s="13">
        <v>16370030</v>
      </c>
      <c r="H62" s="13">
        <v>309.17500000000001</v>
      </c>
      <c r="I62" s="13">
        <v>354.42514212469121</v>
      </c>
      <c r="J62" s="13">
        <v>263.92485787530882</v>
      </c>
      <c r="M62" s="26">
        <v>45362</v>
      </c>
      <c r="N62" s="13" t="s">
        <v>676</v>
      </c>
      <c r="O62" s="13">
        <v>331</v>
      </c>
      <c r="P62" s="13">
        <v>332.29998779296875</v>
      </c>
      <c r="Q62" s="13">
        <v>297.95001220703125</v>
      </c>
      <c r="R62" s="13">
        <v>300.70001220703125</v>
      </c>
      <c r="S62" s="13">
        <v>8227816</v>
      </c>
      <c r="T62" s="13">
        <v>325.71999511718752</v>
      </c>
      <c r="U62" s="13">
        <v>338.74187266323679</v>
      </c>
      <c r="V62" s="13">
        <v>312.69811757113825</v>
      </c>
      <c r="AA62" s="26">
        <v>45352</v>
      </c>
      <c r="AB62" s="13" t="s">
        <v>676</v>
      </c>
      <c r="AC62" s="13">
        <v>322</v>
      </c>
      <c r="AD62" s="13">
        <v>332.29998779296875</v>
      </c>
      <c r="AE62" s="13">
        <v>297.95001220703125</v>
      </c>
      <c r="AF62" s="13">
        <v>300.70001220703125</v>
      </c>
      <c r="AG62" s="13">
        <v>16370030</v>
      </c>
      <c r="AH62" s="13">
        <v>311.71000366210939</v>
      </c>
      <c r="AI62" s="13">
        <v>346.34694537258696</v>
      </c>
      <c r="AJ62" s="13">
        <v>277.07306195163181</v>
      </c>
      <c r="AM62" s="26">
        <v>45362</v>
      </c>
      <c r="AN62" s="13" t="s">
        <v>676</v>
      </c>
      <c r="AO62" s="13">
        <v>331</v>
      </c>
      <c r="AP62" s="13">
        <v>332.29998779296875</v>
      </c>
      <c r="AQ62" s="13">
        <v>297.95001220703125</v>
      </c>
      <c r="AR62" s="13">
        <v>300.70001220703125</v>
      </c>
      <c r="AS62" s="13">
        <v>8227816</v>
      </c>
      <c r="AT62" s="13">
        <v>323.89000244140624</v>
      </c>
      <c r="AU62" s="13">
        <v>348.4226155822783</v>
      </c>
      <c r="AV62" s="13">
        <v>299.35738930053418</v>
      </c>
    </row>
    <row r="63" spans="1:49" x14ac:dyDescent="0.3">
      <c r="A63" s="26">
        <v>45352</v>
      </c>
      <c r="B63" s="13" t="s">
        <v>677</v>
      </c>
      <c r="C63" s="13">
        <v>151.39999389648438</v>
      </c>
      <c r="D63" s="13">
        <v>158.55000305175781</v>
      </c>
      <c r="E63" s="13">
        <v>146.75</v>
      </c>
      <c r="F63" s="13">
        <v>148.5</v>
      </c>
      <c r="G63" s="13">
        <v>107441899</v>
      </c>
      <c r="H63" s="13">
        <v>151.375</v>
      </c>
      <c r="I63" s="13">
        <v>157.30358280327121</v>
      </c>
      <c r="J63" s="13">
        <v>145.44641719672879</v>
      </c>
      <c r="M63" s="26">
        <v>45362</v>
      </c>
      <c r="N63" s="13" t="s">
        <v>677</v>
      </c>
      <c r="O63" s="13">
        <v>156.35000610351563</v>
      </c>
      <c r="P63" s="13">
        <v>157.19999694824219</v>
      </c>
      <c r="Q63" s="13">
        <v>146.75</v>
      </c>
      <c r="R63" s="13">
        <v>148.5</v>
      </c>
      <c r="S63" s="13">
        <v>37549244</v>
      </c>
      <c r="T63" s="13">
        <v>154.30500030517578</v>
      </c>
      <c r="U63" s="13">
        <v>158.9699108973021</v>
      </c>
      <c r="V63" s="13">
        <v>149.64008971304946</v>
      </c>
      <c r="AA63" s="26">
        <v>45352</v>
      </c>
      <c r="AB63" s="13" t="s">
        <v>677</v>
      </c>
      <c r="AC63" s="13">
        <v>151.39999389648438</v>
      </c>
      <c r="AD63" s="13">
        <v>158.55000305175781</v>
      </c>
      <c r="AE63" s="13">
        <v>146.75</v>
      </c>
      <c r="AF63" s="13">
        <v>148.5</v>
      </c>
      <c r="AG63" s="13">
        <v>107441899</v>
      </c>
      <c r="AH63" s="13">
        <v>149.93999938964845</v>
      </c>
      <c r="AI63" s="13">
        <v>156.54465658588379</v>
      </c>
      <c r="AJ63" s="13">
        <v>143.33534219341311</v>
      </c>
      <c r="AM63" s="26">
        <v>45362</v>
      </c>
      <c r="AN63" s="13" t="s">
        <v>677</v>
      </c>
      <c r="AO63" s="13">
        <v>156.35000610351563</v>
      </c>
      <c r="AP63" s="13">
        <v>157.19999694824219</v>
      </c>
      <c r="AQ63" s="13">
        <v>146.75</v>
      </c>
      <c r="AR63" s="13">
        <v>148.5</v>
      </c>
      <c r="AS63" s="13">
        <v>37549244</v>
      </c>
      <c r="AT63" s="13">
        <v>154.92000122070311</v>
      </c>
      <c r="AU63" s="13">
        <v>165.88879129141296</v>
      </c>
      <c r="AV63" s="13">
        <v>143.95121114999327</v>
      </c>
    </row>
    <row r="64" spans="1:49" x14ac:dyDescent="0.3">
      <c r="A64" s="26">
        <v>45352</v>
      </c>
      <c r="B64" s="13" t="s">
        <v>678</v>
      </c>
      <c r="C64" s="13">
        <v>184.94999694824219</v>
      </c>
      <c r="D64" s="13">
        <v>196.35000610351563</v>
      </c>
      <c r="E64" s="13">
        <v>166.30000305175781</v>
      </c>
      <c r="F64" s="13">
        <v>168.69999694824219</v>
      </c>
      <c r="G64" s="13">
        <v>178940907</v>
      </c>
      <c r="H64" s="13">
        <v>159.78500289916991</v>
      </c>
      <c r="I64" s="13">
        <v>200.70952958434427</v>
      </c>
      <c r="J64" s="13">
        <v>118.86047621399555</v>
      </c>
      <c r="M64" s="26">
        <v>45362</v>
      </c>
      <c r="N64" s="13" t="s">
        <v>678</v>
      </c>
      <c r="O64" s="13">
        <v>188</v>
      </c>
      <c r="P64" s="13">
        <v>188</v>
      </c>
      <c r="Q64" s="13">
        <v>166.30000305175781</v>
      </c>
      <c r="R64" s="13">
        <v>168.69999694824219</v>
      </c>
      <c r="S64" s="13">
        <v>53341096</v>
      </c>
      <c r="T64" s="13">
        <v>181.6300018310547</v>
      </c>
      <c r="U64" s="13">
        <v>191.84921954122777</v>
      </c>
      <c r="V64" s="13">
        <v>171.41078412088163</v>
      </c>
      <c r="AA64" s="26">
        <v>45352</v>
      </c>
      <c r="AB64" s="13" t="s">
        <v>678</v>
      </c>
      <c r="AC64" s="13">
        <v>184.94999694824219</v>
      </c>
      <c r="AD64" s="13">
        <v>196.35000610351563</v>
      </c>
      <c r="AE64" s="13">
        <v>166.30000305175781</v>
      </c>
      <c r="AF64" s="13">
        <v>168.69999694824219</v>
      </c>
      <c r="AG64" s="13">
        <v>178940907</v>
      </c>
      <c r="AH64" s="13">
        <v>163.51000061035157</v>
      </c>
      <c r="AI64" s="13">
        <v>197.70862570478639</v>
      </c>
      <c r="AJ64" s="13">
        <v>129.31137551591675</v>
      </c>
      <c r="AM64" s="26">
        <v>45362</v>
      </c>
      <c r="AN64" s="13" t="s">
        <v>678</v>
      </c>
      <c r="AO64" s="13">
        <v>188</v>
      </c>
      <c r="AP64" s="13">
        <v>188</v>
      </c>
      <c r="AQ64" s="13">
        <v>166.30000305175781</v>
      </c>
      <c r="AR64" s="13">
        <v>168.69999694824219</v>
      </c>
      <c r="AS64" s="13">
        <v>53341096</v>
      </c>
      <c r="AT64" s="13">
        <v>180.77999877929688</v>
      </c>
      <c r="AU64" s="13">
        <v>194.09895107972042</v>
      </c>
      <c r="AV64" s="13">
        <v>167.46104647887333</v>
      </c>
    </row>
    <row r="65" spans="1:49" x14ac:dyDescent="0.3">
      <c r="A65" s="26">
        <v>45352</v>
      </c>
      <c r="B65" s="13" t="s">
        <v>679</v>
      </c>
      <c r="C65" s="13">
        <v>925.0999755859375</v>
      </c>
      <c r="D65" s="13">
        <v>974</v>
      </c>
      <c r="E65" s="13">
        <v>885.5</v>
      </c>
      <c r="F65" s="13">
        <v>898.45001220703125</v>
      </c>
      <c r="G65" s="13">
        <v>10472458</v>
      </c>
      <c r="H65" s="13">
        <v>849.60499877929692</v>
      </c>
      <c r="I65" s="13">
        <v>965.33465934696551</v>
      </c>
      <c r="J65" s="13">
        <v>733.87533821162833</v>
      </c>
      <c r="M65" s="26">
        <v>45362</v>
      </c>
      <c r="N65" s="13" t="s">
        <v>679</v>
      </c>
      <c r="O65" s="13">
        <v>958</v>
      </c>
      <c r="P65" s="13">
        <v>974</v>
      </c>
      <c r="Q65" s="13">
        <v>885.5</v>
      </c>
      <c r="R65" s="13">
        <v>898.45001220703125</v>
      </c>
      <c r="S65" s="13">
        <v>4728465</v>
      </c>
      <c r="T65" s="13">
        <v>900.4</v>
      </c>
      <c r="U65" s="13">
        <v>977.09669989577469</v>
      </c>
      <c r="V65" s="13">
        <v>823.70330010422526</v>
      </c>
      <c r="AA65" s="26">
        <v>45352</v>
      </c>
      <c r="AB65" s="13" t="s">
        <v>679</v>
      </c>
      <c r="AC65" s="13">
        <v>925.0999755859375</v>
      </c>
      <c r="AD65" s="13">
        <v>974</v>
      </c>
      <c r="AE65" s="13">
        <v>885.5</v>
      </c>
      <c r="AF65" s="13">
        <v>898.45001220703125</v>
      </c>
      <c r="AG65" s="13">
        <v>10472458</v>
      </c>
      <c r="AH65" s="13">
        <v>873.53000488281248</v>
      </c>
      <c r="AI65" s="13">
        <v>978.47093768942113</v>
      </c>
      <c r="AJ65" s="13">
        <v>768.58907207620382</v>
      </c>
      <c r="AM65" s="26">
        <v>45362</v>
      </c>
      <c r="AN65" s="13" t="s">
        <v>679</v>
      </c>
      <c r="AO65" s="13">
        <v>958</v>
      </c>
      <c r="AP65" s="13">
        <v>974</v>
      </c>
      <c r="AQ65" s="13">
        <v>885.5</v>
      </c>
      <c r="AR65" s="13">
        <v>898.45001220703125</v>
      </c>
      <c r="AS65" s="13">
        <v>4728465</v>
      </c>
      <c r="AT65" s="13">
        <v>909.26999511718748</v>
      </c>
      <c r="AU65" s="13">
        <v>964.46030523994307</v>
      </c>
      <c r="AV65" s="13">
        <v>854.07968499443189</v>
      </c>
    </row>
    <row r="66" spans="1:49" x14ac:dyDescent="0.3">
      <c r="A66" s="26">
        <v>45352</v>
      </c>
      <c r="B66" s="13" t="s">
        <v>680</v>
      </c>
      <c r="C66" s="13">
        <v>84.5</v>
      </c>
      <c r="D66" s="13">
        <v>87.650001525878906</v>
      </c>
      <c r="E66" s="13">
        <v>73.599998474121094</v>
      </c>
      <c r="F66" s="13">
        <v>75.150001525878906</v>
      </c>
      <c r="G66" s="13">
        <v>178749093</v>
      </c>
      <c r="H66" s="13">
        <v>75.019999694824222</v>
      </c>
      <c r="I66" s="13">
        <v>94.743422064637016</v>
      </c>
      <c r="J66" s="13">
        <v>55.296577325011427</v>
      </c>
      <c r="M66" s="26">
        <v>45362</v>
      </c>
      <c r="N66" s="13" t="s">
        <v>680</v>
      </c>
      <c r="O66" s="13">
        <v>85.349998474121094</v>
      </c>
      <c r="P66" s="13">
        <v>85.400001525878906</v>
      </c>
      <c r="Q66" s="13">
        <v>73.599998474121094</v>
      </c>
      <c r="R66" s="13">
        <v>75.150001525878906</v>
      </c>
      <c r="S66" s="13">
        <v>71359344</v>
      </c>
      <c r="T66" s="13">
        <v>85.5</v>
      </c>
      <c r="U66" s="13">
        <v>92.486486386941607</v>
      </c>
      <c r="V66" s="13">
        <v>78.513513613058393</v>
      </c>
      <c r="AA66" s="26">
        <v>45352</v>
      </c>
      <c r="AB66" s="13" t="s">
        <v>680</v>
      </c>
      <c r="AC66" s="13">
        <v>84.5</v>
      </c>
      <c r="AD66" s="13">
        <v>87.650001525878906</v>
      </c>
      <c r="AE66" s="13">
        <v>73.599998474121094</v>
      </c>
      <c r="AF66" s="13">
        <v>75.150001525878906</v>
      </c>
      <c r="AG66" s="13">
        <v>178749093</v>
      </c>
      <c r="AH66" s="13">
        <v>75.570000457763669</v>
      </c>
      <c r="AI66" s="13">
        <v>92.361975795835292</v>
      </c>
      <c r="AJ66" s="13">
        <v>58.778025119692046</v>
      </c>
      <c r="AM66" s="26">
        <v>45362</v>
      </c>
      <c r="AN66" s="13" t="s">
        <v>680</v>
      </c>
      <c r="AO66" s="13">
        <v>85.349998474121094</v>
      </c>
      <c r="AP66" s="13">
        <v>85.400001525878906</v>
      </c>
      <c r="AQ66" s="13">
        <v>73.599998474121094</v>
      </c>
      <c r="AR66" s="13">
        <v>75.150001525878906</v>
      </c>
      <c r="AS66" s="13">
        <v>71359344</v>
      </c>
      <c r="AT66" s="13">
        <v>84.560000610351565</v>
      </c>
      <c r="AU66" s="13">
        <v>94.595615818570337</v>
      </c>
      <c r="AV66" s="13">
        <v>74.524385402132793</v>
      </c>
    </row>
    <row r="67" spans="1:49" x14ac:dyDescent="0.3">
      <c r="A67" s="26">
        <v>45352</v>
      </c>
      <c r="B67" s="13" t="s">
        <v>681</v>
      </c>
      <c r="C67" s="13">
        <v>642.5999755859375</v>
      </c>
      <c r="D67" s="13">
        <v>650.1500244140625</v>
      </c>
      <c r="E67" s="13">
        <v>593.20001220703125</v>
      </c>
      <c r="F67" s="13">
        <v>598.04998779296875</v>
      </c>
      <c r="G67" s="13">
        <v>8529184</v>
      </c>
      <c r="H67" s="13">
        <v>697.43001098632817</v>
      </c>
      <c r="I67" s="13">
        <v>788.38307280531399</v>
      </c>
      <c r="J67" s="13">
        <v>606.47694916734235</v>
      </c>
      <c r="M67" s="26">
        <v>45362</v>
      </c>
      <c r="N67" s="13" t="s">
        <v>681</v>
      </c>
      <c r="O67" s="13">
        <v>633.6500244140625</v>
      </c>
      <c r="P67" s="13">
        <v>633.6500244140625</v>
      </c>
      <c r="Q67" s="13">
        <v>593.20001220703125</v>
      </c>
      <c r="R67" s="13">
        <v>598.04998779296875</v>
      </c>
      <c r="S67" s="13">
        <v>3836204</v>
      </c>
      <c r="T67" s="13">
        <v>644.29000244140627</v>
      </c>
      <c r="U67" s="13">
        <v>685.71037091705728</v>
      </c>
      <c r="V67" s="13">
        <v>602.86963396575527</v>
      </c>
      <c r="AA67" s="26">
        <v>45352</v>
      </c>
      <c r="AB67" s="13" t="s">
        <v>681</v>
      </c>
      <c r="AC67" s="13">
        <v>642.5999755859375</v>
      </c>
      <c r="AD67" s="13">
        <v>650.1500244140625</v>
      </c>
      <c r="AE67" s="13">
        <v>593.20001220703125</v>
      </c>
      <c r="AF67" s="13">
        <v>598.04998779296875</v>
      </c>
      <c r="AG67" s="13">
        <v>8529184</v>
      </c>
      <c r="AH67" s="13">
        <v>685.8599853515625</v>
      </c>
      <c r="AI67" s="13">
        <v>807.49913041963237</v>
      </c>
      <c r="AJ67" s="13">
        <v>564.22084028349263</v>
      </c>
      <c r="AM67" s="26">
        <v>45362</v>
      </c>
      <c r="AN67" s="13" t="s">
        <v>681</v>
      </c>
      <c r="AO67" s="13">
        <v>633.6500244140625</v>
      </c>
      <c r="AP67" s="13">
        <v>633.6500244140625</v>
      </c>
      <c r="AQ67" s="13">
        <v>593.20001220703125</v>
      </c>
      <c r="AR67" s="13">
        <v>598.04998779296875</v>
      </c>
      <c r="AS67" s="13">
        <v>3836204</v>
      </c>
      <c r="AT67" s="13">
        <v>638.91998291015625</v>
      </c>
      <c r="AU67" s="13">
        <v>691.96643556311562</v>
      </c>
      <c r="AV67" s="13">
        <v>585.87353025719688</v>
      </c>
    </row>
    <row r="68" spans="1:49" x14ac:dyDescent="0.3">
      <c r="A68" s="26">
        <v>45352</v>
      </c>
      <c r="B68" s="13" t="s">
        <v>682</v>
      </c>
      <c r="C68" s="13">
        <v>1260.800048828125</v>
      </c>
      <c r="D68" s="13">
        <v>1282.75</v>
      </c>
      <c r="E68" s="13">
        <v>1185.300048828125</v>
      </c>
      <c r="F68" s="13">
        <v>1196.050048828125</v>
      </c>
      <c r="G68" s="13">
        <v>5516127</v>
      </c>
      <c r="H68" s="13">
        <v>1141.2850097656251</v>
      </c>
      <c r="I68" s="13">
        <v>1327.9437976993622</v>
      </c>
      <c r="J68" s="13">
        <v>954.62622183188785</v>
      </c>
      <c r="M68" s="26">
        <v>45362</v>
      </c>
      <c r="N68" s="13" t="s">
        <v>682</v>
      </c>
      <c r="O68" s="13">
        <v>1246.449951171875</v>
      </c>
      <c r="P68" s="13">
        <v>1261.050048828125</v>
      </c>
      <c r="Q68" s="13">
        <v>1185.300048828125</v>
      </c>
      <c r="R68" s="13">
        <v>1196.050048828125</v>
      </c>
      <c r="S68" s="13">
        <v>2483416</v>
      </c>
      <c r="T68" s="13">
        <v>1236.1050170898438</v>
      </c>
      <c r="U68" s="13">
        <v>1269.6747230914973</v>
      </c>
      <c r="V68" s="13">
        <v>1202.5353110881904</v>
      </c>
      <c r="AA68" s="26">
        <v>45352</v>
      </c>
      <c r="AB68" s="13" t="s">
        <v>682</v>
      </c>
      <c r="AC68" s="13">
        <v>1260.800048828125</v>
      </c>
      <c r="AD68" s="13">
        <v>1282.75</v>
      </c>
      <c r="AE68" s="13">
        <v>1185.300048828125</v>
      </c>
      <c r="AF68" s="13">
        <v>1196.050048828125</v>
      </c>
      <c r="AG68" s="13">
        <v>5516127</v>
      </c>
      <c r="AH68" s="13">
        <v>1151.4699829101562</v>
      </c>
      <c r="AI68" s="13">
        <v>1317.2925367875484</v>
      </c>
      <c r="AJ68" s="13">
        <v>985.64742903276397</v>
      </c>
      <c r="AM68" s="26">
        <v>45362</v>
      </c>
      <c r="AN68" s="13" t="s">
        <v>682</v>
      </c>
      <c r="AO68" s="13">
        <v>1246.449951171875</v>
      </c>
      <c r="AP68" s="13">
        <v>1261.050048828125</v>
      </c>
      <c r="AQ68" s="13">
        <v>1185.300048828125</v>
      </c>
      <c r="AR68" s="13">
        <v>1196.050048828125</v>
      </c>
      <c r="AS68" s="13">
        <v>2483416</v>
      </c>
      <c r="AT68" s="13">
        <v>1238.0099853515626</v>
      </c>
      <c r="AU68" s="13">
        <v>1285.5080577384933</v>
      </c>
      <c r="AV68" s="13">
        <v>1190.5119129646318</v>
      </c>
    </row>
    <row r="69" spans="1:49" x14ac:dyDescent="0.3">
      <c r="A69" s="26">
        <v>45352</v>
      </c>
      <c r="B69" s="13" t="s">
        <v>683</v>
      </c>
      <c r="C69" s="13">
        <v>2400</v>
      </c>
      <c r="D69" s="13">
        <v>2541.300048828125</v>
      </c>
      <c r="E69" s="13">
        <v>2181.14990234375</v>
      </c>
      <c r="F69" s="13">
        <v>2205.25</v>
      </c>
      <c r="G69" s="13">
        <v>6255905</v>
      </c>
      <c r="H69" s="13">
        <v>2135.2450195312499</v>
      </c>
      <c r="I69" s="13">
        <v>2584.082983395786</v>
      </c>
      <c r="J69" s="13">
        <v>1686.4070556667139</v>
      </c>
      <c r="M69" s="26">
        <v>45362</v>
      </c>
      <c r="N69" s="13" t="s">
        <v>683</v>
      </c>
      <c r="O69" s="13">
        <v>2470.14990234375</v>
      </c>
      <c r="P69" s="13">
        <v>2497</v>
      </c>
      <c r="Q69" s="13">
        <v>2181.14990234375</v>
      </c>
      <c r="R69" s="13">
        <v>2205.25</v>
      </c>
      <c r="S69" s="13">
        <v>2355696</v>
      </c>
      <c r="T69" s="13">
        <v>2379.9200195312501</v>
      </c>
      <c r="U69" s="13">
        <v>2509.0478970532363</v>
      </c>
      <c r="V69" s="13">
        <v>2250.7921420092639</v>
      </c>
      <c r="AA69" s="26">
        <v>45352</v>
      </c>
      <c r="AB69" s="13" t="s">
        <v>683</v>
      </c>
      <c r="AC69" s="13">
        <v>2400</v>
      </c>
      <c r="AD69" s="13">
        <v>2541.300048828125</v>
      </c>
      <c r="AE69" s="13">
        <v>2181.14990234375</v>
      </c>
      <c r="AF69" s="13">
        <v>2205.25</v>
      </c>
      <c r="AG69" s="13">
        <v>6255905</v>
      </c>
      <c r="AH69" s="13">
        <v>2174.0999755859375</v>
      </c>
      <c r="AI69" s="13">
        <v>2580.6863197776884</v>
      </c>
      <c r="AJ69" s="13">
        <v>1767.5136313941866</v>
      </c>
      <c r="AM69" s="26">
        <v>45362</v>
      </c>
      <c r="AN69" s="13" t="s">
        <v>683</v>
      </c>
      <c r="AO69" s="13">
        <v>2470.14990234375</v>
      </c>
      <c r="AP69" s="13">
        <v>2497</v>
      </c>
      <c r="AQ69" s="13">
        <v>2181.14990234375</v>
      </c>
      <c r="AR69" s="13">
        <v>2205.25</v>
      </c>
      <c r="AS69" s="13">
        <v>2355696</v>
      </c>
      <c r="AT69" s="13">
        <v>2374.1</v>
      </c>
      <c r="AU69" s="13">
        <v>2581.5854766190432</v>
      </c>
      <c r="AV69" s="13">
        <v>2166.6145233809566</v>
      </c>
    </row>
    <row r="70" spans="1:49" x14ac:dyDescent="0.3">
      <c r="A70" s="26">
        <v>45352</v>
      </c>
      <c r="B70" s="13" t="s">
        <v>684</v>
      </c>
      <c r="C70" s="13">
        <v>465</v>
      </c>
      <c r="D70" s="13">
        <v>474.85000610351563</v>
      </c>
      <c r="E70" s="13">
        <v>407.10000610351563</v>
      </c>
      <c r="F70" s="13">
        <v>412.14999389648438</v>
      </c>
      <c r="G70" s="13">
        <v>9282438</v>
      </c>
      <c r="H70" s="13">
        <v>410.66000366210938</v>
      </c>
      <c r="I70" s="13">
        <v>472.69583297966017</v>
      </c>
      <c r="J70" s="13">
        <v>348.62417434455858</v>
      </c>
      <c r="M70" s="26">
        <v>45362</v>
      </c>
      <c r="N70" s="13" t="s">
        <v>684</v>
      </c>
      <c r="O70" s="13">
        <v>458</v>
      </c>
      <c r="P70" s="13">
        <v>459.75</v>
      </c>
      <c r="Q70" s="13">
        <v>407.10000610351563</v>
      </c>
      <c r="R70" s="13">
        <v>412.14999389648438</v>
      </c>
      <c r="S70" s="13">
        <v>3883910</v>
      </c>
      <c r="T70" s="13">
        <v>452.41500244140627</v>
      </c>
      <c r="U70" s="13">
        <v>479.5950538586535</v>
      </c>
      <c r="V70" s="13">
        <v>425.23495102415905</v>
      </c>
      <c r="AA70" s="26">
        <v>45352</v>
      </c>
      <c r="AB70" s="13" t="s">
        <v>684</v>
      </c>
      <c r="AC70" s="13">
        <v>465</v>
      </c>
      <c r="AD70" s="13">
        <v>474.85000610351563</v>
      </c>
      <c r="AE70" s="13">
        <v>407.10000610351563</v>
      </c>
      <c r="AF70" s="13">
        <v>412.14999389648438</v>
      </c>
      <c r="AG70" s="13">
        <v>9282438</v>
      </c>
      <c r="AH70" s="13">
        <v>419.57000122070315</v>
      </c>
      <c r="AI70" s="13">
        <v>466.33830792631045</v>
      </c>
      <c r="AJ70" s="13">
        <v>372.80169451509585</v>
      </c>
      <c r="AM70" s="26">
        <v>45362</v>
      </c>
      <c r="AN70" s="13" t="s">
        <v>684</v>
      </c>
      <c r="AO70" s="13">
        <v>458</v>
      </c>
      <c r="AP70" s="13">
        <v>459.75</v>
      </c>
      <c r="AQ70" s="13">
        <v>407.10000610351563</v>
      </c>
      <c r="AR70" s="13">
        <v>412.14999389648438</v>
      </c>
      <c r="AS70" s="13">
        <v>3883910</v>
      </c>
      <c r="AT70" s="13">
        <v>451.2</v>
      </c>
      <c r="AU70" s="13">
        <v>491.0056336430755</v>
      </c>
      <c r="AV70" s="13">
        <v>411.39436635692448</v>
      </c>
    </row>
    <row r="71" spans="1:49" x14ac:dyDescent="0.3">
      <c r="A71" s="26">
        <v>45352</v>
      </c>
      <c r="B71" s="13" t="s">
        <v>685</v>
      </c>
      <c r="C71" s="13">
        <v>2209</v>
      </c>
      <c r="D71" s="13">
        <v>2270.550048828125</v>
      </c>
      <c r="E71" s="13">
        <v>2137.300048828125</v>
      </c>
      <c r="F71" s="13">
        <v>2149.10009765625</v>
      </c>
      <c r="G71" s="13">
        <v>5221920</v>
      </c>
      <c r="H71" s="13">
        <v>2089.4723754882812</v>
      </c>
      <c r="I71" s="13">
        <v>2265.0079876672912</v>
      </c>
      <c r="J71" s="13">
        <v>1913.9367633092711</v>
      </c>
      <c r="M71" s="26">
        <v>45362</v>
      </c>
      <c r="N71" s="13" t="s">
        <v>685</v>
      </c>
      <c r="O71" s="13">
        <v>2230</v>
      </c>
      <c r="P71" s="13">
        <v>2270.550048828125</v>
      </c>
      <c r="Q71" s="13">
        <v>2137.300048828125</v>
      </c>
      <c r="R71" s="13">
        <v>2149.10009765625</v>
      </c>
      <c r="S71" s="13">
        <v>2372408</v>
      </c>
      <c r="T71" s="13">
        <v>2185.4350097656252</v>
      </c>
      <c r="U71" s="13">
        <v>2265.8277331323388</v>
      </c>
      <c r="V71" s="13">
        <v>2105.0422863989115</v>
      </c>
      <c r="AA71" s="26">
        <v>45352</v>
      </c>
      <c r="AB71" s="13" t="s">
        <v>685</v>
      </c>
      <c r="AC71" s="13">
        <v>2209</v>
      </c>
      <c r="AD71" s="13">
        <v>2270.550048828125</v>
      </c>
      <c r="AE71" s="13">
        <v>2137.300048828125</v>
      </c>
      <c r="AF71" s="13">
        <v>2149.10009765625</v>
      </c>
      <c r="AG71" s="13">
        <v>5221920</v>
      </c>
      <c r="AH71" s="13">
        <v>2127.8705322265623</v>
      </c>
      <c r="AI71" s="13">
        <v>2265.5795669822928</v>
      </c>
      <c r="AJ71" s="13">
        <v>1990.1614974708318</v>
      </c>
      <c r="AM71" s="26">
        <v>45362</v>
      </c>
      <c r="AN71" s="13" t="s">
        <v>685</v>
      </c>
      <c r="AO71" s="13">
        <v>2230</v>
      </c>
      <c r="AP71" s="13">
        <v>2270.550048828125</v>
      </c>
      <c r="AQ71" s="13">
        <v>2137.300048828125</v>
      </c>
      <c r="AR71" s="13">
        <v>2149.10009765625</v>
      </c>
      <c r="AS71" s="13">
        <v>2372408</v>
      </c>
      <c r="AT71" s="13">
        <v>2186.4299804687498</v>
      </c>
      <c r="AU71" s="13">
        <v>2293.7872892850883</v>
      </c>
      <c r="AV71" s="13">
        <v>2079.0726716524114</v>
      </c>
    </row>
    <row r="72" spans="1:49" x14ac:dyDescent="0.3">
      <c r="A72" s="26">
        <v>45352</v>
      </c>
      <c r="B72" s="13" t="s">
        <v>686</v>
      </c>
      <c r="C72" s="13">
        <v>568</v>
      </c>
      <c r="D72" s="13">
        <v>595.75</v>
      </c>
      <c r="E72" s="13">
        <v>523.20001220703125</v>
      </c>
      <c r="F72" s="13">
        <v>528.4000244140625</v>
      </c>
      <c r="G72" s="13">
        <v>8900581</v>
      </c>
      <c r="H72" s="13">
        <v>502.79000244140627</v>
      </c>
      <c r="I72" s="13">
        <v>621.73482302372258</v>
      </c>
      <c r="J72" s="13">
        <v>383.84518185908996</v>
      </c>
      <c r="M72" s="26">
        <v>45362</v>
      </c>
      <c r="N72" s="13" t="s">
        <v>686</v>
      </c>
      <c r="O72" s="13">
        <v>576.95001220703125</v>
      </c>
      <c r="P72" s="13">
        <v>576.95001220703125</v>
      </c>
      <c r="Q72" s="13">
        <v>523.20001220703125</v>
      </c>
      <c r="R72" s="13">
        <v>528.4000244140625</v>
      </c>
      <c r="S72" s="13">
        <v>2548353</v>
      </c>
      <c r="T72" s="13">
        <v>559.7600036621094</v>
      </c>
      <c r="U72" s="13">
        <v>579.33009626567309</v>
      </c>
      <c r="V72" s="13">
        <v>540.1899110585457</v>
      </c>
      <c r="AA72" s="26">
        <v>45352</v>
      </c>
      <c r="AB72" s="13" t="s">
        <v>686</v>
      </c>
      <c r="AC72" s="13">
        <v>568</v>
      </c>
      <c r="AD72" s="13">
        <v>595.75</v>
      </c>
      <c r="AE72" s="13">
        <v>523.20001220703125</v>
      </c>
      <c r="AF72" s="13">
        <v>528.4000244140625</v>
      </c>
      <c r="AG72" s="13">
        <v>8900581</v>
      </c>
      <c r="AH72" s="13">
        <v>513.93999633789065</v>
      </c>
      <c r="AI72" s="13">
        <v>629.4092114126521</v>
      </c>
      <c r="AJ72" s="13">
        <v>398.4707812631292</v>
      </c>
      <c r="AM72" s="26">
        <v>45362</v>
      </c>
      <c r="AN72" s="13" t="s">
        <v>686</v>
      </c>
      <c r="AO72" s="13">
        <v>576.95001220703125</v>
      </c>
      <c r="AP72" s="13">
        <v>576.95001220703125</v>
      </c>
      <c r="AQ72" s="13">
        <v>523.20001220703125</v>
      </c>
      <c r="AR72" s="13">
        <v>528.4000244140625</v>
      </c>
      <c r="AS72" s="13">
        <v>2548353</v>
      </c>
      <c r="AT72" s="13">
        <v>559.96999511718752</v>
      </c>
      <c r="AU72" s="13">
        <v>599.70542517348497</v>
      </c>
      <c r="AV72" s="13">
        <v>520.23456506089008</v>
      </c>
    </row>
    <row r="73" spans="1:49" x14ac:dyDescent="0.3">
      <c r="A73" s="26">
        <v>45352</v>
      </c>
      <c r="B73" s="13" t="s">
        <v>687</v>
      </c>
      <c r="C73" s="13">
        <v>3099</v>
      </c>
      <c r="D73" s="13">
        <v>3428</v>
      </c>
      <c r="E73" s="13">
        <v>3015.75</v>
      </c>
      <c r="F73" s="13">
        <v>3039.5</v>
      </c>
      <c r="G73" s="13">
        <v>15844603</v>
      </c>
      <c r="H73" s="13">
        <v>2781.5949951171874</v>
      </c>
      <c r="I73" s="13">
        <v>3529.7099501160656</v>
      </c>
      <c r="J73" s="13">
        <v>2033.4800401183095</v>
      </c>
      <c r="M73" s="26">
        <v>45362</v>
      </c>
      <c r="N73" s="13" t="s">
        <v>687</v>
      </c>
      <c r="O73" s="13">
        <v>3365</v>
      </c>
      <c r="P73" s="13">
        <v>3428</v>
      </c>
      <c r="Q73" s="13">
        <v>3015.75</v>
      </c>
      <c r="R73" s="13">
        <v>3039.5</v>
      </c>
      <c r="S73" s="13">
        <v>7389426</v>
      </c>
      <c r="T73" s="13">
        <v>3107.3300048828123</v>
      </c>
      <c r="U73" s="13">
        <v>3319.7805376646797</v>
      </c>
      <c r="V73" s="13">
        <v>2894.8794721009449</v>
      </c>
      <c r="W73" s="13" t="s">
        <v>404</v>
      </c>
      <c r="AA73" s="26">
        <v>45352</v>
      </c>
      <c r="AB73" s="13" t="s">
        <v>687</v>
      </c>
      <c r="AC73" s="13">
        <v>3099</v>
      </c>
      <c r="AD73" s="13">
        <v>3428</v>
      </c>
      <c r="AE73" s="13">
        <v>3015.75</v>
      </c>
      <c r="AF73" s="13">
        <v>3039.5</v>
      </c>
      <c r="AG73" s="13">
        <v>15844603</v>
      </c>
      <c r="AH73" s="13">
        <v>2861.35</v>
      </c>
      <c r="AI73" s="13">
        <v>3379.4773108098457</v>
      </c>
      <c r="AJ73" s="13">
        <v>2343.2226891901541</v>
      </c>
      <c r="AM73" s="26">
        <v>45362</v>
      </c>
      <c r="AN73" s="13" t="s">
        <v>687</v>
      </c>
      <c r="AO73" s="13">
        <v>3365</v>
      </c>
      <c r="AP73" s="13">
        <v>3428</v>
      </c>
      <c r="AQ73" s="13">
        <v>3015.75</v>
      </c>
      <c r="AR73" s="13">
        <v>3039.5</v>
      </c>
      <c r="AS73" s="13">
        <v>7389426</v>
      </c>
      <c r="AT73" s="13">
        <v>3127.0800292968752</v>
      </c>
      <c r="AU73" s="13">
        <v>3334.1183919633804</v>
      </c>
      <c r="AV73" s="13">
        <v>2920.0416666303699</v>
      </c>
      <c r="AW73" s="13" t="s">
        <v>404</v>
      </c>
    </row>
    <row r="74" spans="1:49" x14ac:dyDescent="0.3">
      <c r="A74" s="26">
        <v>45352</v>
      </c>
      <c r="B74" s="13" t="s">
        <v>688</v>
      </c>
      <c r="C74" s="13">
        <v>1528.949951171875</v>
      </c>
      <c r="D74" s="13">
        <v>1588</v>
      </c>
      <c r="E74" s="13">
        <v>1464.050048828125</v>
      </c>
      <c r="F74" s="13">
        <v>1474.050048828125</v>
      </c>
      <c r="G74" s="13">
        <v>9503779</v>
      </c>
      <c r="H74" s="13">
        <v>1389.4800048828124</v>
      </c>
      <c r="I74" s="13">
        <v>1556.2372344566375</v>
      </c>
      <c r="J74" s="13">
        <v>1222.7227753089874</v>
      </c>
      <c r="M74" s="26">
        <v>45362</v>
      </c>
      <c r="N74" s="13" t="s">
        <v>688</v>
      </c>
      <c r="O74" s="13">
        <v>1543.1500244140625</v>
      </c>
      <c r="P74" s="13">
        <v>1561.3499755859375</v>
      </c>
      <c r="Q74" s="13">
        <v>1464.050048828125</v>
      </c>
      <c r="R74" s="13">
        <v>1474.050048828125</v>
      </c>
      <c r="S74" s="13">
        <v>2943332</v>
      </c>
      <c r="T74" s="13">
        <v>1463.1600219726563</v>
      </c>
      <c r="U74" s="13">
        <v>1599.7642915022432</v>
      </c>
      <c r="V74" s="13">
        <v>1326.5557524430694</v>
      </c>
      <c r="AA74" s="26">
        <v>45352</v>
      </c>
      <c r="AB74" s="13" t="s">
        <v>688</v>
      </c>
      <c r="AC74" s="13">
        <v>1528.949951171875</v>
      </c>
      <c r="AD74" s="13">
        <v>1588</v>
      </c>
      <c r="AE74" s="13">
        <v>1464.050048828125</v>
      </c>
      <c r="AF74" s="13">
        <v>1474.050048828125</v>
      </c>
      <c r="AG74" s="13">
        <v>9503779</v>
      </c>
      <c r="AH74" s="13">
        <v>1394.0800048828125</v>
      </c>
      <c r="AI74" s="13">
        <v>1582.1578022479557</v>
      </c>
      <c r="AJ74" s="13">
        <v>1206.0022075176694</v>
      </c>
      <c r="AM74" s="26">
        <v>45362</v>
      </c>
      <c r="AN74" s="13" t="s">
        <v>688</v>
      </c>
      <c r="AO74" s="13">
        <v>1543.1500244140625</v>
      </c>
      <c r="AP74" s="13">
        <v>1561.3499755859375</v>
      </c>
      <c r="AQ74" s="13">
        <v>1464.050048828125</v>
      </c>
      <c r="AR74" s="13">
        <v>1474.050048828125</v>
      </c>
      <c r="AS74" s="13">
        <v>2943332</v>
      </c>
      <c r="AT74" s="13">
        <v>1472.2800048828126</v>
      </c>
      <c r="AU74" s="13">
        <v>1578.4412335543484</v>
      </c>
      <c r="AV74" s="13">
        <v>1366.1187762112768</v>
      </c>
    </row>
    <row r="75" spans="1:49" x14ac:dyDescent="0.3">
      <c r="A75" s="26">
        <v>45352</v>
      </c>
      <c r="B75" s="13" t="s">
        <v>689</v>
      </c>
      <c r="C75" s="13">
        <v>1675.449951171875</v>
      </c>
      <c r="D75" s="13">
        <v>1679.199951171875</v>
      </c>
      <c r="E75" s="13">
        <v>1603.8499755859375</v>
      </c>
      <c r="F75" s="13">
        <v>1631.5</v>
      </c>
      <c r="G75" s="13">
        <v>20994777</v>
      </c>
      <c r="H75" s="13">
        <v>1498.425</v>
      </c>
      <c r="I75" s="13">
        <v>1758.5854395345928</v>
      </c>
      <c r="J75" s="13">
        <v>1238.2645604654072</v>
      </c>
      <c r="M75" s="26">
        <v>45362</v>
      </c>
      <c r="N75" s="13" t="s">
        <v>689</v>
      </c>
      <c r="O75" s="13">
        <v>1655</v>
      </c>
      <c r="P75" s="13">
        <v>1665</v>
      </c>
      <c r="Q75" s="13">
        <v>1610.3499755859375</v>
      </c>
      <c r="R75" s="13">
        <v>1631.5</v>
      </c>
      <c r="S75" s="13">
        <v>7948606</v>
      </c>
      <c r="T75" s="13">
        <v>1650.0949951171874</v>
      </c>
      <c r="U75" s="13">
        <v>1678.1498867013254</v>
      </c>
      <c r="V75" s="13">
        <v>1622.0401035330494</v>
      </c>
      <c r="AA75" s="26">
        <v>45352</v>
      </c>
      <c r="AB75" s="13" t="s">
        <v>689</v>
      </c>
      <c r="AC75" s="13">
        <v>1675.449951171875</v>
      </c>
      <c r="AD75" s="13">
        <v>1679.199951171875</v>
      </c>
      <c r="AE75" s="13">
        <v>1603.8499755859375</v>
      </c>
      <c r="AF75" s="13">
        <v>1631.5</v>
      </c>
      <c r="AG75" s="13">
        <v>20994777</v>
      </c>
      <c r="AH75" s="13">
        <v>1535.6699951171875</v>
      </c>
      <c r="AI75" s="13">
        <v>1772.3391069639706</v>
      </c>
      <c r="AJ75" s="13">
        <v>1299.0008832704043</v>
      </c>
      <c r="AM75" s="26">
        <v>45362</v>
      </c>
      <c r="AN75" s="13" t="s">
        <v>689</v>
      </c>
      <c r="AO75" s="13">
        <v>1655</v>
      </c>
      <c r="AP75" s="13">
        <v>1665</v>
      </c>
      <c r="AQ75" s="13">
        <v>1610.3499755859375</v>
      </c>
      <c r="AR75" s="13">
        <v>1631.5</v>
      </c>
      <c r="AS75" s="13">
        <v>7948606</v>
      </c>
      <c r="AT75" s="13">
        <v>1649.289990234375</v>
      </c>
      <c r="AU75" s="13">
        <v>1678.6787623982354</v>
      </c>
      <c r="AV75" s="13">
        <v>1619.9012180705145</v>
      </c>
    </row>
    <row r="76" spans="1:49" x14ac:dyDescent="0.3">
      <c r="A76" s="26">
        <v>45352</v>
      </c>
      <c r="B76" s="13" t="s">
        <v>690</v>
      </c>
      <c r="C76" s="13">
        <v>3753</v>
      </c>
      <c r="D76" s="13">
        <v>3876.300048828125</v>
      </c>
      <c r="E76" s="13">
        <v>3586.050048828125</v>
      </c>
      <c r="F76" s="13">
        <v>3636.050048828125</v>
      </c>
      <c r="G76" s="13">
        <v>2627093</v>
      </c>
      <c r="H76" s="13">
        <v>3376.3799804687501</v>
      </c>
      <c r="I76" s="13">
        <v>4091.7383931720592</v>
      </c>
      <c r="J76" s="13">
        <v>2661.021567765441</v>
      </c>
      <c r="M76" s="26">
        <v>45362</v>
      </c>
      <c r="N76" s="13" t="s">
        <v>690</v>
      </c>
      <c r="O76" s="13">
        <v>3750</v>
      </c>
      <c r="P76" s="13">
        <v>3834.64990234375</v>
      </c>
      <c r="Q76" s="13">
        <v>3586.050048828125</v>
      </c>
      <c r="R76" s="13">
        <v>3636.050048828125</v>
      </c>
      <c r="S76" s="13">
        <v>1288347</v>
      </c>
      <c r="T76" s="13">
        <v>3783.9649902343749</v>
      </c>
      <c r="U76" s="13">
        <v>3910.9922655319801</v>
      </c>
      <c r="V76" s="13">
        <v>3656.9377149367697</v>
      </c>
      <c r="AA76" s="26">
        <v>45352</v>
      </c>
      <c r="AB76" s="13" t="s">
        <v>690</v>
      </c>
      <c r="AC76" s="13">
        <v>3753</v>
      </c>
      <c r="AD76" s="13">
        <v>3876.300048828125</v>
      </c>
      <c r="AE76" s="13">
        <v>3586.050048828125</v>
      </c>
      <c r="AF76" s="13">
        <v>3636.050048828125</v>
      </c>
      <c r="AG76" s="13">
        <v>2627093</v>
      </c>
      <c r="AH76" s="13">
        <v>3429.02001953125</v>
      </c>
      <c r="AI76" s="13">
        <v>4017.1507725769716</v>
      </c>
      <c r="AJ76" s="13">
        <v>2840.8892664855284</v>
      </c>
      <c r="AM76" s="26">
        <v>45362</v>
      </c>
      <c r="AN76" s="13" t="s">
        <v>690</v>
      </c>
      <c r="AO76" s="13">
        <v>3750</v>
      </c>
      <c r="AP76" s="13">
        <v>3834.64990234375</v>
      </c>
      <c r="AQ76" s="13">
        <v>3586.050048828125</v>
      </c>
      <c r="AR76" s="13">
        <v>3636.050048828125</v>
      </c>
      <c r="AS76" s="13">
        <v>1288347</v>
      </c>
      <c r="AT76" s="13">
        <v>3771.9700195312498</v>
      </c>
      <c r="AU76" s="13">
        <v>3932.2826040171499</v>
      </c>
      <c r="AV76" s="13">
        <v>3611.6574350453498</v>
      </c>
    </row>
    <row r="77" spans="1:49" x14ac:dyDescent="0.3">
      <c r="A77" s="26">
        <v>45352</v>
      </c>
      <c r="B77" s="13" t="s">
        <v>691</v>
      </c>
      <c r="C77" s="13">
        <v>1400</v>
      </c>
      <c r="D77" s="13">
        <v>1471.5999755859375</v>
      </c>
      <c r="E77" s="13">
        <v>1400</v>
      </c>
      <c r="F77" s="13">
        <v>1460.4000244140625</v>
      </c>
      <c r="G77" s="13">
        <v>189556552</v>
      </c>
      <c r="H77" s="13">
        <v>1511.3599975585937</v>
      </c>
      <c r="I77" s="13">
        <v>1667.6389972724494</v>
      </c>
      <c r="J77" s="13">
        <v>1355.080997844738</v>
      </c>
      <c r="M77" s="26">
        <v>45362</v>
      </c>
      <c r="N77" s="13" t="s">
        <v>691</v>
      </c>
      <c r="O77" s="13">
        <v>1430</v>
      </c>
      <c r="P77" s="13">
        <v>1471.5999755859375</v>
      </c>
      <c r="Q77" s="13">
        <v>1423</v>
      </c>
      <c r="R77" s="13">
        <v>1460.4000244140625</v>
      </c>
      <c r="S77" s="13">
        <v>89504242</v>
      </c>
      <c r="T77" s="13">
        <v>1426.8300048828125</v>
      </c>
      <c r="U77" s="13">
        <v>1464.1348466940203</v>
      </c>
      <c r="V77" s="13">
        <v>1389.5251630716048</v>
      </c>
      <c r="AA77" s="26">
        <v>45352</v>
      </c>
      <c r="AB77" s="13" t="s">
        <v>691</v>
      </c>
      <c r="AC77" s="13">
        <v>1400</v>
      </c>
      <c r="AD77" s="13">
        <v>1471.5999755859375</v>
      </c>
      <c r="AE77" s="13">
        <v>1400</v>
      </c>
      <c r="AF77" s="13">
        <v>1460.4000244140625</v>
      </c>
      <c r="AG77" s="13">
        <v>189556552</v>
      </c>
      <c r="AH77" s="13">
        <v>1518.8800292968749</v>
      </c>
      <c r="AI77" s="13">
        <v>1733.8459668838741</v>
      </c>
      <c r="AJ77" s="13">
        <v>1303.9140917098757</v>
      </c>
      <c r="AM77" s="26">
        <v>45362</v>
      </c>
      <c r="AN77" s="13" t="s">
        <v>691</v>
      </c>
      <c r="AO77" s="13">
        <v>1430</v>
      </c>
      <c r="AP77" s="13">
        <v>1471.5999755859375</v>
      </c>
      <c r="AQ77" s="13">
        <v>1423</v>
      </c>
      <c r="AR77" s="13">
        <v>1460.4000244140625</v>
      </c>
      <c r="AS77" s="13">
        <v>89504242</v>
      </c>
      <c r="AT77" s="13">
        <v>1435.55</v>
      </c>
      <c r="AU77" s="13">
        <v>1466.7947200539861</v>
      </c>
      <c r="AV77" s="13">
        <v>1404.3052799460138</v>
      </c>
    </row>
    <row r="78" spans="1:49" x14ac:dyDescent="0.3">
      <c r="A78" s="26">
        <v>45352</v>
      </c>
      <c r="B78" s="13" t="s">
        <v>692</v>
      </c>
      <c r="C78" s="13">
        <v>584.9000244140625</v>
      </c>
      <c r="D78" s="13">
        <v>629.79998779296875</v>
      </c>
      <c r="E78" s="13">
        <v>583</v>
      </c>
      <c r="F78" s="13">
        <v>610.04998779296875</v>
      </c>
      <c r="G78" s="13">
        <v>35247414</v>
      </c>
      <c r="H78" s="13">
        <v>626.70499267578123</v>
      </c>
      <c r="I78" s="13">
        <v>688.76671175445483</v>
      </c>
      <c r="J78" s="13">
        <v>564.64327359710762</v>
      </c>
      <c r="M78" s="26">
        <v>45362</v>
      </c>
      <c r="N78" s="13" t="s">
        <v>692</v>
      </c>
      <c r="O78" s="13">
        <v>625</v>
      </c>
      <c r="P78" s="13">
        <v>629.79998779296875</v>
      </c>
      <c r="Q78" s="13">
        <v>604.04998779296875</v>
      </c>
      <c r="R78" s="13">
        <v>610.04998779296875</v>
      </c>
      <c r="S78" s="13">
        <v>11593013</v>
      </c>
      <c r="T78" s="13">
        <v>593.7399963378906</v>
      </c>
      <c r="U78" s="13">
        <v>623.45637752552864</v>
      </c>
      <c r="V78" s="13">
        <v>564.02361515025257</v>
      </c>
      <c r="W78" s="13" t="s">
        <v>404</v>
      </c>
      <c r="AA78" s="26">
        <v>45352</v>
      </c>
      <c r="AB78" s="13" t="s">
        <v>692</v>
      </c>
      <c r="AC78" s="13">
        <v>584.9000244140625</v>
      </c>
      <c r="AD78" s="13">
        <v>629.79998779296875</v>
      </c>
      <c r="AE78" s="13">
        <v>583</v>
      </c>
      <c r="AF78" s="13">
        <v>610.04998779296875</v>
      </c>
      <c r="AG78" s="13">
        <v>35247414</v>
      </c>
      <c r="AH78" s="13">
        <v>621.21999511718752</v>
      </c>
      <c r="AI78" s="13">
        <v>706.71888902108367</v>
      </c>
      <c r="AJ78" s="13">
        <v>535.72110121329138</v>
      </c>
      <c r="AM78" s="26">
        <v>45362</v>
      </c>
      <c r="AN78" s="13" t="s">
        <v>692</v>
      </c>
      <c r="AO78" s="13">
        <v>625</v>
      </c>
      <c r="AP78" s="13">
        <v>629.79998779296875</v>
      </c>
      <c r="AQ78" s="13">
        <v>604.04998779296875</v>
      </c>
      <c r="AR78" s="13">
        <v>610.04998779296875</v>
      </c>
      <c r="AS78" s="13">
        <v>11593013</v>
      </c>
      <c r="AT78" s="13">
        <v>599.0200073242188</v>
      </c>
      <c r="AU78" s="13">
        <v>628.79916058855804</v>
      </c>
      <c r="AV78" s="13">
        <v>569.24085405987955</v>
      </c>
    </row>
    <row r="79" spans="1:49" x14ac:dyDescent="0.3">
      <c r="A79" s="26">
        <v>45352</v>
      </c>
      <c r="B79" s="13" t="s">
        <v>693</v>
      </c>
      <c r="C79" s="13">
        <v>4459.89990234375</v>
      </c>
      <c r="D79" s="13">
        <v>4725</v>
      </c>
      <c r="E79" s="13">
        <v>4450</v>
      </c>
      <c r="F79" s="13">
        <v>4512.10009765625</v>
      </c>
      <c r="G79" s="13">
        <v>4218780</v>
      </c>
      <c r="H79" s="13">
        <v>4186.7349609374996</v>
      </c>
      <c r="I79" s="13">
        <v>5068.475081990101</v>
      </c>
      <c r="J79" s="13">
        <v>3304.9948398848983</v>
      </c>
      <c r="M79" s="26">
        <v>45362</v>
      </c>
      <c r="N79" s="13" t="s">
        <v>693</v>
      </c>
      <c r="O79" s="13">
        <v>4700</v>
      </c>
      <c r="P79" s="13">
        <v>4725</v>
      </c>
      <c r="Q79" s="13">
        <v>4476.5498046875</v>
      </c>
      <c r="R79" s="13">
        <v>4512.10009765625</v>
      </c>
      <c r="S79" s="13">
        <v>1657013</v>
      </c>
      <c r="T79" s="13">
        <v>4628.1949218749996</v>
      </c>
      <c r="U79" s="13">
        <v>4858.2571862400855</v>
      </c>
      <c r="V79" s="13">
        <v>4398.1326575099138</v>
      </c>
      <c r="AA79" s="26">
        <v>45352</v>
      </c>
      <c r="AB79" s="13" t="s">
        <v>693</v>
      </c>
      <c r="AC79" s="13">
        <v>4459.89990234375</v>
      </c>
      <c r="AD79" s="13">
        <v>4725</v>
      </c>
      <c r="AE79" s="13">
        <v>4450</v>
      </c>
      <c r="AF79" s="13">
        <v>4512.10009765625</v>
      </c>
      <c r="AG79" s="13">
        <v>4218780</v>
      </c>
      <c r="AH79" s="13">
        <v>4303.7499511718752</v>
      </c>
      <c r="AI79" s="13">
        <v>4884.3494953394202</v>
      </c>
      <c r="AJ79" s="13">
        <v>3723.1504070043306</v>
      </c>
      <c r="AM79" s="26">
        <v>45362</v>
      </c>
      <c r="AN79" s="13" t="s">
        <v>693</v>
      </c>
      <c r="AO79" s="13">
        <v>4700</v>
      </c>
      <c r="AP79" s="13">
        <v>4725</v>
      </c>
      <c r="AQ79" s="13">
        <v>4476.5498046875</v>
      </c>
      <c r="AR79" s="13">
        <v>4512.10009765625</v>
      </c>
      <c r="AS79" s="13">
        <v>1657013</v>
      </c>
      <c r="AT79" s="13">
        <v>4617.1299804687496</v>
      </c>
      <c r="AU79" s="13">
        <v>4914.8828185614184</v>
      </c>
      <c r="AV79" s="13">
        <v>4319.3771423760809</v>
      </c>
    </row>
    <row r="80" spans="1:49" x14ac:dyDescent="0.3">
      <c r="A80" s="26">
        <v>45352</v>
      </c>
      <c r="B80" s="13" t="s">
        <v>694</v>
      </c>
      <c r="C80" s="13">
        <v>510</v>
      </c>
      <c r="D80" s="13">
        <v>543.25</v>
      </c>
      <c r="E80" s="13">
        <v>501.20001220703125</v>
      </c>
      <c r="F80" s="13">
        <v>507</v>
      </c>
      <c r="G80" s="13">
        <v>49090174</v>
      </c>
      <c r="H80" s="13">
        <v>541.91999816894531</v>
      </c>
      <c r="I80" s="13">
        <v>606.36252807008213</v>
      </c>
      <c r="J80" s="13">
        <v>477.47746826780849</v>
      </c>
      <c r="M80" s="26">
        <v>45362</v>
      </c>
      <c r="N80" s="13" t="s">
        <v>694</v>
      </c>
      <c r="O80" s="13">
        <v>540</v>
      </c>
      <c r="P80" s="13">
        <v>543.25</v>
      </c>
      <c r="Q80" s="13">
        <v>501.20001220703125</v>
      </c>
      <c r="R80" s="13">
        <v>507</v>
      </c>
      <c r="S80" s="13">
        <v>14941186</v>
      </c>
      <c r="T80" s="13">
        <v>526.40499877929688</v>
      </c>
      <c r="U80" s="13">
        <v>551.57862103495904</v>
      </c>
      <c r="V80" s="13">
        <v>501.23137652363471</v>
      </c>
      <c r="AA80" s="26">
        <v>45352</v>
      </c>
      <c r="AB80" s="13" t="s">
        <v>694</v>
      </c>
      <c r="AC80" s="13">
        <v>510</v>
      </c>
      <c r="AD80" s="13">
        <v>543.25</v>
      </c>
      <c r="AE80" s="13">
        <v>501.20001220703125</v>
      </c>
      <c r="AF80" s="13">
        <v>507</v>
      </c>
      <c r="AG80" s="13">
        <v>49090174</v>
      </c>
      <c r="AH80" s="13">
        <v>544.13999633789058</v>
      </c>
      <c r="AI80" s="13">
        <v>633.82381849190983</v>
      </c>
      <c r="AJ80" s="13">
        <v>454.45617418387133</v>
      </c>
      <c r="AM80" s="26">
        <v>45362</v>
      </c>
      <c r="AN80" s="13" t="s">
        <v>694</v>
      </c>
      <c r="AO80" s="13">
        <v>540</v>
      </c>
      <c r="AP80" s="13">
        <v>543.25</v>
      </c>
      <c r="AQ80" s="13">
        <v>501.20001220703125</v>
      </c>
      <c r="AR80" s="13">
        <v>507</v>
      </c>
      <c r="AS80" s="13">
        <v>14941186</v>
      </c>
      <c r="AT80" s="13">
        <v>519.3699951171875</v>
      </c>
      <c r="AU80" s="13">
        <v>538.71793343600064</v>
      </c>
      <c r="AV80" s="13">
        <v>500.02205679837436</v>
      </c>
      <c r="AW80" s="13" t="s">
        <v>404</v>
      </c>
    </row>
    <row r="81" spans="1:48" x14ac:dyDescent="0.3">
      <c r="A81" s="26">
        <v>45352</v>
      </c>
      <c r="B81" s="13" t="s">
        <v>695</v>
      </c>
      <c r="C81" s="13">
        <v>271.89999389648438</v>
      </c>
      <c r="D81" s="13">
        <v>290</v>
      </c>
      <c r="E81" s="13">
        <v>231</v>
      </c>
      <c r="F81" s="13">
        <v>235.05000305175781</v>
      </c>
      <c r="G81" s="13">
        <v>63136142</v>
      </c>
      <c r="H81" s="13">
        <v>237.2499984741211</v>
      </c>
      <c r="I81" s="13">
        <v>321.95200365127334</v>
      </c>
      <c r="J81" s="13">
        <v>152.54799329696885</v>
      </c>
      <c r="M81" s="26">
        <v>45362</v>
      </c>
      <c r="N81" s="13" t="s">
        <v>695</v>
      </c>
      <c r="O81" s="13">
        <v>281.54998779296875</v>
      </c>
      <c r="P81" s="13">
        <v>281.54998779296875</v>
      </c>
      <c r="Q81" s="13">
        <v>231</v>
      </c>
      <c r="R81" s="13">
        <v>235.05000305175781</v>
      </c>
      <c r="S81" s="13">
        <v>24686256</v>
      </c>
      <c r="T81" s="13">
        <v>261.75999908447267</v>
      </c>
      <c r="U81" s="13">
        <v>281.65461504554065</v>
      </c>
      <c r="V81" s="13">
        <v>241.86538312340468</v>
      </c>
      <c r="AA81" s="26">
        <v>45352</v>
      </c>
      <c r="AB81" s="13" t="s">
        <v>695</v>
      </c>
      <c r="AC81" s="13">
        <v>271.89999389648438</v>
      </c>
      <c r="AD81" s="13">
        <v>290</v>
      </c>
      <c r="AE81" s="13">
        <v>231</v>
      </c>
      <c r="AF81" s="13">
        <v>235.05000305175781</v>
      </c>
      <c r="AG81" s="13">
        <v>63136142</v>
      </c>
      <c r="AH81" s="13">
        <v>248.1199951171875</v>
      </c>
      <c r="AI81" s="13">
        <v>331.08213405695403</v>
      </c>
      <c r="AJ81" s="13">
        <v>165.15785617742097</v>
      </c>
      <c r="AM81" s="26">
        <v>45362</v>
      </c>
      <c r="AN81" s="13" t="s">
        <v>695</v>
      </c>
      <c r="AO81" s="13">
        <v>281.54998779296875</v>
      </c>
      <c r="AP81" s="13">
        <v>281.54998779296875</v>
      </c>
      <c r="AQ81" s="13">
        <v>231</v>
      </c>
      <c r="AR81" s="13">
        <v>235.05000305175781</v>
      </c>
      <c r="AS81" s="13">
        <v>24686256</v>
      </c>
      <c r="AT81" s="13">
        <v>261.69999694824219</v>
      </c>
      <c r="AU81" s="13">
        <v>292.25034901617835</v>
      </c>
      <c r="AV81" s="13">
        <v>231.14964488030603</v>
      </c>
    </row>
    <row r="82" spans="1:48" x14ac:dyDescent="0.3">
      <c r="A82" s="26">
        <v>45352</v>
      </c>
      <c r="B82" s="13" t="s">
        <v>696</v>
      </c>
      <c r="C82" s="13">
        <v>516</v>
      </c>
      <c r="D82" s="13">
        <v>531.45001220703125</v>
      </c>
      <c r="E82" s="13">
        <v>478.60000610351563</v>
      </c>
      <c r="F82" s="13">
        <v>483.89999389648438</v>
      </c>
      <c r="G82" s="13">
        <v>54244117</v>
      </c>
      <c r="H82" s="13">
        <v>432.00999755859374</v>
      </c>
      <c r="I82" s="13">
        <v>595.04236851027053</v>
      </c>
      <c r="J82" s="13">
        <v>268.97762660691689</v>
      </c>
      <c r="M82" s="26">
        <v>45362</v>
      </c>
      <c r="N82" s="13" t="s">
        <v>696</v>
      </c>
      <c r="O82" s="13">
        <v>506</v>
      </c>
      <c r="P82" s="13">
        <v>522</v>
      </c>
      <c r="Q82" s="13">
        <v>478.60000610351563</v>
      </c>
      <c r="R82" s="13">
        <v>483.89999389648438</v>
      </c>
      <c r="S82" s="13">
        <v>22664592</v>
      </c>
      <c r="T82" s="13">
        <v>525.83999328613277</v>
      </c>
      <c r="U82" s="13">
        <v>558.70257752856924</v>
      </c>
      <c r="V82" s="13">
        <v>492.9774090436963</v>
      </c>
      <c r="AA82" s="26">
        <v>45352</v>
      </c>
      <c r="AB82" s="13" t="s">
        <v>696</v>
      </c>
      <c r="AC82" s="13">
        <v>516</v>
      </c>
      <c r="AD82" s="13">
        <v>531.45001220703125</v>
      </c>
      <c r="AE82" s="13">
        <v>478.60000610351563</v>
      </c>
      <c r="AF82" s="13">
        <v>483.89999389648438</v>
      </c>
      <c r="AG82" s="13">
        <v>54244117</v>
      </c>
      <c r="AH82" s="13">
        <v>440.56999511718749</v>
      </c>
      <c r="AI82" s="13">
        <v>559.0486118439386</v>
      </c>
      <c r="AJ82" s="13">
        <v>322.09137839043638</v>
      </c>
      <c r="AM82" s="26">
        <v>45362</v>
      </c>
      <c r="AN82" s="13" t="s">
        <v>696</v>
      </c>
      <c r="AO82" s="13">
        <v>506</v>
      </c>
      <c r="AP82" s="13">
        <v>522</v>
      </c>
      <c r="AQ82" s="13">
        <v>478.60000610351563</v>
      </c>
      <c r="AR82" s="13">
        <v>483.89999389648438</v>
      </c>
      <c r="AS82" s="13">
        <v>22664592</v>
      </c>
      <c r="AT82" s="13">
        <v>520.57000122070315</v>
      </c>
      <c r="AU82" s="13">
        <v>574.14767596820002</v>
      </c>
      <c r="AV82" s="13">
        <v>466.99232647320628</v>
      </c>
    </row>
    <row r="83" spans="1:48" x14ac:dyDescent="0.3">
      <c r="A83" s="26">
        <v>45352</v>
      </c>
      <c r="B83" s="13" t="s">
        <v>697</v>
      </c>
      <c r="C83" s="13">
        <v>2416.949951171875</v>
      </c>
      <c r="D83" s="13">
        <v>2438.800048828125</v>
      </c>
      <c r="E83" s="13">
        <v>2303.85009765625</v>
      </c>
      <c r="F83" s="13">
        <v>2312.60009765625</v>
      </c>
      <c r="G83" s="13">
        <v>13964934</v>
      </c>
      <c r="H83" s="13">
        <v>2481.77001953125</v>
      </c>
      <c r="I83" s="13">
        <v>2628.8219665349811</v>
      </c>
      <c r="J83" s="13">
        <v>2334.7180725275189</v>
      </c>
      <c r="M83" s="26">
        <v>45362</v>
      </c>
      <c r="N83" s="13" t="s">
        <v>697</v>
      </c>
      <c r="O83" s="13">
        <v>2409</v>
      </c>
      <c r="P83" s="13">
        <v>2413</v>
      </c>
      <c r="Q83" s="13">
        <v>2303.85009765625</v>
      </c>
      <c r="R83" s="13">
        <v>2312.60009765625</v>
      </c>
      <c r="S83" s="13">
        <v>5375415</v>
      </c>
      <c r="T83" s="13">
        <v>2390.4000244140625</v>
      </c>
      <c r="U83" s="13">
        <v>2425.3658762404953</v>
      </c>
      <c r="V83" s="13">
        <v>2355.4341725876297</v>
      </c>
      <c r="AA83" s="26">
        <v>45352</v>
      </c>
      <c r="AB83" s="13" t="s">
        <v>697</v>
      </c>
      <c r="AC83" s="13">
        <v>2416.949951171875</v>
      </c>
      <c r="AD83" s="13">
        <v>2438.800048828125</v>
      </c>
      <c r="AE83" s="13">
        <v>2303.85009765625</v>
      </c>
      <c r="AF83" s="13">
        <v>2312.60009765625</v>
      </c>
      <c r="AG83" s="13">
        <v>13964934</v>
      </c>
      <c r="AH83" s="13">
        <v>2483.1900390625001</v>
      </c>
      <c r="AI83" s="13">
        <v>2720.9999211719605</v>
      </c>
      <c r="AJ83" s="13">
        <v>2245.3801569530397</v>
      </c>
      <c r="AM83" s="26">
        <v>45362</v>
      </c>
      <c r="AN83" s="13" t="s">
        <v>697</v>
      </c>
      <c r="AO83" s="13">
        <v>2409</v>
      </c>
      <c r="AP83" s="13">
        <v>2413</v>
      </c>
      <c r="AQ83" s="13">
        <v>2303.85009765625</v>
      </c>
      <c r="AR83" s="13">
        <v>2312.60009765625</v>
      </c>
      <c r="AS83" s="13">
        <v>5375415</v>
      </c>
      <c r="AT83" s="13">
        <v>2382.2400390624998</v>
      </c>
      <c r="AU83" s="13">
        <v>2458.0573282610681</v>
      </c>
      <c r="AV83" s="13">
        <v>2306.4227498639316</v>
      </c>
    </row>
    <row r="84" spans="1:48" x14ac:dyDescent="0.3">
      <c r="A84" s="26">
        <v>45352</v>
      </c>
      <c r="B84" s="13" t="s">
        <v>698</v>
      </c>
      <c r="C84" s="13">
        <v>1055</v>
      </c>
      <c r="D84" s="13">
        <v>1113.550048828125</v>
      </c>
      <c r="E84" s="13">
        <v>1054</v>
      </c>
      <c r="F84" s="13">
        <v>1083.949951171875</v>
      </c>
      <c r="G84" s="13">
        <v>127268649</v>
      </c>
      <c r="H84" s="13">
        <v>1008.8800048828125</v>
      </c>
      <c r="I84" s="13">
        <v>1109.5126554382553</v>
      </c>
      <c r="J84" s="13">
        <v>908.24735432736986</v>
      </c>
      <c r="M84" s="26">
        <v>45362</v>
      </c>
      <c r="N84" s="13" t="s">
        <v>698</v>
      </c>
      <c r="O84" s="13">
        <v>1087.949951171875</v>
      </c>
      <c r="P84" s="13">
        <v>1094.800048828125</v>
      </c>
      <c r="Q84" s="13">
        <v>1055.6500244140625</v>
      </c>
      <c r="R84" s="13">
        <v>1083.949951171875</v>
      </c>
      <c r="S84" s="13">
        <v>59951552</v>
      </c>
      <c r="T84" s="13">
        <v>1058.325</v>
      </c>
      <c r="U84" s="13">
        <v>1115.5449990391621</v>
      </c>
      <c r="V84" s="13">
        <v>1001.1050009608381</v>
      </c>
      <c r="AA84" s="26">
        <v>45352</v>
      </c>
      <c r="AB84" s="13" t="s">
        <v>698</v>
      </c>
      <c r="AC84" s="13">
        <v>1055</v>
      </c>
      <c r="AD84" s="13">
        <v>1113.550048828125</v>
      </c>
      <c r="AE84" s="13">
        <v>1054</v>
      </c>
      <c r="AF84" s="13">
        <v>1083.949951171875</v>
      </c>
      <c r="AG84" s="13">
        <v>127268649</v>
      </c>
      <c r="AH84" s="13">
        <v>1019.1699829101563</v>
      </c>
      <c r="AI84" s="13">
        <v>1121.0344926576511</v>
      </c>
      <c r="AJ84" s="13">
        <v>917.30547316266143</v>
      </c>
      <c r="AM84" s="26">
        <v>45362</v>
      </c>
      <c r="AN84" s="13" t="s">
        <v>698</v>
      </c>
      <c r="AO84" s="13">
        <v>1087.949951171875</v>
      </c>
      <c r="AP84" s="13">
        <v>1094.800048828125</v>
      </c>
      <c r="AQ84" s="13">
        <v>1055.6500244140625</v>
      </c>
      <c r="AR84" s="13">
        <v>1083.949951171875</v>
      </c>
      <c r="AS84" s="13">
        <v>59951552</v>
      </c>
      <c r="AT84" s="13">
        <v>1068.6699951171875</v>
      </c>
      <c r="AU84" s="13">
        <v>1118.1053654135069</v>
      </c>
      <c r="AV84" s="13">
        <v>1019.2346248208679</v>
      </c>
    </row>
    <row r="85" spans="1:48" x14ac:dyDescent="0.3">
      <c r="A85" s="26">
        <v>45352</v>
      </c>
      <c r="B85" s="13" t="s">
        <v>699</v>
      </c>
      <c r="C85" s="13">
        <v>1724.4000244140625</v>
      </c>
      <c r="D85" s="13">
        <v>1724.4000244140625</v>
      </c>
      <c r="E85" s="13">
        <v>1625.0999755859375</v>
      </c>
      <c r="F85" s="13">
        <v>1643.25</v>
      </c>
      <c r="G85" s="13">
        <v>8393064</v>
      </c>
      <c r="H85" s="13">
        <v>1515.5500122070312</v>
      </c>
      <c r="I85" s="13">
        <v>1729.9214160147892</v>
      </c>
      <c r="J85" s="13">
        <v>1301.1786083992731</v>
      </c>
      <c r="M85" s="26">
        <v>45362</v>
      </c>
      <c r="N85" s="13" t="s">
        <v>699</v>
      </c>
      <c r="O85" s="13">
        <v>1666.1500244140625</v>
      </c>
      <c r="P85" s="13">
        <v>1699</v>
      </c>
      <c r="Q85" s="13">
        <v>1629.199951171875</v>
      </c>
      <c r="R85" s="13">
        <v>1643.25</v>
      </c>
      <c r="S85" s="13">
        <v>3575107</v>
      </c>
      <c r="T85" s="13">
        <v>1653.9849975585937</v>
      </c>
      <c r="U85" s="13">
        <v>1689.2863113233491</v>
      </c>
      <c r="V85" s="13">
        <v>1618.6836837938383</v>
      </c>
      <c r="AA85" s="26">
        <v>45352</v>
      </c>
      <c r="AB85" s="13" t="s">
        <v>699</v>
      </c>
      <c r="AC85" s="13">
        <v>1724.4000244140625</v>
      </c>
      <c r="AD85" s="13">
        <v>1724.4000244140625</v>
      </c>
      <c r="AE85" s="13">
        <v>1625.0999755859375</v>
      </c>
      <c r="AF85" s="13">
        <v>1643.25</v>
      </c>
      <c r="AG85" s="13">
        <v>8393064</v>
      </c>
      <c r="AH85" s="13">
        <v>1550.439990234375</v>
      </c>
      <c r="AI85" s="13">
        <v>1768.4860146764652</v>
      </c>
      <c r="AJ85" s="13">
        <v>1332.3939657922849</v>
      </c>
      <c r="AM85" s="26">
        <v>45362</v>
      </c>
      <c r="AN85" s="13" t="s">
        <v>699</v>
      </c>
      <c r="AO85" s="13">
        <v>1666.1500244140625</v>
      </c>
      <c r="AP85" s="13">
        <v>1699</v>
      </c>
      <c r="AQ85" s="13">
        <v>1629.199951171875</v>
      </c>
      <c r="AR85" s="13">
        <v>1643.25</v>
      </c>
      <c r="AS85" s="13">
        <v>3575107</v>
      </c>
      <c r="AT85" s="13">
        <v>1647.5800048828125</v>
      </c>
      <c r="AU85" s="13">
        <v>1666.5884026569233</v>
      </c>
      <c r="AV85" s="13">
        <v>1628.5716071087018</v>
      </c>
    </row>
    <row r="86" spans="1:48" x14ac:dyDescent="0.3">
      <c r="A86" s="26">
        <v>45352</v>
      </c>
      <c r="B86" s="13" t="s">
        <v>700</v>
      </c>
      <c r="C86" s="13">
        <v>539</v>
      </c>
      <c r="D86" s="13">
        <v>614.70001220703125</v>
      </c>
      <c r="E86" s="13">
        <v>533.95001220703125</v>
      </c>
      <c r="F86" s="13">
        <v>573.54998779296875</v>
      </c>
      <c r="G86" s="13">
        <v>32238566</v>
      </c>
      <c r="H86" s="13">
        <v>535.88999938964844</v>
      </c>
      <c r="I86" s="13">
        <v>582.09503912160005</v>
      </c>
      <c r="J86" s="13">
        <v>489.68495965769682</v>
      </c>
      <c r="M86" s="26">
        <v>45362</v>
      </c>
      <c r="N86" s="13" t="s">
        <v>700</v>
      </c>
      <c r="O86" s="13">
        <v>595</v>
      </c>
      <c r="P86" s="13">
        <v>614.70001220703125</v>
      </c>
      <c r="Q86" s="13">
        <v>567</v>
      </c>
      <c r="R86" s="13">
        <v>573.54998779296875</v>
      </c>
      <c r="S86" s="13">
        <v>14927366</v>
      </c>
      <c r="T86" s="13">
        <v>542.84500122070313</v>
      </c>
      <c r="U86" s="13">
        <v>603.79044869043287</v>
      </c>
      <c r="V86" s="13">
        <v>481.89955375097333</v>
      </c>
      <c r="AA86" s="26">
        <v>45352</v>
      </c>
      <c r="AB86" s="13" t="s">
        <v>700</v>
      </c>
      <c r="AC86" s="13">
        <v>539</v>
      </c>
      <c r="AD86" s="13">
        <v>614.70001220703125</v>
      </c>
      <c r="AE86" s="13">
        <v>533.95001220703125</v>
      </c>
      <c r="AF86" s="13">
        <v>573.54998779296875</v>
      </c>
      <c r="AG86" s="13">
        <v>32238566</v>
      </c>
      <c r="AH86" s="13">
        <v>541.3799926757813</v>
      </c>
      <c r="AI86" s="13">
        <v>590.84065236443973</v>
      </c>
      <c r="AJ86" s="13">
        <v>491.91933298712291</v>
      </c>
      <c r="AM86" s="26">
        <v>45362</v>
      </c>
      <c r="AN86" s="13" t="s">
        <v>700</v>
      </c>
      <c r="AO86" s="13">
        <v>595</v>
      </c>
      <c r="AP86" s="13">
        <v>614.70001220703125</v>
      </c>
      <c r="AQ86" s="13">
        <v>567</v>
      </c>
      <c r="AR86" s="13">
        <v>573.54998779296875</v>
      </c>
      <c r="AS86" s="13">
        <v>14927366</v>
      </c>
      <c r="AT86" s="13">
        <v>546.29998779296875</v>
      </c>
      <c r="AU86" s="13">
        <v>602.18371943210298</v>
      </c>
      <c r="AV86" s="13">
        <v>490.41625615383452</v>
      </c>
    </row>
    <row r="87" spans="1:48" x14ac:dyDescent="0.3">
      <c r="A87" s="26">
        <v>45352</v>
      </c>
      <c r="B87" s="13" t="s">
        <v>701</v>
      </c>
      <c r="C87" s="13">
        <v>13.899999618530273</v>
      </c>
      <c r="D87" s="13">
        <v>14.75</v>
      </c>
      <c r="E87" s="13">
        <v>11.75</v>
      </c>
      <c r="F87" s="13">
        <v>12.399999618530273</v>
      </c>
      <c r="G87" s="13">
        <v>3023804126</v>
      </c>
      <c r="H87" s="13">
        <v>14.664999866485596</v>
      </c>
      <c r="I87" s="13">
        <v>17.160515481537367</v>
      </c>
      <c r="J87" s="13">
        <v>12.169484251433827</v>
      </c>
      <c r="M87" s="26">
        <v>45362</v>
      </c>
      <c r="N87" s="13" t="s">
        <v>701</v>
      </c>
      <c r="O87" s="13">
        <v>14.300000190734863</v>
      </c>
      <c r="P87" s="13">
        <v>14.350000381469727</v>
      </c>
      <c r="Q87" s="13">
        <v>11.75</v>
      </c>
      <c r="R87" s="13">
        <v>12.399999618530273</v>
      </c>
      <c r="S87" s="13">
        <v>1148124852</v>
      </c>
      <c r="T87" s="13">
        <v>15.030000114440918</v>
      </c>
      <c r="U87" s="13">
        <v>17.557330567156637</v>
      </c>
      <c r="V87" s="13">
        <v>12.5026696617252</v>
      </c>
      <c r="AA87" s="26">
        <v>45352</v>
      </c>
      <c r="AB87" s="13" t="s">
        <v>701</v>
      </c>
      <c r="AC87" s="13">
        <v>13.899999618530273</v>
      </c>
      <c r="AD87" s="13">
        <v>14.75</v>
      </c>
      <c r="AE87" s="13">
        <v>11.75</v>
      </c>
      <c r="AF87" s="13">
        <v>12.399999618530273</v>
      </c>
      <c r="AG87" s="13">
        <v>3023804126</v>
      </c>
      <c r="AH87" s="13">
        <v>13.889999961853027</v>
      </c>
      <c r="AI87" s="13">
        <v>16.363378436798307</v>
      </c>
      <c r="AJ87" s="13">
        <v>11.416621486907747</v>
      </c>
      <c r="AM87" s="26">
        <v>45362</v>
      </c>
      <c r="AN87" s="13" t="s">
        <v>701</v>
      </c>
      <c r="AO87" s="13">
        <v>14.300000190734863</v>
      </c>
      <c r="AP87" s="13">
        <v>14.350000381469727</v>
      </c>
      <c r="AQ87" s="13">
        <v>11.75</v>
      </c>
      <c r="AR87" s="13">
        <v>12.399999618530273</v>
      </c>
      <c r="AS87" s="13">
        <v>1148124852</v>
      </c>
      <c r="AT87" s="13">
        <v>14.859999656677246</v>
      </c>
      <c r="AU87" s="13">
        <v>18.344479213859938</v>
      </c>
      <c r="AV87" s="13">
        <v>11.375520099494555</v>
      </c>
    </row>
    <row r="88" spans="1:48" x14ac:dyDescent="0.3">
      <c r="A88" s="26">
        <v>45352</v>
      </c>
      <c r="B88" s="13" t="s">
        <v>702</v>
      </c>
      <c r="C88" s="13">
        <v>116.69999694824219</v>
      </c>
      <c r="D88" s="13">
        <v>119</v>
      </c>
      <c r="E88" s="13">
        <v>107.80000305175781</v>
      </c>
      <c r="F88" s="13">
        <v>108.90000152587891</v>
      </c>
      <c r="G88" s="13">
        <v>53796416</v>
      </c>
      <c r="H88" s="13">
        <v>118.53999938964844</v>
      </c>
      <c r="I88" s="13">
        <v>126.18202509962319</v>
      </c>
      <c r="J88" s="13">
        <v>110.8979736796737</v>
      </c>
      <c r="M88" s="26">
        <v>45362</v>
      </c>
      <c r="N88" s="13" t="s">
        <v>702</v>
      </c>
      <c r="O88" s="13">
        <v>115.40000152587891</v>
      </c>
      <c r="P88" s="13">
        <v>116.15000152587891</v>
      </c>
      <c r="Q88" s="13">
        <v>107.80000305175781</v>
      </c>
      <c r="R88" s="13">
        <v>108.90000152587891</v>
      </c>
      <c r="S88" s="13">
        <v>27444920</v>
      </c>
      <c r="T88" s="13">
        <v>115.72500076293946</v>
      </c>
      <c r="U88" s="13">
        <v>119.69223989079877</v>
      </c>
      <c r="V88" s="13">
        <v>111.75776163508014</v>
      </c>
      <c r="AA88" s="26">
        <v>45352</v>
      </c>
      <c r="AB88" s="13" t="s">
        <v>702</v>
      </c>
      <c r="AC88" s="13">
        <v>116.69999694824219</v>
      </c>
      <c r="AD88" s="13">
        <v>119</v>
      </c>
      <c r="AE88" s="13">
        <v>107.80000305175781</v>
      </c>
      <c r="AF88" s="13">
        <v>108.90000152587891</v>
      </c>
      <c r="AG88" s="13">
        <v>53796416</v>
      </c>
      <c r="AH88" s="13">
        <v>117.97999877929688</v>
      </c>
      <c r="AI88" s="13">
        <v>129.37606814540246</v>
      </c>
      <c r="AJ88" s="13">
        <v>106.5839294131913</v>
      </c>
      <c r="AM88" s="26">
        <v>45362</v>
      </c>
      <c r="AN88" s="13" t="s">
        <v>702</v>
      </c>
      <c r="AO88" s="13">
        <v>115.40000152587891</v>
      </c>
      <c r="AP88" s="13">
        <v>116.15000152587891</v>
      </c>
      <c r="AQ88" s="13">
        <v>107.80000305175781</v>
      </c>
      <c r="AR88" s="13">
        <v>108.90000152587891</v>
      </c>
      <c r="AS88" s="13">
        <v>27444920</v>
      </c>
      <c r="AT88" s="13">
        <v>115.81000213623047</v>
      </c>
      <c r="AU88" s="13">
        <v>123.10887955319355</v>
      </c>
      <c r="AV88" s="13">
        <v>108.51112471926739</v>
      </c>
    </row>
    <row r="89" spans="1:48" x14ac:dyDescent="0.3">
      <c r="A89" s="26">
        <v>45352</v>
      </c>
      <c r="B89" s="13" t="s">
        <v>703</v>
      </c>
      <c r="C89" s="13">
        <v>81.349998474121094</v>
      </c>
      <c r="D89" s="13">
        <v>82.849998474121094</v>
      </c>
      <c r="E89" s="13">
        <v>77</v>
      </c>
      <c r="F89" s="13">
        <v>77.5</v>
      </c>
      <c r="G89" s="13">
        <v>243863680</v>
      </c>
      <c r="H89" s="13">
        <v>83.840000915527341</v>
      </c>
      <c r="I89" s="13">
        <v>90.115795188454982</v>
      </c>
      <c r="J89" s="13">
        <v>77.5642066425997</v>
      </c>
      <c r="M89" s="26">
        <v>45362</v>
      </c>
      <c r="N89" s="13" t="s">
        <v>703</v>
      </c>
      <c r="O89" s="13">
        <v>81.099998474121094</v>
      </c>
      <c r="P89" s="13">
        <v>81.349998474121094</v>
      </c>
      <c r="Q89" s="13">
        <v>77</v>
      </c>
      <c r="R89" s="13">
        <v>77.5</v>
      </c>
      <c r="S89" s="13">
        <v>100895365</v>
      </c>
      <c r="T89" s="13">
        <v>81.055000305175781</v>
      </c>
      <c r="U89" s="13">
        <v>83.149613705748408</v>
      </c>
      <c r="V89" s="13">
        <v>78.960386904603155</v>
      </c>
      <c r="AA89" s="26">
        <v>45352</v>
      </c>
      <c r="AB89" s="13" t="s">
        <v>703</v>
      </c>
      <c r="AC89" s="13">
        <v>81.349998474121094</v>
      </c>
      <c r="AD89" s="13">
        <v>82.849998474121094</v>
      </c>
      <c r="AE89" s="13">
        <v>77</v>
      </c>
      <c r="AF89" s="13">
        <v>77.5</v>
      </c>
      <c r="AG89" s="13">
        <v>243863680</v>
      </c>
      <c r="AH89" s="13">
        <v>83.4</v>
      </c>
      <c r="AI89" s="13">
        <v>91.131752119975474</v>
      </c>
      <c r="AJ89" s="13">
        <v>75.668247880024538</v>
      </c>
      <c r="AM89" s="26">
        <v>45362</v>
      </c>
      <c r="AN89" s="13" t="s">
        <v>703</v>
      </c>
      <c r="AO89" s="13">
        <v>81.099998474121094</v>
      </c>
      <c r="AP89" s="13">
        <v>81.349998474121094</v>
      </c>
      <c r="AQ89" s="13">
        <v>77</v>
      </c>
      <c r="AR89" s="13">
        <v>77.5</v>
      </c>
      <c r="AS89" s="13">
        <v>100895365</v>
      </c>
      <c r="AT89" s="13">
        <v>81.239999389648432</v>
      </c>
      <c r="AU89" s="13">
        <v>85.268595336470554</v>
      </c>
      <c r="AV89" s="13">
        <v>77.21140344282631</v>
      </c>
    </row>
    <row r="90" spans="1:48" x14ac:dyDescent="0.3">
      <c r="A90" s="26">
        <v>45352</v>
      </c>
      <c r="B90" s="13" t="s">
        <v>704</v>
      </c>
      <c r="C90" s="13">
        <v>143.14999389648438</v>
      </c>
      <c r="D90" s="13">
        <v>158.39999389648438</v>
      </c>
      <c r="E90" s="13">
        <v>131.60000610351563</v>
      </c>
      <c r="F90" s="13">
        <v>133.10000610351563</v>
      </c>
      <c r="G90" s="13">
        <v>98019346</v>
      </c>
      <c r="H90" s="13">
        <v>147.80499801635742</v>
      </c>
      <c r="I90" s="13">
        <v>161.28718890828469</v>
      </c>
      <c r="J90" s="13">
        <v>134.32280712443014</v>
      </c>
      <c r="M90" s="26">
        <v>45362</v>
      </c>
      <c r="N90" s="13" t="s">
        <v>704</v>
      </c>
      <c r="O90" s="13">
        <v>148.19999694824219</v>
      </c>
      <c r="P90" s="13">
        <v>148.44999694824219</v>
      </c>
      <c r="Q90" s="13">
        <v>131.60000610351563</v>
      </c>
      <c r="R90" s="13">
        <v>133.10000610351563</v>
      </c>
      <c r="S90" s="13">
        <v>28962318</v>
      </c>
      <c r="T90" s="13">
        <v>144.87999725341797</v>
      </c>
      <c r="U90" s="13">
        <v>152.78508145446318</v>
      </c>
      <c r="V90" s="13">
        <v>136.97491305237276</v>
      </c>
      <c r="AA90" s="26">
        <v>45352</v>
      </c>
      <c r="AB90" s="13" t="s">
        <v>704</v>
      </c>
      <c r="AC90" s="13">
        <v>143.14999389648438</v>
      </c>
      <c r="AD90" s="13">
        <v>158.39999389648438</v>
      </c>
      <c r="AE90" s="13">
        <v>131.60000610351563</v>
      </c>
      <c r="AF90" s="13">
        <v>133.10000610351563</v>
      </c>
      <c r="AG90" s="13">
        <v>98019346</v>
      </c>
      <c r="AH90" s="13">
        <v>146.94000244140625</v>
      </c>
      <c r="AI90" s="13">
        <v>170.05704134976827</v>
      </c>
      <c r="AJ90" s="13">
        <v>123.82296353304423</v>
      </c>
      <c r="AM90" s="26">
        <v>45362</v>
      </c>
      <c r="AN90" s="13" t="s">
        <v>704</v>
      </c>
      <c r="AO90" s="13">
        <v>148.19999694824219</v>
      </c>
      <c r="AP90" s="13">
        <v>148.44999694824219</v>
      </c>
      <c r="AQ90" s="13">
        <v>131.60000610351563</v>
      </c>
      <c r="AR90" s="13">
        <v>133.10000610351563</v>
      </c>
      <c r="AS90" s="13">
        <v>28962318</v>
      </c>
      <c r="AT90" s="13">
        <v>143.59000244140626</v>
      </c>
      <c r="AU90" s="13">
        <v>154.34683870793643</v>
      </c>
      <c r="AV90" s="13">
        <v>132.83316617487608</v>
      </c>
    </row>
    <row r="91" spans="1:48" x14ac:dyDescent="0.3">
      <c r="A91" s="26">
        <v>45352</v>
      </c>
      <c r="B91" s="13" t="s">
        <v>705</v>
      </c>
      <c r="C91" s="13">
        <v>427.70001220703125</v>
      </c>
      <c r="D91" s="13">
        <v>460</v>
      </c>
      <c r="E91" s="13">
        <v>403.39999389648438</v>
      </c>
      <c r="F91" s="13">
        <v>407.54998779296875</v>
      </c>
      <c r="G91" s="13">
        <v>28811125</v>
      </c>
      <c r="H91" s="13">
        <v>417.63500061035154</v>
      </c>
      <c r="I91" s="13">
        <v>452.14101554436184</v>
      </c>
      <c r="J91" s="13">
        <v>383.12898567634124</v>
      </c>
      <c r="M91" s="26">
        <v>45362</v>
      </c>
      <c r="N91" s="13" t="s">
        <v>705</v>
      </c>
      <c r="O91" s="13">
        <v>431.39999389648438</v>
      </c>
      <c r="P91" s="13">
        <v>437.95001220703125</v>
      </c>
      <c r="Q91" s="13">
        <v>403.39999389648438</v>
      </c>
      <c r="R91" s="13">
        <v>407.54998779296875</v>
      </c>
      <c r="S91" s="13">
        <v>7296961</v>
      </c>
      <c r="T91" s="13">
        <v>431.56000061035155</v>
      </c>
      <c r="U91" s="13">
        <v>445.97279116991831</v>
      </c>
      <c r="V91" s="13">
        <v>417.14721005078479</v>
      </c>
      <c r="AA91" s="26">
        <v>45352</v>
      </c>
      <c r="AB91" s="13" t="s">
        <v>705</v>
      </c>
      <c r="AC91" s="13">
        <v>427.70001220703125</v>
      </c>
      <c r="AD91" s="13">
        <v>460</v>
      </c>
      <c r="AE91" s="13">
        <v>403.39999389648438</v>
      </c>
      <c r="AF91" s="13">
        <v>407.54998779296875</v>
      </c>
      <c r="AG91" s="13">
        <v>28811125</v>
      </c>
      <c r="AH91" s="13">
        <v>414.27999877929688</v>
      </c>
      <c r="AI91" s="13">
        <v>443.85164343885714</v>
      </c>
      <c r="AJ91" s="13">
        <v>384.70835411973661</v>
      </c>
      <c r="AM91" s="26">
        <v>45362</v>
      </c>
      <c r="AN91" s="13" t="s">
        <v>705</v>
      </c>
      <c r="AO91" s="13">
        <v>431.39999389648438</v>
      </c>
      <c r="AP91" s="13">
        <v>437.95001220703125</v>
      </c>
      <c r="AQ91" s="13">
        <v>403.39999389648438</v>
      </c>
      <c r="AR91" s="13">
        <v>407.54998779296875</v>
      </c>
      <c r="AS91" s="13">
        <v>7296961</v>
      </c>
      <c r="AT91" s="13">
        <v>429.81999511718749</v>
      </c>
      <c r="AU91" s="13">
        <v>453.08822632195768</v>
      </c>
      <c r="AV91" s="13">
        <v>406.5517639124173</v>
      </c>
    </row>
    <row r="92" spans="1:48" x14ac:dyDescent="0.3">
      <c r="A92" s="26">
        <v>45352</v>
      </c>
      <c r="B92" s="13" t="s">
        <v>706</v>
      </c>
      <c r="C92" s="13">
        <v>589.9000244140625</v>
      </c>
      <c r="D92" s="13">
        <v>594.9000244140625</v>
      </c>
      <c r="E92" s="13">
        <v>540.25</v>
      </c>
      <c r="F92" s="13">
        <v>544.70001220703125</v>
      </c>
      <c r="G92" s="13">
        <v>31541660</v>
      </c>
      <c r="H92" s="13">
        <v>483.20500183105469</v>
      </c>
      <c r="I92" s="13">
        <v>609.17633614611373</v>
      </c>
      <c r="J92" s="13">
        <v>357.23366751599559</v>
      </c>
      <c r="M92" s="26">
        <v>45362</v>
      </c>
      <c r="N92" s="13" t="s">
        <v>706</v>
      </c>
      <c r="O92" s="13">
        <v>582</v>
      </c>
      <c r="P92" s="13">
        <v>588.1500244140625</v>
      </c>
      <c r="Q92" s="13">
        <v>540.25</v>
      </c>
      <c r="R92" s="13">
        <v>544.70001220703125</v>
      </c>
      <c r="S92" s="13">
        <v>13012412</v>
      </c>
      <c r="T92" s="13">
        <v>564.60499877929692</v>
      </c>
      <c r="U92" s="13">
        <v>603.59698695939551</v>
      </c>
      <c r="V92" s="13">
        <v>525.61301059919833</v>
      </c>
      <c r="AA92" s="26">
        <v>45352</v>
      </c>
      <c r="AB92" s="13" t="s">
        <v>706</v>
      </c>
      <c r="AC92" s="13">
        <v>589.9000244140625</v>
      </c>
      <c r="AD92" s="13">
        <v>594.9000244140625</v>
      </c>
      <c r="AE92" s="13">
        <v>540.25</v>
      </c>
      <c r="AF92" s="13">
        <v>544.70001220703125</v>
      </c>
      <c r="AG92" s="13">
        <v>31541660</v>
      </c>
      <c r="AH92" s="13">
        <v>496.82000732421875</v>
      </c>
      <c r="AI92" s="13">
        <v>621.55990909251534</v>
      </c>
      <c r="AJ92" s="13">
        <v>372.08010555592222</v>
      </c>
      <c r="AM92" s="26">
        <v>45362</v>
      </c>
      <c r="AN92" s="13" t="s">
        <v>706</v>
      </c>
      <c r="AO92" s="13">
        <v>582</v>
      </c>
      <c r="AP92" s="13">
        <v>588.1500244140625</v>
      </c>
      <c r="AQ92" s="13">
        <v>540.25</v>
      </c>
      <c r="AR92" s="13">
        <v>544.70001220703125</v>
      </c>
      <c r="AS92" s="13">
        <v>13012412</v>
      </c>
      <c r="AT92" s="13">
        <v>570.7400024414062</v>
      </c>
      <c r="AU92" s="13">
        <v>619.52079856958312</v>
      </c>
      <c r="AV92" s="13">
        <v>521.95920631322929</v>
      </c>
    </row>
    <row r="93" spans="1:48" x14ac:dyDescent="0.3">
      <c r="A93" s="26">
        <v>45352</v>
      </c>
      <c r="B93" s="13" t="s">
        <v>707</v>
      </c>
      <c r="C93" s="13">
        <v>229.60000610351563</v>
      </c>
      <c r="D93" s="13">
        <v>234.94999694824219</v>
      </c>
      <c r="E93" s="13">
        <v>194.14999389648438</v>
      </c>
      <c r="F93" s="13">
        <v>196.05000305175781</v>
      </c>
      <c r="G93" s="13">
        <v>15002774</v>
      </c>
      <c r="H93" s="13">
        <v>239.38499908447267</v>
      </c>
      <c r="I93" s="13">
        <v>272.82015474356569</v>
      </c>
      <c r="J93" s="13">
        <v>205.94984342537964</v>
      </c>
      <c r="M93" s="26">
        <v>45362</v>
      </c>
      <c r="N93" s="13" t="s">
        <v>707</v>
      </c>
      <c r="O93" s="13">
        <v>226</v>
      </c>
      <c r="P93" s="13">
        <v>227.19999694824219</v>
      </c>
      <c r="Q93" s="13">
        <v>194.14999389648438</v>
      </c>
      <c r="R93" s="13">
        <v>196.05000305175781</v>
      </c>
      <c r="S93" s="13">
        <v>7902968</v>
      </c>
      <c r="T93" s="13">
        <v>230.93000030517578</v>
      </c>
      <c r="U93" s="13">
        <v>254.52842674363046</v>
      </c>
      <c r="V93" s="13">
        <v>207.3315738667211</v>
      </c>
      <c r="AA93" s="26">
        <v>45352</v>
      </c>
      <c r="AB93" s="13" t="s">
        <v>707</v>
      </c>
      <c r="AC93" s="13">
        <v>229.60000610351563</v>
      </c>
      <c r="AD93" s="13">
        <v>234.94999694824219</v>
      </c>
      <c r="AE93" s="13">
        <v>194.14999389648438</v>
      </c>
      <c r="AF93" s="13">
        <v>196.05000305175781</v>
      </c>
      <c r="AG93" s="13">
        <v>15002774</v>
      </c>
      <c r="AH93" s="13">
        <v>239.31000061035155</v>
      </c>
      <c r="AI93" s="13">
        <v>288.27967487073533</v>
      </c>
      <c r="AJ93" s="13">
        <v>190.34032634996777</v>
      </c>
      <c r="AM93" s="26">
        <v>45362</v>
      </c>
      <c r="AN93" s="13" t="s">
        <v>707</v>
      </c>
      <c r="AO93" s="13">
        <v>226</v>
      </c>
      <c r="AP93" s="13">
        <v>227.19999694824219</v>
      </c>
      <c r="AQ93" s="13">
        <v>194.14999389648438</v>
      </c>
      <c r="AR93" s="13">
        <v>196.05000305175781</v>
      </c>
      <c r="AS93" s="13">
        <v>7902968</v>
      </c>
      <c r="AT93" s="13">
        <v>228.25</v>
      </c>
      <c r="AU93" s="13">
        <v>263.64671995667834</v>
      </c>
      <c r="AV93" s="13">
        <v>192.85328004332166</v>
      </c>
    </row>
    <row r="94" spans="1:48" x14ac:dyDescent="0.3">
      <c r="A94" s="26">
        <v>45352</v>
      </c>
      <c r="B94" s="13" t="s">
        <v>708</v>
      </c>
      <c r="C94" s="13">
        <v>2660</v>
      </c>
      <c r="D94" s="13">
        <v>2689.39990234375</v>
      </c>
      <c r="E94" s="13">
        <v>2504</v>
      </c>
      <c r="F94" s="13">
        <v>2516.89990234375</v>
      </c>
      <c r="G94" s="13">
        <v>1756366</v>
      </c>
      <c r="H94" s="13">
        <v>2638.4150146484376</v>
      </c>
      <c r="I94" s="13">
        <v>2753.0534363706784</v>
      </c>
      <c r="J94" s="13">
        <v>2523.7765929261968</v>
      </c>
      <c r="M94" s="26">
        <v>45362</v>
      </c>
      <c r="N94" s="13" t="s">
        <v>708</v>
      </c>
      <c r="O94" s="13">
        <v>2604.5</v>
      </c>
      <c r="P94" s="13">
        <v>2689.39990234375</v>
      </c>
      <c r="Q94" s="13">
        <v>2504</v>
      </c>
      <c r="R94" s="13">
        <v>2516.89990234375</v>
      </c>
      <c r="S94" s="13">
        <v>1293489</v>
      </c>
      <c r="T94" s="13">
        <v>2665.7799804687502</v>
      </c>
      <c r="U94" s="13">
        <v>2770.4154615998109</v>
      </c>
      <c r="V94" s="13">
        <v>2561.1444993376895</v>
      </c>
      <c r="AA94" s="26">
        <v>45352</v>
      </c>
      <c r="AB94" s="13" t="s">
        <v>708</v>
      </c>
      <c r="AC94" s="13">
        <v>2660</v>
      </c>
      <c r="AD94" s="13">
        <v>2689.39990234375</v>
      </c>
      <c r="AE94" s="13">
        <v>2504</v>
      </c>
      <c r="AF94" s="13">
        <v>2516.89990234375</v>
      </c>
      <c r="AG94" s="13">
        <v>1756366</v>
      </c>
      <c r="AH94" s="13">
        <v>2603.7799804687502</v>
      </c>
      <c r="AI94" s="13">
        <v>2760.975567817939</v>
      </c>
      <c r="AJ94" s="13">
        <v>2446.5843931195614</v>
      </c>
      <c r="AM94" s="26">
        <v>45362</v>
      </c>
      <c r="AN94" s="13" t="s">
        <v>708</v>
      </c>
      <c r="AO94" s="13">
        <v>2604.5</v>
      </c>
      <c r="AP94" s="13">
        <v>2689.39990234375</v>
      </c>
      <c r="AQ94" s="13">
        <v>2504</v>
      </c>
      <c r="AR94" s="13">
        <v>2516.89990234375</v>
      </c>
      <c r="AS94" s="13">
        <v>1293489</v>
      </c>
      <c r="AT94" s="13">
        <v>2645.7299316406252</v>
      </c>
      <c r="AU94" s="13">
        <v>2814.0804905061023</v>
      </c>
      <c r="AV94" s="13">
        <v>2477.3793727751481</v>
      </c>
    </row>
    <row r="95" spans="1:48" x14ac:dyDescent="0.3">
      <c r="A95" s="26">
        <v>45352</v>
      </c>
      <c r="B95" s="13" t="s">
        <v>709</v>
      </c>
      <c r="C95" s="13">
        <v>3155.39990234375</v>
      </c>
      <c r="D95" s="13">
        <v>3317</v>
      </c>
      <c r="E95" s="13">
        <v>3020</v>
      </c>
      <c r="F95" s="13">
        <v>3112.550048828125</v>
      </c>
      <c r="G95" s="13">
        <v>16984885</v>
      </c>
      <c r="H95" s="13">
        <v>2943.0650146484377</v>
      </c>
      <c r="I95" s="13">
        <v>3382.348022253012</v>
      </c>
      <c r="J95" s="13">
        <v>2503.7820070438634</v>
      </c>
      <c r="M95" s="26">
        <v>45362</v>
      </c>
      <c r="N95" s="13" t="s">
        <v>709</v>
      </c>
      <c r="O95" s="13">
        <v>3033.050048828125</v>
      </c>
      <c r="P95" s="13">
        <v>3317</v>
      </c>
      <c r="Q95" s="13">
        <v>3020</v>
      </c>
      <c r="R95" s="13">
        <v>3112.550048828125</v>
      </c>
      <c r="S95" s="13">
        <v>14440124</v>
      </c>
      <c r="T95" s="13">
        <v>3125.1250244140624</v>
      </c>
      <c r="U95" s="13">
        <v>3190.7065642792982</v>
      </c>
      <c r="V95" s="13">
        <v>3059.5434845488267</v>
      </c>
      <c r="AA95" s="26">
        <v>45352</v>
      </c>
      <c r="AB95" s="13" t="s">
        <v>709</v>
      </c>
      <c r="AC95" s="13">
        <v>3155.39990234375</v>
      </c>
      <c r="AD95" s="13">
        <v>3317</v>
      </c>
      <c r="AE95" s="13">
        <v>3020</v>
      </c>
      <c r="AF95" s="13">
        <v>3112.550048828125</v>
      </c>
      <c r="AG95" s="13">
        <v>16984885</v>
      </c>
      <c r="AH95" s="13">
        <v>2980.340087890625</v>
      </c>
      <c r="AI95" s="13">
        <v>3295.6347298861647</v>
      </c>
      <c r="AJ95" s="13">
        <v>2665.0454458950853</v>
      </c>
      <c r="AM95" s="26">
        <v>45362</v>
      </c>
      <c r="AN95" s="13" t="s">
        <v>709</v>
      </c>
      <c r="AO95" s="13">
        <v>3033.050048828125</v>
      </c>
      <c r="AP95" s="13">
        <v>3317</v>
      </c>
      <c r="AQ95" s="13">
        <v>3020</v>
      </c>
      <c r="AR95" s="13">
        <v>3112.550048828125</v>
      </c>
      <c r="AS95" s="13">
        <v>14440124</v>
      </c>
      <c r="AT95" s="13">
        <v>3119.9800292968748</v>
      </c>
      <c r="AU95" s="13">
        <v>3212.5698934281818</v>
      </c>
      <c r="AV95" s="13">
        <v>3027.3901651655679</v>
      </c>
    </row>
    <row r="96" spans="1:48" x14ac:dyDescent="0.3">
      <c r="A96" s="26">
        <v>45352</v>
      </c>
      <c r="B96" s="13" t="s">
        <v>710</v>
      </c>
      <c r="C96" s="13">
        <v>1480</v>
      </c>
      <c r="D96" s="13">
        <v>1571.5</v>
      </c>
      <c r="E96" s="13">
        <v>1477.8499755859375</v>
      </c>
      <c r="F96" s="13">
        <v>1502.6500244140625</v>
      </c>
      <c r="G96" s="13">
        <v>24459742</v>
      </c>
      <c r="H96" s="13">
        <v>1521.010009765625</v>
      </c>
      <c r="I96" s="13">
        <v>1577.1569690746494</v>
      </c>
      <c r="J96" s="13">
        <v>1464.8630504566006</v>
      </c>
      <c r="M96" s="26">
        <v>45362</v>
      </c>
      <c r="N96" s="13" t="s">
        <v>710</v>
      </c>
      <c r="O96" s="13">
        <v>1566.0999755859375</v>
      </c>
      <c r="P96" s="13">
        <v>1568.75</v>
      </c>
      <c r="Q96" s="13">
        <v>1495</v>
      </c>
      <c r="R96" s="13">
        <v>1502.6500244140625</v>
      </c>
      <c r="S96" s="13">
        <v>7778028</v>
      </c>
      <c r="T96" s="13">
        <v>1505.1800048828125</v>
      </c>
      <c r="U96" s="13">
        <v>1563.463111332808</v>
      </c>
      <c r="V96" s="13">
        <v>1446.8968984328169</v>
      </c>
      <c r="W96" s="13" t="s">
        <v>404</v>
      </c>
      <c r="AA96" s="26">
        <v>45352</v>
      </c>
      <c r="AB96" s="13" t="s">
        <v>710</v>
      </c>
      <c r="AC96" s="13">
        <v>1480</v>
      </c>
      <c r="AD96" s="13">
        <v>1571.5</v>
      </c>
      <c r="AE96" s="13">
        <v>1477.8499755859375</v>
      </c>
      <c r="AF96" s="13">
        <v>1502.6500244140625</v>
      </c>
      <c r="AG96" s="13">
        <v>24459742</v>
      </c>
      <c r="AH96" s="13">
        <v>1515.3300048828125</v>
      </c>
      <c r="AI96" s="13">
        <v>1611.5035832613371</v>
      </c>
      <c r="AJ96" s="13">
        <v>1419.156426504288</v>
      </c>
      <c r="AM96" s="26">
        <v>45362</v>
      </c>
      <c r="AN96" s="13" t="s">
        <v>710</v>
      </c>
      <c r="AO96" s="13">
        <v>1566.0999755859375</v>
      </c>
      <c r="AP96" s="13">
        <v>1568.75</v>
      </c>
      <c r="AQ96" s="13">
        <v>1495</v>
      </c>
      <c r="AR96" s="13">
        <v>1502.6500244140625</v>
      </c>
      <c r="AS96" s="13">
        <v>7778028</v>
      </c>
      <c r="AT96" s="13">
        <v>1513.4000244140625</v>
      </c>
      <c r="AU96" s="13">
        <v>1572.1327473224667</v>
      </c>
      <c r="AV96" s="13">
        <v>1454.6673015056583</v>
      </c>
    </row>
    <row r="97" spans="1:49" x14ac:dyDescent="0.3">
      <c r="A97" s="26">
        <v>45352</v>
      </c>
      <c r="B97" s="13" t="s">
        <v>711</v>
      </c>
      <c r="C97" s="13">
        <v>252.80000305175781</v>
      </c>
      <c r="D97" s="13">
        <v>271.35000610351563</v>
      </c>
      <c r="E97" s="13">
        <v>231.30000305175781</v>
      </c>
      <c r="F97" s="13">
        <v>236.39999389648438</v>
      </c>
      <c r="G97" s="13">
        <v>134736676</v>
      </c>
      <c r="H97" s="13">
        <v>214.16500091552734</v>
      </c>
      <c r="I97" s="13">
        <v>264.86390627225217</v>
      </c>
      <c r="J97" s="13">
        <v>163.46609555880252</v>
      </c>
      <c r="M97" s="26">
        <v>45362</v>
      </c>
      <c r="N97" s="13" t="s">
        <v>711</v>
      </c>
      <c r="O97" s="13">
        <v>254</v>
      </c>
      <c r="P97" s="13">
        <v>255.19999694824219</v>
      </c>
      <c r="Q97" s="13">
        <v>231.30000305175781</v>
      </c>
      <c r="R97" s="13">
        <v>236.39999389648438</v>
      </c>
      <c r="S97" s="13">
        <v>34223437</v>
      </c>
      <c r="T97" s="13">
        <v>239.76499938964844</v>
      </c>
      <c r="U97" s="13">
        <v>269.18034721141669</v>
      </c>
      <c r="V97" s="13">
        <v>210.34965156788016</v>
      </c>
      <c r="AA97" s="26">
        <v>45352</v>
      </c>
      <c r="AB97" s="13" t="s">
        <v>711</v>
      </c>
      <c r="AC97" s="13">
        <v>252.80000305175781</v>
      </c>
      <c r="AD97" s="13">
        <v>271.35000610351563</v>
      </c>
      <c r="AE97" s="13">
        <v>231.30000305175781</v>
      </c>
      <c r="AF97" s="13">
        <v>236.39999389648438</v>
      </c>
      <c r="AG97" s="13">
        <v>134736676</v>
      </c>
      <c r="AH97" s="13">
        <v>218.91999816894531</v>
      </c>
      <c r="AI97" s="13">
        <v>268.30852537941803</v>
      </c>
      <c r="AJ97" s="13">
        <v>169.53147095847262</v>
      </c>
      <c r="AM97" s="26">
        <v>45362</v>
      </c>
      <c r="AN97" s="13" t="s">
        <v>711</v>
      </c>
      <c r="AO97" s="13">
        <v>254</v>
      </c>
      <c r="AP97" s="13">
        <v>255.19999694824219</v>
      </c>
      <c r="AQ97" s="13">
        <v>231.30000305175781</v>
      </c>
      <c r="AR97" s="13">
        <v>236.39999389648438</v>
      </c>
      <c r="AS97" s="13">
        <v>34223437</v>
      </c>
      <c r="AT97" s="13">
        <v>243.31999816894532</v>
      </c>
      <c r="AU97" s="13">
        <v>273.09573414277668</v>
      </c>
      <c r="AV97" s="13">
        <v>213.54426219511393</v>
      </c>
    </row>
    <row r="98" spans="1:49" x14ac:dyDescent="0.3">
      <c r="A98" s="26">
        <v>45352</v>
      </c>
      <c r="B98" s="13" t="s">
        <v>712</v>
      </c>
      <c r="C98" s="13">
        <v>1669</v>
      </c>
      <c r="D98" s="13">
        <v>1671.949951171875</v>
      </c>
      <c r="E98" s="13">
        <v>1576</v>
      </c>
      <c r="F98" s="13">
        <v>1611.4000244140625</v>
      </c>
      <c r="G98" s="13">
        <v>45253634</v>
      </c>
      <c r="H98" s="13">
        <v>1563.875</v>
      </c>
      <c r="I98" s="13">
        <v>1753.6668205918668</v>
      </c>
      <c r="J98" s="13">
        <v>1374.0831794081332</v>
      </c>
      <c r="M98" s="26">
        <v>45362</v>
      </c>
      <c r="N98" s="13" t="s">
        <v>712</v>
      </c>
      <c r="O98" s="13">
        <v>1608.1500244140625</v>
      </c>
      <c r="P98" s="13">
        <v>1625</v>
      </c>
      <c r="Q98" s="13">
        <v>1588</v>
      </c>
      <c r="R98" s="13">
        <v>1611.4000244140625</v>
      </c>
      <c r="S98" s="13">
        <v>17055565</v>
      </c>
      <c r="T98" s="13">
        <v>1648.6650024414062</v>
      </c>
      <c r="U98" s="13">
        <v>1707.4195254646143</v>
      </c>
      <c r="V98" s="13">
        <v>1589.9104794181981</v>
      </c>
      <c r="AA98" s="26">
        <v>45352</v>
      </c>
      <c r="AB98" s="13" t="s">
        <v>712</v>
      </c>
      <c r="AC98" s="13">
        <v>1669</v>
      </c>
      <c r="AD98" s="13">
        <v>1671.949951171875</v>
      </c>
      <c r="AE98" s="13">
        <v>1576</v>
      </c>
      <c r="AF98" s="13">
        <v>1611.4000244140625</v>
      </c>
      <c r="AG98" s="13">
        <v>45253634</v>
      </c>
      <c r="AH98" s="13">
        <v>1588.8500244140625</v>
      </c>
      <c r="AI98" s="13">
        <v>1751.1344660589721</v>
      </c>
      <c r="AJ98" s="13">
        <v>1426.565582769153</v>
      </c>
      <c r="AM98" s="26">
        <v>45362</v>
      </c>
      <c r="AN98" s="13" t="s">
        <v>712</v>
      </c>
      <c r="AO98" s="13">
        <v>1608.1500244140625</v>
      </c>
      <c r="AP98" s="13">
        <v>1625</v>
      </c>
      <c r="AQ98" s="13">
        <v>1588</v>
      </c>
      <c r="AR98" s="13">
        <v>1611.4000244140625</v>
      </c>
      <c r="AS98" s="13">
        <v>17055565</v>
      </c>
      <c r="AT98" s="13">
        <v>1652.2099853515624</v>
      </c>
      <c r="AU98" s="13">
        <v>1721.5028679141496</v>
      </c>
      <c r="AV98" s="13">
        <v>1582.9171027889752</v>
      </c>
    </row>
    <row r="99" spans="1:49" x14ac:dyDescent="0.3">
      <c r="A99" s="26">
        <v>45352</v>
      </c>
      <c r="B99" s="13" t="s">
        <v>713</v>
      </c>
      <c r="C99" s="13">
        <v>167.94999694824219</v>
      </c>
      <c r="D99" s="13">
        <v>178.35000610351563</v>
      </c>
      <c r="E99" s="13">
        <v>161.75</v>
      </c>
      <c r="F99" s="13">
        <v>163.35000610351563</v>
      </c>
      <c r="G99" s="13">
        <v>209145082</v>
      </c>
      <c r="H99" s="13">
        <v>141.21500015258789</v>
      </c>
      <c r="I99" s="13">
        <v>195.71858773396409</v>
      </c>
      <c r="J99" s="13">
        <v>86.711412571211696</v>
      </c>
      <c r="M99" s="26">
        <v>45362</v>
      </c>
      <c r="N99" s="13" t="s">
        <v>713</v>
      </c>
      <c r="O99" s="13">
        <v>173.94999694824219</v>
      </c>
      <c r="P99" s="13">
        <v>177.5</v>
      </c>
      <c r="Q99" s="13">
        <v>161.75</v>
      </c>
      <c r="R99" s="13">
        <v>163.35000610351563</v>
      </c>
      <c r="S99" s="13">
        <v>69769564</v>
      </c>
      <c r="T99" s="13">
        <v>176.22000122070313</v>
      </c>
      <c r="U99" s="13">
        <v>187.29647813002208</v>
      </c>
      <c r="V99" s="13">
        <v>165.14352431138417</v>
      </c>
      <c r="AA99" s="26">
        <v>45352</v>
      </c>
      <c r="AB99" s="13" t="s">
        <v>713</v>
      </c>
      <c r="AC99" s="13">
        <v>167.94999694824219</v>
      </c>
      <c r="AD99" s="13">
        <v>178.35000610351563</v>
      </c>
      <c r="AE99" s="13">
        <v>161.75</v>
      </c>
      <c r="AF99" s="13">
        <v>163.35000610351563</v>
      </c>
      <c r="AG99" s="13">
        <v>209145082</v>
      </c>
      <c r="AH99" s="13">
        <v>143.49000244140626</v>
      </c>
      <c r="AI99" s="13">
        <v>184.34596591753237</v>
      </c>
      <c r="AJ99" s="13">
        <v>102.63403896528015</v>
      </c>
      <c r="AM99" s="26">
        <v>45362</v>
      </c>
      <c r="AN99" s="13" t="s">
        <v>713</v>
      </c>
      <c r="AO99" s="13">
        <v>173.94999694824219</v>
      </c>
      <c r="AP99" s="13">
        <v>177.5</v>
      </c>
      <c r="AQ99" s="13">
        <v>161.75</v>
      </c>
      <c r="AR99" s="13">
        <v>163.35000610351563</v>
      </c>
      <c r="AS99" s="13">
        <v>69769564</v>
      </c>
      <c r="AT99" s="13">
        <v>174.04000244140624</v>
      </c>
      <c r="AU99" s="13">
        <v>189.72074107396418</v>
      </c>
      <c r="AV99" s="13">
        <v>158.35926380884831</v>
      </c>
    </row>
    <row r="100" spans="1:49" x14ac:dyDescent="0.3">
      <c r="A100" s="26">
        <v>45352</v>
      </c>
      <c r="B100" s="13" t="s">
        <v>714</v>
      </c>
      <c r="C100" s="13">
        <v>1199.5</v>
      </c>
      <c r="D100" s="13">
        <v>1220</v>
      </c>
      <c r="E100" s="13">
        <v>1122.25</v>
      </c>
      <c r="F100" s="13">
        <v>1133.25</v>
      </c>
      <c r="G100" s="13">
        <v>1541857</v>
      </c>
      <c r="H100" s="13">
        <v>1122.7900024414062</v>
      </c>
      <c r="I100" s="13">
        <v>1217.9943875861152</v>
      </c>
      <c r="J100" s="13">
        <v>1027.5856172966971</v>
      </c>
      <c r="M100" s="26">
        <v>45362</v>
      </c>
      <c r="N100" s="13" t="s">
        <v>714</v>
      </c>
      <c r="O100" s="13">
        <v>1194.9000244140625</v>
      </c>
      <c r="P100" s="13">
        <v>1217</v>
      </c>
      <c r="Q100" s="13">
        <v>1122.25</v>
      </c>
      <c r="R100" s="13">
        <v>1133.25</v>
      </c>
      <c r="S100" s="13">
        <v>674385</v>
      </c>
      <c r="T100" s="13">
        <v>1197.1300048828125</v>
      </c>
      <c r="U100" s="13">
        <v>1239.0105733955206</v>
      </c>
      <c r="V100" s="13">
        <v>1155.2494363701044</v>
      </c>
      <c r="AA100" s="26">
        <v>45352</v>
      </c>
      <c r="AB100" s="13" t="s">
        <v>714</v>
      </c>
      <c r="AC100" s="13">
        <v>1199.5</v>
      </c>
      <c r="AD100" s="13">
        <v>1220</v>
      </c>
      <c r="AE100" s="13">
        <v>1122.25</v>
      </c>
      <c r="AF100" s="13">
        <v>1133.25</v>
      </c>
      <c r="AG100" s="13">
        <v>1541857</v>
      </c>
      <c r="AH100" s="13">
        <v>1138.5699951171875</v>
      </c>
      <c r="AI100" s="13">
        <v>1195.3614543878916</v>
      </c>
      <c r="AJ100" s="13">
        <v>1081.7785358464835</v>
      </c>
      <c r="AK100" s="13" t="s">
        <v>404</v>
      </c>
      <c r="AM100" s="26">
        <v>45362</v>
      </c>
      <c r="AN100" s="13" t="s">
        <v>714</v>
      </c>
      <c r="AO100" s="13">
        <v>1194.9000244140625</v>
      </c>
      <c r="AP100" s="13">
        <v>1217</v>
      </c>
      <c r="AQ100" s="13">
        <v>1122.25</v>
      </c>
      <c r="AR100" s="13">
        <v>1133.25</v>
      </c>
      <c r="AS100" s="13">
        <v>674385</v>
      </c>
      <c r="AT100" s="13">
        <v>1194.5999999999999</v>
      </c>
      <c r="AU100" s="13">
        <v>1266.9571825272988</v>
      </c>
      <c r="AV100" s="13">
        <v>1122.2428174727011</v>
      </c>
    </row>
    <row r="101" spans="1:49" x14ac:dyDescent="0.3">
      <c r="A101" s="26">
        <v>45352</v>
      </c>
      <c r="B101" s="13" t="s">
        <v>715</v>
      </c>
      <c r="C101" s="13">
        <v>934</v>
      </c>
      <c r="D101" s="13">
        <v>961</v>
      </c>
      <c r="E101" s="13">
        <v>869</v>
      </c>
      <c r="F101" s="13">
        <v>880.6500244140625</v>
      </c>
      <c r="G101" s="13">
        <v>17337844</v>
      </c>
      <c r="H101" s="13">
        <v>860.03000488281248</v>
      </c>
      <c r="I101" s="13">
        <v>1062.890701450227</v>
      </c>
      <c r="J101" s="13">
        <v>657.16930831539798</v>
      </c>
      <c r="M101" s="26">
        <v>45362</v>
      </c>
      <c r="N101" s="13" t="s">
        <v>715</v>
      </c>
      <c r="O101" s="13">
        <v>937.20001220703125</v>
      </c>
      <c r="P101" s="13">
        <v>961</v>
      </c>
      <c r="Q101" s="13">
        <v>869</v>
      </c>
      <c r="R101" s="13">
        <v>880.6500244140625</v>
      </c>
      <c r="S101" s="13">
        <v>9401120</v>
      </c>
      <c r="T101" s="13">
        <v>932.34000244140623</v>
      </c>
      <c r="U101" s="13">
        <v>959.16681936133239</v>
      </c>
      <c r="V101" s="13">
        <v>905.51318552148007</v>
      </c>
      <c r="AA101" s="26">
        <v>45352</v>
      </c>
      <c r="AB101" s="13" t="s">
        <v>715</v>
      </c>
      <c r="AC101" s="13">
        <v>934</v>
      </c>
      <c r="AD101" s="13">
        <v>961</v>
      </c>
      <c r="AE101" s="13">
        <v>869</v>
      </c>
      <c r="AF101" s="13">
        <v>880.6500244140625</v>
      </c>
      <c r="AG101" s="13">
        <v>17337844</v>
      </c>
      <c r="AH101" s="13">
        <v>875.70001220703125</v>
      </c>
      <c r="AI101" s="13">
        <v>1059.0508022116369</v>
      </c>
      <c r="AJ101" s="13">
        <v>692.34922220242561</v>
      </c>
      <c r="AM101" s="26">
        <v>45362</v>
      </c>
      <c r="AN101" s="13" t="s">
        <v>715</v>
      </c>
      <c r="AO101" s="13">
        <v>937.20001220703125</v>
      </c>
      <c r="AP101" s="13">
        <v>961</v>
      </c>
      <c r="AQ101" s="13">
        <v>869</v>
      </c>
      <c r="AR101" s="13">
        <v>880.6500244140625</v>
      </c>
      <c r="AS101" s="13">
        <v>9401120</v>
      </c>
      <c r="AT101" s="13">
        <v>930.53000488281248</v>
      </c>
      <c r="AU101" s="13">
        <v>985.76977009364998</v>
      </c>
      <c r="AV101" s="13">
        <v>875.29023967197497</v>
      </c>
    </row>
    <row r="102" spans="1:49" x14ac:dyDescent="0.3">
      <c r="A102" s="26">
        <v>45352</v>
      </c>
      <c r="B102" s="13" t="s">
        <v>716</v>
      </c>
      <c r="C102" s="13">
        <v>408.89999389648438</v>
      </c>
      <c r="D102" s="13">
        <v>438</v>
      </c>
      <c r="E102" s="13">
        <v>399.35000610351563</v>
      </c>
      <c r="F102" s="13">
        <v>422.45001220703125</v>
      </c>
      <c r="G102" s="13">
        <v>217197320</v>
      </c>
      <c r="H102" s="13">
        <v>437.86499938964846</v>
      </c>
      <c r="I102" s="13">
        <v>469.66560531096604</v>
      </c>
      <c r="J102" s="13">
        <v>406.06439346833088</v>
      </c>
      <c r="M102" s="26">
        <v>45362</v>
      </c>
      <c r="N102" s="13" t="s">
        <v>716</v>
      </c>
      <c r="O102" s="13">
        <v>416.79998779296875</v>
      </c>
      <c r="P102" s="13">
        <v>438</v>
      </c>
      <c r="Q102" s="13">
        <v>399.35000610351563</v>
      </c>
      <c r="R102" s="13">
        <v>422.45001220703125</v>
      </c>
      <c r="S102" s="13">
        <v>154100429</v>
      </c>
      <c r="T102" s="13">
        <v>410.52499999999998</v>
      </c>
      <c r="U102" s="13">
        <v>418.70491640977542</v>
      </c>
      <c r="V102" s="13">
        <v>402.34508359022453</v>
      </c>
      <c r="AA102" s="26">
        <v>45352</v>
      </c>
      <c r="AB102" s="13" t="s">
        <v>716</v>
      </c>
      <c r="AC102" s="13">
        <v>408.89999389648438</v>
      </c>
      <c r="AD102" s="13">
        <v>438</v>
      </c>
      <c r="AE102" s="13">
        <v>399.35000610351563</v>
      </c>
      <c r="AF102" s="13">
        <v>422.45001220703125</v>
      </c>
      <c r="AG102" s="13">
        <v>217197320</v>
      </c>
      <c r="AH102" s="13">
        <v>433.63999633789064</v>
      </c>
      <c r="AI102" s="13">
        <v>471.05547437412775</v>
      </c>
      <c r="AJ102" s="13">
        <v>396.22451830165352</v>
      </c>
      <c r="AM102" s="26">
        <v>45362</v>
      </c>
      <c r="AN102" s="13" t="s">
        <v>716</v>
      </c>
      <c r="AO102" s="13">
        <v>416.79998779296875</v>
      </c>
      <c r="AP102" s="13">
        <v>438</v>
      </c>
      <c r="AQ102" s="13">
        <v>399.35000610351563</v>
      </c>
      <c r="AR102" s="13">
        <v>422.45001220703125</v>
      </c>
      <c r="AS102" s="13">
        <v>154100429</v>
      </c>
      <c r="AT102" s="13">
        <v>412.3</v>
      </c>
      <c r="AU102" s="13">
        <v>424.04819592202011</v>
      </c>
      <c r="AV102" s="13">
        <v>400.55180407797991</v>
      </c>
    </row>
    <row r="103" spans="1:49" x14ac:dyDescent="0.3">
      <c r="A103" s="26">
        <v>45352</v>
      </c>
      <c r="B103" s="13" t="s">
        <v>717</v>
      </c>
      <c r="C103" s="13">
        <v>780.5</v>
      </c>
      <c r="D103" s="13">
        <v>851</v>
      </c>
      <c r="E103" s="13">
        <v>760.20001220703125</v>
      </c>
      <c r="F103" s="13">
        <v>764.20001220703125</v>
      </c>
      <c r="G103" s="13">
        <v>19318567</v>
      </c>
      <c r="H103" s="13">
        <v>727.1</v>
      </c>
      <c r="I103" s="13">
        <v>843.29761283169125</v>
      </c>
      <c r="J103" s="13">
        <v>610.90238716830879</v>
      </c>
      <c r="M103" s="26">
        <v>45362</v>
      </c>
      <c r="N103" s="13" t="s">
        <v>717</v>
      </c>
      <c r="O103" s="13">
        <v>845</v>
      </c>
      <c r="P103" s="13">
        <v>845</v>
      </c>
      <c r="Q103" s="13">
        <v>760.20001220703125</v>
      </c>
      <c r="R103" s="13">
        <v>764.20001220703125</v>
      </c>
      <c r="S103" s="13">
        <v>5246325</v>
      </c>
      <c r="T103" s="13">
        <v>787.2549987792969</v>
      </c>
      <c r="U103" s="13">
        <v>842.23328380498276</v>
      </c>
      <c r="V103" s="13">
        <v>732.27671375361103</v>
      </c>
      <c r="W103" s="13" t="s">
        <v>404</v>
      </c>
      <c r="AA103" s="26">
        <v>45352</v>
      </c>
      <c r="AB103" s="13" t="s">
        <v>717</v>
      </c>
      <c r="AC103" s="13">
        <v>780.5</v>
      </c>
      <c r="AD103" s="13">
        <v>851</v>
      </c>
      <c r="AE103" s="13">
        <v>760.20001220703125</v>
      </c>
      <c r="AF103" s="13">
        <v>764.20001220703125</v>
      </c>
      <c r="AG103" s="13">
        <v>19318567</v>
      </c>
      <c r="AH103" s="13">
        <v>743.3</v>
      </c>
      <c r="AI103" s="13">
        <v>818.09907872250528</v>
      </c>
      <c r="AJ103" s="13">
        <v>668.50092127749463</v>
      </c>
      <c r="AM103" s="26">
        <v>45362</v>
      </c>
      <c r="AN103" s="13" t="s">
        <v>717</v>
      </c>
      <c r="AO103" s="13">
        <v>845</v>
      </c>
      <c r="AP103" s="13">
        <v>845</v>
      </c>
      <c r="AQ103" s="13">
        <v>760.20001220703125</v>
      </c>
      <c r="AR103" s="13">
        <v>764.20001220703125</v>
      </c>
      <c r="AS103" s="13">
        <v>5246325</v>
      </c>
      <c r="AT103" s="13">
        <v>796.41999511718745</v>
      </c>
      <c r="AU103" s="13">
        <v>855.55936382412688</v>
      </c>
      <c r="AV103" s="13">
        <v>737.28062641024803</v>
      </c>
    </row>
    <row r="104" spans="1:49" x14ac:dyDescent="0.3">
      <c r="A104" s="26">
        <v>45352</v>
      </c>
      <c r="B104" s="13" t="s">
        <v>718</v>
      </c>
      <c r="C104" s="13">
        <v>4534.0498046875</v>
      </c>
      <c r="D104" s="13">
        <v>4555</v>
      </c>
      <c r="E104" s="13">
        <v>4051.050048828125</v>
      </c>
      <c r="F104" s="13">
        <v>4086.199951171875</v>
      </c>
      <c r="G104" s="13">
        <v>1040258</v>
      </c>
      <c r="H104" s="13">
        <v>3977.1300048828125</v>
      </c>
      <c r="I104" s="13">
        <v>4686.075135432613</v>
      </c>
      <c r="J104" s="13">
        <v>3268.184874333012</v>
      </c>
      <c r="M104" s="26">
        <v>45362</v>
      </c>
      <c r="N104" s="13" t="s">
        <v>718</v>
      </c>
      <c r="O104" s="13">
        <v>4262.60009765625</v>
      </c>
      <c r="P104" s="13">
        <v>4309.5</v>
      </c>
      <c r="Q104" s="13">
        <v>4051.050048828125</v>
      </c>
      <c r="R104" s="13">
        <v>4086.199951171875</v>
      </c>
      <c r="S104" s="13">
        <v>607638</v>
      </c>
      <c r="T104" s="13">
        <v>4294.7699951171871</v>
      </c>
      <c r="U104" s="13">
        <v>4515.6269678345561</v>
      </c>
      <c r="V104" s="13">
        <v>4073.9130223998181</v>
      </c>
      <c r="AA104" s="26">
        <v>45352</v>
      </c>
      <c r="AB104" s="13" t="s">
        <v>718</v>
      </c>
      <c r="AC104" s="13">
        <v>4534.0498046875</v>
      </c>
      <c r="AD104" s="13">
        <v>4555</v>
      </c>
      <c r="AE104" s="13">
        <v>4051.050048828125</v>
      </c>
      <c r="AF104" s="13">
        <v>4086.199951171875</v>
      </c>
      <c r="AG104" s="13">
        <v>1040258</v>
      </c>
      <c r="AH104" s="13">
        <v>4079.2599609375002</v>
      </c>
      <c r="AI104" s="13">
        <v>4739.6209247689158</v>
      </c>
      <c r="AJ104" s="13">
        <v>3418.8989971060842</v>
      </c>
      <c r="AM104" s="26">
        <v>45362</v>
      </c>
      <c r="AN104" s="13" t="s">
        <v>718</v>
      </c>
      <c r="AO104" s="13">
        <v>4262.60009765625</v>
      </c>
      <c r="AP104" s="13">
        <v>4309.5</v>
      </c>
      <c r="AQ104" s="13">
        <v>4051.050048828125</v>
      </c>
      <c r="AR104" s="13">
        <v>4086.199951171875</v>
      </c>
      <c r="AS104" s="13">
        <v>607638</v>
      </c>
      <c r="AT104" s="13">
        <v>4280.8699707031246</v>
      </c>
      <c r="AU104" s="13">
        <v>4557.3110166376337</v>
      </c>
      <c r="AV104" s="13">
        <v>4004.4289247686161</v>
      </c>
    </row>
    <row r="105" spans="1:49" x14ac:dyDescent="0.3">
      <c r="A105" s="26">
        <v>45352</v>
      </c>
      <c r="B105" s="13" t="s">
        <v>719</v>
      </c>
      <c r="C105" s="13">
        <v>804.25</v>
      </c>
      <c r="D105" s="13">
        <v>844.9000244140625</v>
      </c>
      <c r="E105" s="13">
        <v>788.45001220703125</v>
      </c>
      <c r="F105" s="13">
        <v>792.95001220703125</v>
      </c>
      <c r="G105" s="13">
        <v>24848026</v>
      </c>
      <c r="H105" s="13">
        <v>816.59500732421873</v>
      </c>
      <c r="I105" s="13">
        <v>871.84376127077223</v>
      </c>
      <c r="J105" s="13">
        <v>761.34625337766522</v>
      </c>
      <c r="M105" s="26">
        <v>45362</v>
      </c>
      <c r="N105" s="13" t="s">
        <v>719</v>
      </c>
      <c r="O105" s="13">
        <v>832</v>
      </c>
      <c r="P105" s="13">
        <v>836.5999755859375</v>
      </c>
      <c r="Q105" s="13">
        <v>788.45001220703125</v>
      </c>
      <c r="R105" s="13">
        <v>792.95001220703125</v>
      </c>
      <c r="S105" s="13">
        <v>5901457</v>
      </c>
      <c r="T105" s="13">
        <v>817.6400024414063</v>
      </c>
      <c r="U105" s="13">
        <v>834.04093192393384</v>
      </c>
      <c r="V105" s="13">
        <v>801.23907295887875</v>
      </c>
      <c r="AA105" s="26">
        <v>45352</v>
      </c>
      <c r="AB105" s="13" t="s">
        <v>719</v>
      </c>
      <c r="AC105" s="13">
        <v>804.25</v>
      </c>
      <c r="AD105" s="13">
        <v>844.9000244140625</v>
      </c>
      <c r="AE105" s="13">
        <v>788.45001220703125</v>
      </c>
      <c r="AF105" s="13">
        <v>792.95001220703125</v>
      </c>
      <c r="AG105" s="13">
        <v>24848026</v>
      </c>
      <c r="AH105" s="13">
        <v>818.6099975585937</v>
      </c>
      <c r="AI105" s="13">
        <v>882.52962292845496</v>
      </c>
      <c r="AJ105" s="13">
        <v>754.69037218873245</v>
      </c>
      <c r="AM105" s="26">
        <v>45362</v>
      </c>
      <c r="AN105" s="13" t="s">
        <v>719</v>
      </c>
      <c r="AO105" s="13">
        <v>832</v>
      </c>
      <c r="AP105" s="13">
        <v>836.5999755859375</v>
      </c>
      <c r="AQ105" s="13">
        <v>788.45001220703125</v>
      </c>
      <c r="AR105" s="13">
        <v>792.95001220703125</v>
      </c>
      <c r="AS105" s="13">
        <v>5901457</v>
      </c>
      <c r="AT105" s="13">
        <v>820.0200073242188</v>
      </c>
      <c r="AU105" s="13">
        <v>849.6192334279134</v>
      </c>
      <c r="AV105" s="13">
        <v>790.42078122052419</v>
      </c>
    </row>
    <row r="106" spans="1:49" x14ac:dyDescent="0.3">
      <c r="A106" s="26">
        <v>45352</v>
      </c>
      <c r="B106" s="13" t="s">
        <v>720</v>
      </c>
      <c r="C106" s="13">
        <v>467.79998779296875</v>
      </c>
      <c r="D106" s="13">
        <v>475.39999389648438</v>
      </c>
      <c r="E106" s="13">
        <v>426.10000610351563</v>
      </c>
      <c r="F106" s="13">
        <v>431</v>
      </c>
      <c r="G106" s="13">
        <v>19610286</v>
      </c>
      <c r="H106" s="13">
        <v>515.38500671386714</v>
      </c>
      <c r="I106" s="13">
        <v>597.3951415906613</v>
      </c>
      <c r="J106" s="13">
        <v>433.37487183707293</v>
      </c>
      <c r="M106" s="26">
        <v>45362</v>
      </c>
      <c r="N106" s="13" t="s">
        <v>720</v>
      </c>
      <c r="O106" s="13">
        <v>455</v>
      </c>
      <c r="P106" s="13">
        <v>458</v>
      </c>
      <c r="Q106" s="13">
        <v>426.10000610351563</v>
      </c>
      <c r="R106" s="13">
        <v>431</v>
      </c>
      <c r="S106" s="13">
        <v>10233297</v>
      </c>
      <c r="T106" s="13">
        <v>472.6299987792969</v>
      </c>
      <c r="U106" s="13">
        <v>513.21522081672288</v>
      </c>
      <c r="V106" s="13">
        <v>432.04477674187092</v>
      </c>
      <c r="AA106" s="26">
        <v>45352</v>
      </c>
      <c r="AB106" s="13" t="s">
        <v>720</v>
      </c>
      <c r="AC106" s="13">
        <v>467.79998779296875</v>
      </c>
      <c r="AD106" s="13">
        <v>475.39999389648438</v>
      </c>
      <c r="AE106" s="13">
        <v>426.10000610351563</v>
      </c>
      <c r="AF106" s="13">
        <v>431</v>
      </c>
      <c r="AG106" s="13">
        <v>19610286</v>
      </c>
      <c r="AH106" s="13">
        <v>508.06998901367189</v>
      </c>
      <c r="AI106" s="13">
        <v>614.10775319473987</v>
      </c>
      <c r="AJ106" s="13">
        <v>402.03222483260384</v>
      </c>
      <c r="AM106" s="26">
        <v>45362</v>
      </c>
      <c r="AN106" s="13" t="s">
        <v>720</v>
      </c>
      <c r="AO106" s="13">
        <v>455</v>
      </c>
      <c r="AP106" s="13">
        <v>458</v>
      </c>
      <c r="AQ106" s="13">
        <v>426.10000610351563</v>
      </c>
      <c r="AR106" s="13">
        <v>431</v>
      </c>
      <c r="AS106" s="13">
        <v>10233297</v>
      </c>
      <c r="AT106" s="13">
        <v>467.4</v>
      </c>
      <c r="AU106" s="13">
        <v>516.70411843575152</v>
      </c>
      <c r="AV106" s="13">
        <v>418.09588156424843</v>
      </c>
    </row>
    <row r="107" spans="1:49" x14ac:dyDescent="0.3">
      <c r="A107" s="26">
        <v>45352</v>
      </c>
      <c r="B107" s="13" t="s">
        <v>721</v>
      </c>
      <c r="C107" s="13">
        <v>1695.5</v>
      </c>
      <c r="D107" s="13">
        <v>1771.949951171875</v>
      </c>
      <c r="E107" s="13">
        <v>1695</v>
      </c>
      <c r="F107" s="13">
        <v>1729.550048828125</v>
      </c>
      <c r="G107" s="13">
        <v>39634106</v>
      </c>
      <c r="H107" s="13">
        <v>1783.2599975585938</v>
      </c>
      <c r="I107" s="13">
        <v>1871.7929954653639</v>
      </c>
      <c r="J107" s="13">
        <v>1694.7269996518237</v>
      </c>
      <c r="M107" s="26">
        <v>45362</v>
      </c>
      <c r="N107" s="13" t="s">
        <v>721</v>
      </c>
      <c r="O107" s="13">
        <v>1765.9000244140625</v>
      </c>
      <c r="P107" s="13">
        <v>1769.8499755859375</v>
      </c>
      <c r="Q107" s="13">
        <v>1707.3499755859375</v>
      </c>
      <c r="R107" s="13">
        <v>1729.550048828125</v>
      </c>
      <c r="S107" s="13">
        <v>19699493</v>
      </c>
      <c r="T107" s="13">
        <v>1729.4849853515625</v>
      </c>
      <c r="U107" s="13">
        <v>1761.6405647314496</v>
      </c>
      <c r="V107" s="13">
        <v>1697.3294059716754</v>
      </c>
      <c r="W107" s="13" t="s">
        <v>404</v>
      </c>
      <c r="AA107" s="26">
        <v>45352</v>
      </c>
      <c r="AB107" s="13" t="s">
        <v>721</v>
      </c>
      <c r="AC107" s="13">
        <v>1695.5</v>
      </c>
      <c r="AD107" s="13">
        <v>1771.949951171875</v>
      </c>
      <c r="AE107" s="13">
        <v>1695</v>
      </c>
      <c r="AF107" s="13">
        <v>1729.550048828125</v>
      </c>
      <c r="AG107" s="13">
        <v>39634106</v>
      </c>
      <c r="AH107" s="13">
        <v>1781.5599853515625</v>
      </c>
      <c r="AI107" s="13">
        <v>1935.941881407068</v>
      </c>
      <c r="AJ107" s="13">
        <v>1627.1780892960571</v>
      </c>
      <c r="AM107" s="26">
        <v>45362</v>
      </c>
      <c r="AN107" s="13" t="s">
        <v>721</v>
      </c>
      <c r="AO107" s="13">
        <v>1765.9000244140625</v>
      </c>
      <c r="AP107" s="13">
        <v>1769.8499755859375</v>
      </c>
      <c r="AQ107" s="13">
        <v>1707.3499755859375</v>
      </c>
      <c r="AR107" s="13">
        <v>1729.550048828125</v>
      </c>
      <c r="AS107" s="13">
        <v>19699493</v>
      </c>
      <c r="AT107" s="13">
        <v>1732.9100097656251</v>
      </c>
      <c r="AU107" s="13">
        <v>1749.7033098388415</v>
      </c>
      <c r="AV107" s="13">
        <v>1716.1167096924087</v>
      </c>
      <c r="AW107" s="13" t="s">
        <v>404</v>
      </c>
    </row>
    <row r="108" spans="1:49" x14ac:dyDescent="0.3">
      <c r="A108" s="26">
        <v>45352</v>
      </c>
      <c r="B108" s="13" t="s">
        <v>722</v>
      </c>
      <c r="C108" s="13">
        <v>168.05000305175781</v>
      </c>
      <c r="D108" s="13">
        <v>175.55000305175781</v>
      </c>
      <c r="E108" s="13">
        <v>146.35000610351563</v>
      </c>
      <c r="F108" s="13">
        <v>147.60000610351563</v>
      </c>
      <c r="G108" s="13">
        <v>55902256</v>
      </c>
      <c r="H108" s="13">
        <v>159.06999969482422</v>
      </c>
      <c r="I108" s="13">
        <v>179.26671649712455</v>
      </c>
      <c r="J108" s="13">
        <v>138.87328289252389</v>
      </c>
      <c r="M108" s="26">
        <v>45362</v>
      </c>
      <c r="N108" s="13" t="s">
        <v>722</v>
      </c>
      <c r="O108" s="13">
        <v>163</v>
      </c>
      <c r="P108" s="13">
        <v>163</v>
      </c>
      <c r="Q108" s="13">
        <v>146.35000610351563</v>
      </c>
      <c r="R108" s="13">
        <v>147.60000610351563</v>
      </c>
      <c r="S108" s="13">
        <v>14700207</v>
      </c>
      <c r="T108" s="13">
        <v>166.24499969482423</v>
      </c>
      <c r="U108" s="13">
        <v>178.90775219444768</v>
      </c>
      <c r="V108" s="13">
        <v>153.58224719520078</v>
      </c>
      <c r="AA108" s="26">
        <v>45352</v>
      </c>
      <c r="AB108" s="13" t="s">
        <v>722</v>
      </c>
      <c r="AC108" s="13">
        <v>168.05000305175781</v>
      </c>
      <c r="AD108" s="13">
        <v>175.55000305175781</v>
      </c>
      <c r="AE108" s="13">
        <v>146.35000610351563</v>
      </c>
      <c r="AF108" s="13">
        <v>147.60000610351563</v>
      </c>
      <c r="AG108" s="13">
        <v>55902256</v>
      </c>
      <c r="AH108" s="13">
        <v>160.25</v>
      </c>
      <c r="AI108" s="13">
        <v>181.08026090300319</v>
      </c>
      <c r="AJ108" s="13">
        <v>139.41973909699681</v>
      </c>
      <c r="AM108" s="26">
        <v>45362</v>
      </c>
      <c r="AN108" s="13" t="s">
        <v>722</v>
      </c>
      <c r="AO108" s="13">
        <v>163</v>
      </c>
      <c r="AP108" s="13">
        <v>163</v>
      </c>
      <c r="AQ108" s="13">
        <v>146.35000610351563</v>
      </c>
      <c r="AR108" s="13">
        <v>147.60000610351563</v>
      </c>
      <c r="AS108" s="13">
        <v>14700207</v>
      </c>
      <c r="AT108" s="13">
        <v>165.09000244140626</v>
      </c>
      <c r="AU108" s="13">
        <v>184.39558362772354</v>
      </c>
      <c r="AV108" s="13">
        <v>145.78442125508897</v>
      </c>
    </row>
    <row r="109" spans="1:49" x14ac:dyDescent="0.3">
      <c r="A109" s="26">
        <v>45352</v>
      </c>
      <c r="B109" s="13" t="s">
        <v>723</v>
      </c>
      <c r="C109" s="13">
        <v>2340</v>
      </c>
      <c r="D109" s="13">
        <v>2368.5</v>
      </c>
      <c r="E109" s="13">
        <v>2000</v>
      </c>
      <c r="F109" s="13">
        <v>2011.9000244140625</v>
      </c>
      <c r="G109" s="13">
        <v>1825966</v>
      </c>
      <c r="H109" s="13">
        <v>2457.3150146484377</v>
      </c>
      <c r="I109" s="13">
        <v>2755.7727941060198</v>
      </c>
      <c r="J109" s="13">
        <v>2158.8572351908556</v>
      </c>
      <c r="M109" s="26">
        <v>45362</v>
      </c>
      <c r="N109" s="13" t="s">
        <v>723</v>
      </c>
      <c r="O109" s="13">
        <v>2180</v>
      </c>
      <c r="P109" s="13">
        <v>2191.75</v>
      </c>
      <c r="Q109" s="13">
        <v>2000</v>
      </c>
      <c r="R109" s="13">
        <v>2011.9000244140625</v>
      </c>
      <c r="S109" s="13">
        <v>841839</v>
      </c>
      <c r="T109" s="13">
        <v>2333.8100097656252</v>
      </c>
      <c r="U109" s="13">
        <v>2618.2978223008154</v>
      </c>
      <c r="V109" s="13">
        <v>2049.322197230435</v>
      </c>
      <c r="AA109" s="26">
        <v>45352</v>
      </c>
      <c r="AB109" s="13" t="s">
        <v>723</v>
      </c>
      <c r="AC109" s="13">
        <v>2340</v>
      </c>
      <c r="AD109" s="13">
        <v>2368.5</v>
      </c>
      <c r="AE109" s="13">
        <v>2000</v>
      </c>
      <c r="AF109" s="13">
        <v>2011.9000244140625</v>
      </c>
      <c r="AG109" s="13">
        <v>1825966</v>
      </c>
      <c r="AH109" s="13">
        <v>2431.2999755859373</v>
      </c>
      <c r="AI109" s="13">
        <v>2906.3586432951333</v>
      </c>
      <c r="AJ109" s="13">
        <v>1956.2413078767413</v>
      </c>
      <c r="AM109" s="26">
        <v>45362</v>
      </c>
      <c r="AN109" s="13" t="s">
        <v>723</v>
      </c>
      <c r="AO109" s="13">
        <v>2180</v>
      </c>
      <c r="AP109" s="13">
        <v>2191.75</v>
      </c>
      <c r="AQ109" s="13">
        <v>2000</v>
      </c>
      <c r="AR109" s="13">
        <v>2011.9000244140625</v>
      </c>
      <c r="AS109" s="13">
        <v>841839</v>
      </c>
      <c r="AT109" s="13">
        <v>2287.7300537109377</v>
      </c>
      <c r="AU109" s="13">
        <v>2633.0043651971409</v>
      </c>
      <c r="AV109" s="13">
        <v>1942.4557422247342</v>
      </c>
    </row>
    <row r="110" spans="1:49" x14ac:dyDescent="0.3">
      <c r="A110" s="26">
        <v>45352</v>
      </c>
      <c r="B110" s="13" t="s">
        <v>724</v>
      </c>
      <c r="C110" s="13">
        <v>408.25</v>
      </c>
      <c r="D110" s="13">
        <v>425.85000610351563</v>
      </c>
      <c r="E110" s="13">
        <v>393.64999389648438</v>
      </c>
      <c r="F110" s="13">
        <v>400.60000610351563</v>
      </c>
      <c r="G110" s="13">
        <v>15600605</v>
      </c>
      <c r="H110" s="13">
        <v>396.94500122070315</v>
      </c>
      <c r="I110" s="13">
        <v>425.46874211456515</v>
      </c>
      <c r="J110" s="13">
        <v>368.42126032684115</v>
      </c>
      <c r="M110" s="26">
        <v>45362</v>
      </c>
      <c r="N110" s="13" t="s">
        <v>724</v>
      </c>
      <c r="O110" s="13">
        <v>425</v>
      </c>
      <c r="P110" s="13">
        <v>425.85000610351563</v>
      </c>
      <c r="Q110" s="13">
        <v>393.64999389648438</v>
      </c>
      <c r="R110" s="13">
        <v>400.60000610351563</v>
      </c>
      <c r="S110" s="13">
        <v>5965741</v>
      </c>
      <c r="T110" s="13">
        <v>404.73000183105466</v>
      </c>
      <c r="U110" s="13">
        <v>417.95320995377364</v>
      </c>
      <c r="V110" s="13">
        <v>391.50679370833569</v>
      </c>
      <c r="W110" s="13" t="s">
        <v>404</v>
      </c>
      <c r="AA110" s="26">
        <v>45352</v>
      </c>
      <c r="AB110" s="13" t="s">
        <v>724</v>
      </c>
      <c r="AC110" s="13">
        <v>408.25</v>
      </c>
      <c r="AD110" s="13">
        <v>425.85000610351563</v>
      </c>
      <c r="AE110" s="13">
        <v>393.64999389648438</v>
      </c>
      <c r="AF110" s="13">
        <v>400.60000610351563</v>
      </c>
      <c r="AG110" s="13">
        <v>15600605</v>
      </c>
      <c r="AH110" s="13">
        <v>399.81000366210935</v>
      </c>
      <c r="AI110" s="13">
        <v>436.28867844567463</v>
      </c>
      <c r="AJ110" s="13">
        <v>363.33132887854407</v>
      </c>
      <c r="AM110" s="26">
        <v>45362</v>
      </c>
      <c r="AN110" s="13" t="s">
        <v>724</v>
      </c>
      <c r="AO110" s="13">
        <v>425</v>
      </c>
      <c r="AP110" s="13">
        <v>425.85000610351563</v>
      </c>
      <c r="AQ110" s="13">
        <v>393.64999389648438</v>
      </c>
      <c r="AR110" s="13">
        <v>400.60000610351563</v>
      </c>
      <c r="AS110" s="13">
        <v>5965741</v>
      </c>
      <c r="AT110" s="13">
        <v>406.15999755859377</v>
      </c>
      <c r="AU110" s="13">
        <v>423.88674462683394</v>
      </c>
      <c r="AV110" s="13">
        <v>388.4332504903536</v>
      </c>
      <c r="AW110" s="13" t="s">
        <v>404</v>
      </c>
    </row>
    <row r="111" spans="1:49" x14ac:dyDescent="0.3">
      <c r="A111" s="26">
        <v>45352</v>
      </c>
      <c r="B111" s="13" t="s">
        <v>725</v>
      </c>
      <c r="C111" s="13">
        <v>650.3499755859375</v>
      </c>
      <c r="D111" s="13">
        <v>671.95001220703125</v>
      </c>
      <c r="E111" s="13">
        <v>584.95001220703125</v>
      </c>
      <c r="F111" s="13">
        <v>590.45001220703125</v>
      </c>
      <c r="G111" s="13">
        <v>15231218</v>
      </c>
      <c r="H111" s="13">
        <v>567.7400024414062</v>
      </c>
      <c r="I111" s="13">
        <v>700.37576307877612</v>
      </c>
      <c r="J111" s="13">
        <v>435.10424180403635</v>
      </c>
      <c r="M111" s="26">
        <v>45362</v>
      </c>
      <c r="N111" s="13" t="s">
        <v>725</v>
      </c>
      <c r="O111" s="13">
        <v>639</v>
      </c>
      <c r="P111" s="13">
        <v>642</v>
      </c>
      <c r="Q111" s="13">
        <v>584.95001220703125</v>
      </c>
      <c r="R111" s="13">
        <v>590.45001220703125</v>
      </c>
      <c r="S111" s="13">
        <v>6308856</v>
      </c>
      <c r="T111" s="13">
        <v>636.46000366210933</v>
      </c>
      <c r="U111" s="13">
        <v>662.32332099472433</v>
      </c>
      <c r="V111" s="13">
        <v>610.59668632949433</v>
      </c>
      <c r="AA111" s="26">
        <v>45352</v>
      </c>
      <c r="AB111" s="13" t="s">
        <v>725</v>
      </c>
      <c r="AC111" s="13">
        <v>650.3499755859375</v>
      </c>
      <c r="AD111" s="13">
        <v>671.95001220703125</v>
      </c>
      <c r="AE111" s="13">
        <v>584.95001220703125</v>
      </c>
      <c r="AF111" s="13">
        <v>590.45001220703125</v>
      </c>
      <c r="AG111" s="13">
        <v>15231218</v>
      </c>
      <c r="AH111" s="13">
        <v>578.2499938964844</v>
      </c>
      <c r="AI111" s="13">
        <v>693.53047900593981</v>
      </c>
      <c r="AJ111" s="13">
        <v>462.96950878702893</v>
      </c>
      <c r="AM111" s="26">
        <v>45362</v>
      </c>
      <c r="AN111" s="13" t="s">
        <v>725</v>
      </c>
      <c r="AO111" s="13">
        <v>639</v>
      </c>
      <c r="AP111" s="13">
        <v>642</v>
      </c>
      <c r="AQ111" s="13">
        <v>584.95001220703125</v>
      </c>
      <c r="AR111" s="13">
        <v>590.45001220703125</v>
      </c>
      <c r="AS111" s="13">
        <v>6308856</v>
      </c>
      <c r="AT111" s="13">
        <v>632.16999511718745</v>
      </c>
      <c r="AU111" s="13">
        <v>674.49569859859378</v>
      </c>
      <c r="AV111" s="13">
        <v>589.84429163578113</v>
      </c>
    </row>
    <row r="112" spans="1:49" x14ac:dyDescent="0.3">
      <c r="A112" s="26">
        <v>45352</v>
      </c>
      <c r="B112" s="13" t="s">
        <v>726</v>
      </c>
      <c r="C112" s="13">
        <v>3501.64990234375</v>
      </c>
      <c r="D112" s="13">
        <v>3705.14990234375</v>
      </c>
      <c r="E112" s="13">
        <v>3500</v>
      </c>
      <c r="F112" s="13">
        <v>3538.550048828125</v>
      </c>
      <c r="G112" s="13">
        <v>17262735</v>
      </c>
      <c r="H112" s="13">
        <v>3378.2750000000001</v>
      </c>
      <c r="I112" s="13">
        <v>3807.7149153985392</v>
      </c>
      <c r="J112" s="13">
        <v>2948.8350846014609</v>
      </c>
      <c r="M112" s="26">
        <v>45362</v>
      </c>
      <c r="N112" s="13" t="s">
        <v>726</v>
      </c>
      <c r="O112" s="13">
        <v>3700</v>
      </c>
      <c r="P112" s="13">
        <v>3700</v>
      </c>
      <c r="Q112" s="13">
        <v>3511.89990234375</v>
      </c>
      <c r="R112" s="13">
        <v>3538.550048828125</v>
      </c>
      <c r="S112" s="13">
        <v>5721464</v>
      </c>
      <c r="T112" s="13">
        <v>3490.0449951171877</v>
      </c>
      <c r="U112" s="13">
        <v>3752.5320892482264</v>
      </c>
      <c r="V112" s="13">
        <v>3227.557900986149</v>
      </c>
      <c r="AA112" s="26">
        <v>45352</v>
      </c>
      <c r="AB112" s="13" t="s">
        <v>726</v>
      </c>
      <c r="AC112" s="13">
        <v>3501.64990234375</v>
      </c>
      <c r="AD112" s="13">
        <v>3705.14990234375</v>
      </c>
      <c r="AE112" s="13">
        <v>3500</v>
      </c>
      <c r="AF112" s="13">
        <v>3538.550048828125</v>
      </c>
      <c r="AG112" s="13">
        <v>17262735</v>
      </c>
      <c r="AH112" s="13">
        <v>3426.2100097656248</v>
      </c>
      <c r="AI112" s="13">
        <v>3746.9292439158571</v>
      </c>
      <c r="AJ112" s="13">
        <v>3105.4907756153925</v>
      </c>
      <c r="AM112" s="26">
        <v>45362</v>
      </c>
      <c r="AN112" s="13" t="s">
        <v>726</v>
      </c>
      <c r="AO112" s="13">
        <v>3700</v>
      </c>
      <c r="AP112" s="13">
        <v>3700</v>
      </c>
      <c r="AQ112" s="13">
        <v>3511.89990234375</v>
      </c>
      <c r="AR112" s="13">
        <v>3538.550048828125</v>
      </c>
      <c r="AS112" s="13">
        <v>5721464</v>
      </c>
      <c r="AT112" s="13">
        <v>3524.739990234375</v>
      </c>
      <c r="AU112" s="13">
        <v>3766.301712107324</v>
      </c>
      <c r="AV112" s="13">
        <v>3283.178268361426</v>
      </c>
    </row>
    <row r="113" spans="1:49" x14ac:dyDescent="0.3">
      <c r="A113" s="26">
        <v>45352</v>
      </c>
      <c r="B113" s="13" t="s">
        <v>727</v>
      </c>
      <c r="C113" s="13">
        <v>5315</v>
      </c>
      <c r="D113" s="13">
        <v>5348.4501953125</v>
      </c>
      <c r="E113" s="13">
        <v>5057</v>
      </c>
      <c r="F113" s="13">
        <v>5195</v>
      </c>
      <c r="G113" s="13">
        <v>4095104</v>
      </c>
      <c r="H113" s="13">
        <v>5533.8399902343754</v>
      </c>
      <c r="I113" s="13">
        <v>6090.1553092763925</v>
      </c>
      <c r="J113" s="13">
        <v>4977.5246711923583</v>
      </c>
      <c r="M113" s="26">
        <v>45362</v>
      </c>
      <c r="N113" s="13" t="s">
        <v>727</v>
      </c>
      <c r="O113" s="13">
        <v>5118</v>
      </c>
      <c r="P113" s="13">
        <v>5275.2001953125</v>
      </c>
      <c r="Q113" s="13">
        <v>5057</v>
      </c>
      <c r="R113" s="13">
        <v>5195</v>
      </c>
      <c r="S113" s="13">
        <v>1454644</v>
      </c>
      <c r="T113" s="13">
        <v>5351.5850097656248</v>
      </c>
      <c r="U113" s="13">
        <v>5639.9686771615497</v>
      </c>
      <c r="V113" s="13">
        <v>5063.2013423696999</v>
      </c>
      <c r="AA113" s="26">
        <v>45352</v>
      </c>
      <c r="AB113" s="13" t="s">
        <v>727</v>
      </c>
      <c r="AC113" s="13">
        <v>5315</v>
      </c>
      <c r="AD113" s="13">
        <v>5348.4501953125</v>
      </c>
      <c r="AE113" s="13">
        <v>5057</v>
      </c>
      <c r="AF113" s="13">
        <v>5195</v>
      </c>
      <c r="AG113" s="13">
        <v>4095104</v>
      </c>
      <c r="AH113" s="13">
        <v>5555.2100585937496</v>
      </c>
      <c r="AI113" s="13">
        <v>6331.5526482872174</v>
      </c>
      <c r="AJ113" s="13">
        <v>4778.8674689002819</v>
      </c>
      <c r="AM113" s="26">
        <v>45362</v>
      </c>
      <c r="AN113" s="13" t="s">
        <v>727</v>
      </c>
      <c r="AO113" s="13">
        <v>5118</v>
      </c>
      <c r="AP113" s="13">
        <v>5275.2001953125</v>
      </c>
      <c r="AQ113" s="13">
        <v>5057</v>
      </c>
      <c r="AR113" s="13">
        <v>5195</v>
      </c>
      <c r="AS113" s="13">
        <v>1454644</v>
      </c>
      <c r="AT113" s="13">
        <v>5342.8599609374996</v>
      </c>
      <c r="AU113" s="13">
        <v>5713.2414212276053</v>
      </c>
      <c r="AV113" s="13">
        <v>4972.478500647394</v>
      </c>
    </row>
    <row r="114" spans="1:49" x14ac:dyDescent="0.3">
      <c r="A114" s="26">
        <v>45352</v>
      </c>
      <c r="B114" s="13" t="s">
        <v>728</v>
      </c>
      <c r="C114" s="13">
        <v>5342</v>
      </c>
      <c r="D114" s="13">
        <v>5388.9501953125</v>
      </c>
      <c r="E114" s="13">
        <v>5125.25</v>
      </c>
      <c r="F114" s="13">
        <v>5154.39990234375</v>
      </c>
      <c r="G114" s="13">
        <v>1249604</v>
      </c>
      <c r="H114" s="13">
        <v>5106.8899902343746</v>
      </c>
      <c r="I114" s="13">
        <v>5804.6531212533419</v>
      </c>
      <c r="J114" s="13">
        <v>4409.1268592154074</v>
      </c>
      <c r="M114" s="26">
        <v>45362</v>
      </c>
      <c r="N114" s="13" t="s">
        <v>728</v>
      </c>
      <c r="O114" s="13">
        <v>5275.0498046875</v>
      </c>
      <c r="P114" s="13">
        <v>5321.9501953125</v>
      </c>
      <c r="Q114" s="13">
        <v>5125.25</v>
      </c>
      <c r="R114" s="13">
        <v>5154.39990234375</v>
      </c>
      <c r="S114" s="13">
        <v>437517</v>
      </c>
      <c r="T114" s="13">
        <v>5340.8599609374996</v>
      </c>
      <c r="U114" s="13">
        <v>5536.141454020335</v>
      </c>
      <c r="V114" s="13">
        <v>5145.5784678546643</v>
      </c>
      <c r="AA114" s="26">
        <v>45352</v>
      </c>
      <c r="AB114" s="13" t="s">
        <v>728</v>
      </c>
      <c r="AC114" s="13">
        <v>5342</v>
      </c>
      <c r="AD114" s="13">
        <v>5388.9501953125</v>
      </c>
      <c r="AE114" s="13">
        <v>5125.25</v>
      </c>
      <c r="AF114" s="13">
        <v>5154.39990234375</v>
      </c>
      <c r="AG114" s="13">
        <v>1249604</v>
      </c>
      <c r="AH114" s="13">
        <v>5212.9600585937496</v>
      </c>
      <c r="AI114" s="13">
        <v>5740.5941941994415</v>
      </c>
      <c r="AJ114" s="13">
        <v>4685.3259229880578</v>
      </c>
      <c r="AM114" s="26">
        <v>45362</v>
      </c>
      <c r="AN114" s="13" t="s">
        <v>728</v>
      </c>
      <c r="AO114" s="13">
        <v>5275.0498046875</v>
      </c>
      <c r="AP114" s="13">
        <v>5321.9501953125</v>
      </c>
      <c r="AQ114" s="13">
        <v>5125.25</v>
      </c>
      <c r="AR114" s="13">
        <v>5154.39990234375</v>
      </c>
      <c r="AS114" s="13">
        <v>437517</v>
      </c>
      <c r="AT114" s="13">
        <v>5329.3799804687496</v>
      </c>
      <c r="AU114" s="13">
        <v>5554.927922760241</v>
      </c>
      <c r="AV114" s="13">
        <v>5103.8320381772583</v>
      </c>
    </row>
    <row r="115" spans="1:49" x14ac:dyDescent="0.3">
      <c r="A115" s="26">
        <v>45352</v>
      </c>
      <c r="B115" s="13" t="s">
        <v>729</v>
      </c>
      <c r="C115" s="13">
        <v>1621</v>
      </c>
      <c r="D115" s="13">
        <v>1704.25</v>
      </c>
      <c r="E115" s="13">
        <v>1589.550048828125</v>
      </c>
      <c r="F115" s="13">
        <v>1603.5</v>
      </c>
      <c r="G115" s="13">
        <v>7654524</v>
      </c>
      <c r="H115" s="13">
        <v>1426.8450073242188</v>
      </c>
      <c r="I115" s="13">
        <v>1771.1194616882299</v>
      </c>
      <c r="J115" s="13">
        <v>1082.5705529602078</v>
      </c>
      <c r="M115" s="26">
        <v>45362</v>
      </c>
      <c r="N115" s="13" t="s">
        <v>729</v>
      </c>
      <c r="O115" s="13">
        <v>1680.949951171875</v>
      </c>
      <c r="P115" s="13">
        <v>1704.25</v>
      </c>
      <c r="Q115" s="13">
        <v>1589.550048828125</v>
      </c>
      <c r="R115" s="13">
        <v>1603.5</v>
      </c>
      <c r="S115" s="13">
        <v>2517718</v>
      </c>
      <c r="T115" s="13">
        <v>1626.1850219726562</v>
      </c>
      <c r="U115" s="13">
        <v>1679.7158553463344</v>
      </c>
      <c r="V115" s="13">
        <v>1572.654188598978</v>
      </c>
      <c r="W115" s="13" t="s">
        <v>404</v>
      </c>
      <c r="AA115" s="26">
        <v>45352</v>
      </c>
      <c r="AB115" s="13" t="s">
        <v>729</v>
      </c>
      <c r="AC115" s="13">
        <v>1621</v>
      </c>
      <c r="AD115" s="13">
        <v>1704.25</v>
      </c>
      <c r="AE115" s="13">
        <v>1589.550048828125</v>
      </c>
      <c r="AF115" s="13">
        <v>1603.5</v>
      </c>
      <c r="AG115" s="13">
        <v>7654524</v>
      </c>
      <c r="AH115" s="13">
        <v>1466.75</v>
      </c>
      <c r="AI115" s="13">
        <v>1748.4841912539002</v>
      </c>
      <c r="AJ115" s="13">
        <v>1185.0158087460998</v>
      </c>
      <c r="AM115" s="26">
        <v>45362</v>
      </c>
      <c r="AN115" s="13" t="s">
        <v>729</v>
      </c>
      <c r="AO115" s="13">
        <v>1680.949951171875</v>
      </c>
      <c r="AP115" s="13">
        <v>1704.25</v>
      </c>
      <c r="AQ115" s="13">
        <v>1589.550048828125</v>
      </c>
      <c r="AR115" s="13">
        <v>1603.5</v>
      </c>
      <c r="AS115" s="13">
        <v>2517718</v>
      </c>
      <c r="AT115" s="13">
        <v>1626.6800048828125</v>
      </c>
      <c r="AU115" s="13">
        <v>1672.0304504644967</v>
      </c>
      <c r="AV115" s="13">
        <v>1581.3295593011283</v>
      </c>
      <c r="AW115" s="13" t="s">
        <v>404</v>
      </c>
    </row>
    <row r="116" spans="1:49" x14ac:dyDescent="0.3">
      <c r="A116" s="26">
        <v>45352</v>
      </c>
      <c r="B116" s="13" t="s">
        <v>730</v>
      </c>
      <c r="C116" s="13">
        <v>1933.5999755859375</v>
      </c>
      <c r="D116" s="13">
        <v>1982.300048828125</v>
      </c>
      <c r="E116" s="13">
        <v>1844.25</v>
      </c>
      <c r="F116" s="13">
        <v>1853.699951171875</v>
      </c>
      <c r="G116" s="13">
        <v>37943407</v>
      </c>
      <c r="H116" s="13">
        <v>1720.0349975585937</v>
      </c>
      <c r="I116" s="13">
        <v>1965.0054469286213</v>
      </c>
      <c r="J116" s="13">
        <v>1475.0645481885661</v>
      </c>
      <c r="M116" s="26">
        <v>45362</v>
      </c>
      <c r="N116" s="13" t="s">
        <v>730</v>
      </c>
      <c r="O116" s="13">
        <v>1913</v>
      </c>
      <c r="P116" s="13">
        <v>1913.699951171875</v>
      </c>
      <c r="Q116" s="13">
        <v>1844.25</v>
      </c>
      <c r="R116" s="13">
        <v>1853.699951171875</v>
      </c>
      <c r="S116" s="13">
        <v>10707746</v>
      </c>
      <c r="T116" s="13">
        <v>1875.2950073242187</v>
      </c>
      <c r="U116" s="13">
        <v>2015.0096516296812</v>
      </c>
      <c r="V116" s="13">
        <v>1735.5803630187561</v>
      </c>
      <c r="AA116" s="26">
        <v>45352</v>
      </c>
      <c r="AB116" s="13" t="s">
        <v>730</v>
      </c>
      <c r="AC116" s="13">
        <v>1933.5999755859375</v>
      </c>
      <c r="AD116" s="13">
        <v>1982.300048828125</v>
      </c>
      <c r="AE116" s="13">
        <v>1844.25</v>
      </c>
      <c r="AF116" s="13">
        <v>1853.699951171875</v>
      </c>
      <c r="AG116" s="13">
        <v>37943407</v>
      </c>
      <c r="AH116" s="13">
        <v>1762.960009765625</v>
      </c>
      <c r="AI116" s="13">
        <v>1988.8014654703918</v>
      </c>
      <c r="AJ116" s="13">
        <v>1537.1185540608583</v>
      </c>
      <c r="AM116" s="26">
        <v>45362</v>
      </c>
      <c r="AN116" s="13" t="s">
        <v>730</v>
      </c>
      <c r="AO116" s="13">
        <v>1913</v>
      </c>
      <c r="AP116" s="13">
        <v>1913.699951171875</v>
      </c>
      <c r="AQ116" s="13">
        <v>1844.25</v>
      </c>
      <c r="AR116" s="13">
        <v>1853.699951171875</v>
      </c>
      <c r="AS116" s="13">
        <v>10707746</v>
      </c>
      <c r="AT116" s="13">
        <v>1897.939990234375</v>
      </c>
      <c r="AU116" s="13">
        <v>1997.9438691123175</v>
      </c>
      <c r="AV116" s="13">
        <v>1797.9361113564325</v>
      </c>
    </row>
    <row r="117" spans="1:49" x14ac:dyDescent="0.3">
      <c r="A117" s="26">
        <v>45352</v>
      </c>
      <c r="B117" s="13" t="s">
        <v>731</v>
      </c>
      <c r="C117" s="13">
        <v>284.95001220703125</v>
      </c>
      <c r="D117" s="13">
        <v>296.39999389648438</v>
      </c>
      <c r="E117" s="13">
        <v>262.04998779296875</v>
      </c>
      <c r="F117" s="13">
        <v>264.39999389648438</v>
      </c>
      <c r="G117" s="13">
        <v>21510964</v>
      </c>
      <c r="H117" s="13">
        <v>278.22999725341799</v>
      </c>
      <c r="I117" s="13">
        <v>296.05512325316539</v>
      </c>
      <c r="J117" s="13">
        <v>260.40487125367059</v>
      </c>
      <c r="M117" s="26">
        <v>45362</v>
      </c>
      <c r="N117" s="13" t="s">
        <v>731</v>
      </c>
      <c r="O117" s="13">
        <v>281.04998779296875</v>
      </c>
      <c r="P117" s="13">
        <v>292.39999389648438</v>
      </c>
      <c r="Q117" s="13">
        <v>262.04998779296875</v>
      </c>
      <c r="R117" s="13">
        <v>264.39999389648438</v>
      </c>
      <c r="S117" s="13">
        <v>7926236</v>
      </c>
      <c r="T117" s="13">
        <v>285.31499633789065</v>
      </c>
      <c r="U117" s="13">
        <v>294.30113764389392</v>
      </c>
      <c r="V117" s="13">
        <v>276.32885503188737</v>
      </c>
      <c r="AA117" s="26">
        <v>45352</v>
      </c>
      <c r="AB117" s="13" t="s">
        <v>731</v>
      </c>
      <c r="AC117" s="13">
        <v>284.95001220703125</v>
      </c>
      <c r="AD117" s="13">
        <v>296.39999389648438</v>
      </c>
      <c r="AE117" s="13">
        <v>262.04998779296875</v>
      </c>
      <c r="AF117" s="13">
        <v>264.39999389648438</v>
      </c>
      <c r="AG117" s="13">
        <v>21510964</v>
      </c>
      <c r="AH117" s="13">
        <v>277.60000000000002</v>
      </c>
      <c r="AI117" s="13">
        <v>294.43188479355604</v>
      </c>
      <c r="AJ117" s="13">
        <v>260.76811520644401</v>
      </c>
      <c r="AM117" s="26">
        <v>45362</v>
      </c>
      <c r="AN117" s="13" t="s">
        <v>731</v>
      </c>
      <c r="AO117" s="13">
        <v>281.04998779296875</v>
      </c>
      <c r="AP117" s="13">
        <v>292.39999389648438</v>
      </c>
      <c r="AQ117" s="13">
        <v>262.04998779296875</v>
      </c>
      <c r="AR117" s="13">
        <v>264.39999389648438</v>
      </c>
      <c r="AS117" s="13">
        <v>7926236</v>
      </c>
      <c r="AT117" s="13">
        <v>284.31000366210935</v>
      </c>
      <c r="AU117" s="13">
        <v>304.64317888749679</v>
      </c>
      <c r="AV117" s="13">
        <v>263.97682843672192</v>
      </c>
    </row>
    <row r="118" spans="1:49" x14ac:dyDescent="0.3">
      <c r="A118" s="26">
        <v>45352</v>
      </c>
      <c r="B118" s="13" t="s">
        <v>732</v>
      </c>
      <c r="C118" s="13">
        <v>177.5</v>
      </c>
      <c r="D118" s="13">
        <v>199</v>
      </c>
      <c r="E118" s="13">
        <v>158.30000305175781</v>
      </c>
      <c r="F118" s="13">
        <v>160.30000305175781</v>
      </c>
      <c r="G118" s="13">
        <v>104563645</v>
      </c>
      <c r="H118" s="13">
        <v>170.82499999999999</v>
      </c>
      <c r="I118" s="13">
        <v>193.01655803008816</v>
      </c>
      <c r="J118" s="13">
        <v>148.63344196991181</v>
      </c>
      <c r="M118" s="26">
        <v>45362</v>
      </c>
      <c r="N118" s="13" t="s">
        <v>732</v>
      </c>
      <c r="O118" s="13">
        <v>173.75</v>
      </c>
      <c r="P118" s="13">
        <v>174.14999389648438</v>
      </c>
      <c r="Q118" s="13">
        <v>158.30000305175781</v>
      </c>
      <c r="R118" s="13">
        <v>160.30000305175781</v>
      </c>
      <c r="S118" s="13">
        <v>20814757</v>
      </c>
      <c r="T118" s="13">
        <v>178.1249984741211</v>
      </c>
      <c r="U118" s="13">
        <v>190.71018711329222</v>
      </c>
      <c r="V118" s="13">
        <v>165.53980983494998</v>
      </c>
      <c r="AA118" s="26">
        <v>45352</v>
      </c>
      <c r="AB118" s="13" t="s">
        <v>732</v>
      </c>
      <c r="AC118" s="13">
        <v>177.5</v>
      </c>
      <c r="AD118" s="13">
        <v>199</v>
      </c>
      <c r="AE118" s="13">
        <v>158.30000305175781</v>
      </c>
      <c r="AF118" s="13">
        <v>160.30000305175781</v>
      </c>
      <c r="AG118" s="13">
        <v>104563645</v>
      </c>
      <c r="AH118" s="13">
        <v>171.52999877929688</v>
      </c>
      <c r="AI118" s="13">
        <v>188.82156874827959</v>
      </c>
      <c r="AJ118" s="13">
        <v>154.23842881031416</v>
      </c>
      <c r="AM118" s="26">
        <v>45362</v>
      </c>
      <c r="AN118" s="13" t="s">
        <v>732</v>
      </c>
      <c r="AO118" s="13">
        <v>173.75</v>
      </c>
      <c r="AP118" s="13">
        <v>174.14999389648438</v>
      </c>
      <c r="AQ118" s="13">
        <v>158.30000305175781</v>
      </c>
      <c r="AR118" s="13">
        <v>160.30000305175781</v>
      </c>
      <c r="AS118" s="13">
        <v>20814757</v>
      </c>
      <c r="AT118" s="13">
        <v>176.46999816894532</v>
      </c>
      <c r="AU118" s="13">
        <v>195.13328512960288</v>
      </c>
      <c r="AV118" s="13">
        <v>157.80671120828777</v>
      </c>
    </row>
    <row r="119" spans="1:49" x14ac:dyDescent="0.3">
      <c r="A119" s="26">
        <v>45352</v>
      </c>
      <c r="B119" s="13" t="s">
        <v>733</v>
      </c>
      <c r="C119" s="13">
        <v>523.25</v>
      </c>
      <c r="D119" s="13">
        <v>529.9000244140625</v>
      </c>
      <c r="E119" s="13">
        <v>494.64999389648438</v>
      </c>
      <c r="F119" s="13">
        <v>496.14999389648438</v>
      </c>
      <c r="G119" s="13">
        <v>12973254</v>
      </c>
      <c r="H119" s="13">
        <v>529.7349975585937</v>
      </c>
      <c r="I119" s="13">
        <v>547.71206917718814</v>
      </c>
      <c r="J119" s="13">
        <v>511.75792593999932</v>
      </c>
      <c r="M119" s="26">
        <v>45362</v>
      </c>
      <c r="N119" s="13" t="s">
        <v>733</v>
      </c>
      <c r="O119" s="13">
        <v>514.5999755859375</v>
      </c>
      <c r="P119" s="13">
        <v>515</v>
      </c>
      <c r="Q119" s="13">
        <v>494.64999389648438</v>
      </c>
      <c r="R119" s="13">
        <v>496.14999389648438</v>
      </c>
      <c r="S119" s="13">
        <v>4540992</v>
      </c>
      <c r="T119" s="13">
        <v>520.83500366210933</v>
      </c>
      <c r="U119" s="13">
        <v>540.60429170213763</v>
      </c>
      <c r="V119" s="13">
        <v>501.06571562208103</v>
      </c>
      <c r="AA119" s="26">
        <v>45352</v>
      </c>
      <c r="AB119" s="13" t="s">
        <v>733</v>
      </c>
      <c r="AC119" s="13">
        <v>523.25</v>
      </c>
      <c r="AD119" s="13">
        <v>529.9000244140625</v>
      </c>
      <c r="AE119" s="13">
        <v>494.64999389648438</v>
      </c>
      <c r="AF119" s="13">
        <v>496.14999389648438</v>
      </c>
      <c r="AG119" s="13">
        <v>12973254</v>
      </c>
      <c r="AH119" s="13">
        <v>526.7499938964844</v>
      </c>
      <c r="AI119" s="13">
        <v>562.18405777312455</v>
      </c>
      <c r="AJ119" s="13">
        <v>491.31593001984425</v>
      </c>
      <c r="AM119" s="26">
        <v>45362</v>
      </c>
      <c r="AN119" s="13" t="s">
        <v>733</v>
      </c>
      <c r="AO119" s="13">
        <v>514.5999755859375</v>
      </c>
      <c r="AP119" s="13">
        <v>515</v>
      </c>
      <c r="AQ119" s="13">
        <v>494.64999389648438</v>
      </c>
      <c r="AR119" s="13">
        <v>496.14999389648438</v>
      </c>
      <c r="AS119" s="13">
        <v>4540992</v>
      </c>
      <c r="AT119" s="13">
        <v>517.78999633789067</v>
      </c>
      <c r="AU119" s="13">
        <v>541.60743325642227</v>
      </c>
      <c r="AV119" s="13">
        <v>493.97255941935907</v>
      </c>
    </row>
    <row r="120" spans="1:49" x14ac:dyDescent="0.3">
      <c r="A120" s="26">
        <v>45352</v>
      </c>
      <c r="B120" s="13" t="s">
        <v>734</v>
      </c>
      <c r="C120" s="13">
        <v>11295</v>
      </c>
      <c r="D120" s="13">
        <v>11730</v>
      </c>
      <c r="E120" s="13">
        <v>11267.599609375</v>
      </c>
      <c r="F120" s="13">
        <v>11390.150390625</v>
      </c>
      <c r="G120" s="13">
        <v>3267117</v>
      </c>
      <c r="H120" s="13">
        <v>10660.7349609375</v>
      </c>
      <c r="I120" s="13">
        <v>11685.465893084396</v>
      </c>
      <c r="J120" s="13">
        <v>9636.0040287906031</v>
      </c>
      <c r="M120" s="26">
        <v>45362</v>
      </c>
      <c r="N120" s="13" t="s">
        <v>734</v>
      </c>
      <c r="O120" s="13">
        <v>11515.150390625</v>
      </c>
      <c r="P120" s="13">
        <v>11575.900390625</v>
      </c>
      <c r="Q120" s="13">
        <v>11267.599609375</v>
      </c>
      <c r="R120" s="13">
        <v>11390.150390625</v>
      </c>
      <c r="S120" s="13">
        <v>1194257</v>
      </c>
      <c r="T120" s="13">
        <v>11395.5150390625</v>
      </c>
      <c r="U120" s="13">
        <v>11754.022313452728</v>
      </c>
      <c r="V120" s="13">
        <v>11037.007764672273</v>
      </c>
      <c r="AA120" s="26">
        <v>45352</v>
      </c>
      <c r="AB120" s="13" t="s">
        <v>734</v>
      </c>
      <c r="AC120" s="13">
        <v>11295</v>
      </c>
      <c r="AD120" s="13">
        <v>11730</v>
      </c>
      <c r="AE120" s="13">
        <v>11267.599609375</v>
      </c>
      <c r="AF120" s="13">
        <v>11390.150390625</v>
      </c>
      <c r="AG120" s="13">
        <v>3267117</v>
      </c>
      <c r="AH120" s="13">
        <v>10755.2900390625</v>
      </c>
      <c r="AI120" s="13">
        <v>11750.040491819314</v>
      </c>
      <c r="AJ120" s="13">
        <v>9760.5395863056856</v>
      </c>
      <c r="AM120" s="26">
        <v>45362</v>
      </c>
      <c r="AN120" s="13" t="s">
        <v>734</v>
      </c>
      <c r="AO120" s="13">
        <v>11515.150390625</v>
      </c>
      <c r="AP120" s="13">
        <v>11575.900390625</v>
      </c>
      <c r="AQ120" s="13">
        <v>11267.599609375</v>
      </c>
      <c r="AR120" s="13">
        <v>11390.150390625</v>
      </c>
      <c r="AS120" s="13">
        <v>1194257</v>
      </c>
      <c r="AT120" s="13">
        <v>11487.430078125</v>
      </c>
      <c r="AU120" s="13">
        <v>11669.810491702372</v>
      </c>
      <c r="AV120" s="13">
        <v>11305.049664547629</v>
      </c>
    </row>
    <row r="121" spans="1:49" x14ac:dyDescent="0.3">
      <c r="A121" s="26">
        <v>45352</v>
      </c>
      <c r="B121" s="13" t="s">
        <v>735</v>
      </c>
      <c r="C121" s="13">
        <v>1174.449951171875</v>
      </c>
      <c r="D121" s="13">
        <v>1182.1500244140625</v>
      </c>
      <c r="E121" s="13">
        <v>1101.4000244140625</v>
      </c>
      <c r="F121" s="13">
        <v>1109.300048828125</v>
      </c>
      <c r="G121" s="13">
        <v>5411267</v>
      </c>
      <c r="H121" s="13">
        <v>1101.4250061035157</v>
      </c>
      <c r="I121" s="13">
        <v>1155.4759793102132</v>
      </c>
      <c r="J121" s="13">
        <v>1047.3740328968181</v>
      </c>
      <c r="K121" s="13" t="s">
        <v>404</v>
      </c>
      <c r="M121" s="26">
        <v>45362</v>
      </c>
      <c r="N121" s="13" t="s">
        <v>735</v>
      </c>
      <c r="O121" s="13">
        <v>1146.050048828125</v>
      </c>
      <c r="P121" s="13">
        <v>1163.6500244140625</v>
      </c>
      <c r="Q121" s="13">
        <v>1101.4000244140625</v>
      </c>
      <c r="R121" s="13">
        <v>1109.300048828125</v>
      </c>
      <c r="S121" s="13">
        <v>1688391</v>
      </c>
      <c r="T121" s="13">
        <v>1140.1650146484376</v>
      </c>
      <c r="U121" s="13">
        <v>1172.5761228095043</v>
      </c>
      <c r="V121" s="13">
        <v>1107.7539064873708</v>
      </c>
      <c r="AA121" s="26">
        <v>45352</v>
      </c>
      <c r="AB121" s="13" t="s">
        <v>735</v>
      </c>
      <c r="AC121" s="13">
        <v>1174.449951171875</v>
      </c>
      <c r="AD121" s="13">
        <v>1182.1500244140625</v>
      </c>
      <c r="AE121" s="13">
        <v>1101.4000244140625</v>
      </c>
      <c r="AF121" s="13">
        <v>1109.300048828125</v>
      </c>
      <c r="AG121" s="13">
        <v>5411267</v>
      </c>
      <c r="AH121" s="13">
        <v>1106.3</v>
      </c>
      <c r="AI121" s="13">
        <v>1182.5139629749472</v>
      </c>
      <c r="AJ121" s="13">
        <v>1030.0860370250527</v>
      </c>
      <c r="AM121" s="26">
        <v>45362</v>
      </c>
      <c r="AN121" s="13" t="s">
        <v>735</v>
      </c>
      <c r="AO121" s="13">
        <v>1146.050048828125</v>
      </c>
      <c r="AP121" s="13">
        <v>1163.6500244140625</v>
      </c>
      <c r="AQ121" s="13">
        <v>1101.4000244140625</v>
      </c>
      <c r="AR121" s="13">
        <v>1109.300048828125</v>
      </c>
      <c r="AS121" s="13">
        <v>1688391</v>
      </c>
      <c r="AT121" s="13">
        <v>1143.1000244140625</v>
      </c>
      <c r="AU121" s="13">
        <v>1188.2026906323904</v>
      </c>
      <c r="AV121" s="13">
        <v>1097.9973581957347</v>
      </c>
    </row>
    <row r="122" spans="1:49" x14ac:dyDescent="0.3">
      <c r="A122" s="26">
        <v>45352</v>
      </c>
      <c r="B122" s="13" t="s">
        <v>736</v>
      </c>
      <c r="C122" s="13">
        <v>3835</v>
      </c>
      <c r="D122" s="13">
        <v>3877.85009765625</v>
      </c>
      <c r="E122" s="13">
        <v>3175</v>
      </c>
      <c r="F122" s="13">
        <v>3210.60009765625</v>
      </c>
      <c r="G122" s="13">
        <v>3730596</v>
      </c>
      <c r="H122" s="13">
        <v>3270.4950195312499</v>
      </c>
      <c r="I122" s="13">
        <v>3873.1157318798751</v>
      </c>
      <c r="J122" s="13">
        <v>2667.8743071826248</v>
      </c>
      <c r="M122" s="26">
        <v>45362</v>
      </c>
      <c r="N122" s="13" t="s">
        <v>736</v>
      </c>
      <c r="O122" s="13">
        <v>3616.949951171875</v>
      </c>
      <c r="P122" s="13">
        <v>3628.35009765625</v>
      </c>
      <c r="Q122" s="13">
        <v>3175</v>
      </c>
      <c r="R122" s="13">
        <v>3210.60009765625</v>
      </c>
      <c r="S122" s="13">
        <v>1324219</v>
      </c>
      <c r="T122" s="13">
        <v>3604.3000244140626</v>
      </c>
      <c r="U122" s="13">
        <v>3848.7397420413613</v>
      </c>
      <c r="V122" s="13">
        <v>3359.8603067867639</v>
      </c>
      <c r="AA122" s="26">
        <v>45352</v>
      </c>
      <c r="AB122" s="13" t="s">
        <v>736</v>
      </c>
      <c r="AC122" s="13">
        <v>3835</v>
      </c>
      <c r="AD122" s="13">
        <v>3877.85009765625</v>
      </c>
      <c r="AE122" s="13">
        <v>3175</v>
      </c>
      <c r="AF122" s="13">
        <v>3210.60009765625</v>
      </c>
      <c r="AG122" s="13">
        <v>3730596</v>
      </c>
      <c r="AH122" s="13">
        <v>3356.7300781250001</v>
      </c>
      <c r="AI122" s="13">
        <v>3795.8203537170857</v>
      </c>
      <c r="AJ122" s="13">
        <v>2917.6398025329145</v>
      </c>
      <c r="AK122" s="13" t="s">
        <v>404</v>
      </c>
      <c r="AM122" s="26">
        <v>45362</v>
      </c>
      <c r="AN122" s="13" t="s">
        <v>736</v>
      </c>
      <c r="AO122" s="13">
        <v>3616.949951171875</v>
      </c>
      <c r="AP122" s="13">
        <v>3628.35009765625</v>
      </c>
      <c r="AQ122" s="13">
        <v>3175</v>
      </c>
      <c r="AR122" s="13">
        <v>3210.60009765625</v>
      </c>
      <c r="AS122" s="13">
        <v>1324219</v>
      </c>
      <c r="AT122" s="13">
        <v>3581.8</v>
      </c>
      <c r="AU122" s="13">
        <v>3986.4799276222184</v>
      </c>
      <c r="AV122" s="13">
        <v>3177.120072377782</v>
      </c>
    </row>
    <row r="123" spans="1:49" x14ac:dyDescent="0.3">
      <c r="A123" s="26">
        <v>45352</v>
      </c>
      <c r="B123" s="13" t="s">
        <v>737</v>
      </c>
      <c r="C123" s="13">
        <v>1611.800048828125</v>
      </c>
      <c r="D123" s="13">
        <v>1761.4000244140625</v>
      </c>
      <c r="E123" s="13">
        <v>1580</v>
      </c>
      <c r="F123" s="13">
        <v>1587.800048828125</v>
      </c>
      <c r="G123" s="13">
        <v>3232831</v>
      </c>
      <c r="H123" s="13">
        <v>1634.4449951171875</v>
      </c>
      <c r="I123" s="13">
        <v>1738.5813878382974</v>
      </c>
      <c r="J123" s="13">
        <v>1530.3086023960777</v>
      </c>
      <c r="M123" s="26">
        <v>45362</v>
      </c>
      <c r="N123" s="13" t="s">
        <v>737</v>
      </c>
      <c r="O123" s="13">
        <v>1640.5</v>
      </c>
      <c r="P123" s="13">
        <v>1675</v>
      </c>
      <c r="Q123" s="13">
        <v>1580</v>
      </c>
      <c r="R123" s="13">
        <v>1587.800048828125</v>
      </c>
      <c r="S123" s="13">
        <v>1459412</v>
      </c>
      <c r="T123" s="13">
        <v>1687.6750122070312</v>
      </c>
      <c r="U123" s="13">
        <v>1787.4625523680547</v>
      </c>
      <c r="V123" s="13">
        <v>1587.8874720460076</v>
      </c>
      <c r="AA123" s="26">
        <v>45352</v>
      </c>
      <c r="AB123" s="13" t="s">
        <v>737</v>
      </c>
      <c r="AC123" s="13">
        <v>1611.800048828125</v>
      </c>
      <c r="AD123" s="13">
        <v>1761.4000244140625</v>
      </c>
      <c r="AE123" s="13">
        <v>1580</v>
      </c>
      <c r="AF123" s="13">
        <v>1587.800048828125</v>
      </c>
      <c r="AG123" s="13">
        <v>3232831</v>
      </c>
      <c r="AH123" s="13">
        <v>1640.6800292968751</v>
      </c>
      <c r="AI123" s="13">
        <v>1728.6583921730696</v>
      </c>
      <c r="AJ123" s="13">
        <v>1552.7016664206806</v>
      </c>
      <c r="AM123" s="26">
        <v>45362</v>
      </c>
      <c r="AN123" s="13" t="s">
        <v>737</v>
      </c>
      <c r="AO123" s="13">
        <v>1640.5</v>
      </c>
      <c r="AP123" s="13">
        <v>1675</v>
      </c>
      <c r="AQ123" s="13">
        <v>1580</v>
      </c>
      <c r="AR123" s="13">
        <v>1587.800048828125</v>
      </c>
      <c r="AS123" s="13">
        <v>1459412</v>
      </c>
      <c r="AT123" s="13">
        <v>1693.5600341796876</v>
      </c>
      <c r="AU123" s="13">
        <v>1839.945930849249</v>
      </c>
      <c r="AV123" s="13">
        <v>1547.1741375101262</v>
      </c>
    </row>
    <row r="124" spans="1:49" x14ac:dyDescent="0.3">
      <c r="A124" s="26">
        <v>45352</v>
      </c>
      <c r="B124" s="13" t="s">
        <v>738</v>
      </c>
      <c r="C124" s="13">
        <v>963.95001220703125</v>
      </c>
      <c r="D124" s="13">
        <v>1010</v>
      </c>
      <c r="E124" s="13">
        <v>945.75</v>
      </c>
      <c r="F124" s="13">
        <v>951.95001220703125</v>
      </c>
      <c r="G124" s="13">
        <v>6912481</v>
      </c>
      <c r="H124" s="13">
        <v>952.42500610351567</v>
      </c>
      <c r="I124" s="13">
        <v>1013.6690968998605</v>
      </c>
      <c r="J124" s="13">
        <v>891.18091530717084</v>
      </c>
      <c r="M124" s="26">
        <v>45362</v>
      </c>
      <c r="N124" s="13" t="s">
        <v>738</v>
      </c>
      <c r="O124" s="13">
        <v>995</v>
      </c>
      <c r="P124" s="13">
        <v>1010</v>
      </c>
      <c r="Q124" s="13">
        <v>945.75</v>
      </c>
      <c r="R124" s="13">
        <v>951.95001220703125</v>
      </c>
      <c r="S124" s="13">
        <v>3098215</v>
      </c>
      <c r="T124" s="13">
        <v>964.66500244140627</v>
      </c>
      <c r="U124" s="13">
        <v>992.25873384535555</v>
      </c>
      <c r="V124" s="13">
        <v>937.071271037457</v>
      </c>
      <c r="W124" s="13" t="s">
        <v>404</v>
      </c>
      <c r="AA124" s="26">
        <v>45352</v>
      </c>
      <c r="AB124" s="13" t="s">
        <v>738</v>
      </c>
      <c r="AC124" s="13">
        <v>963.95001220703125</v>
      </c>
      <c r="AD124" s="13">
        <v>1010</v>
      </c>
      <c r="AE124" s="13">
        <v>945.75</v>
      </c>
      <c r="AF124" s="13">
        <v>951.95001220703125</v>
      </c>
      <c r="AG124" s="13">
        <v>6912481</v>
      </c>
      <c r="AH124" s="13">
        <v>957.09000244140623</v>
      </c>
      <c r="AI124" s="13">
        <v>1039.6092142527737</v>
      </c>
      <c r="AJ124" s="13">
        <v>874.5707906300388</v>
      </c>
      <c r="AM124" s="26">
        <v>45362</v>
      </c>
      <c r="AN124" s="13" t="s">
        <v>738</v>
      </c>
      <c r="AO124" s="13">
        <v>995</v>
      </c>
      <c r="AP124" s="13">
        <v>1010</v>
      </c>
      <c r="AQ124" s="13">
        <v>945.75</v>
      </c>
      <c r="AR124" s="13">
        <v>951.95001220703125</v>
      </c>
      <c r="AS124" s="13">
        <v>3098215</v>
      </c>
      <c r="AT124" s="13">
        <v>960.21000976562505</v>
      </c>
      <c r="AU124" s="13">
        <v>994.9408245095093</v>
      </c>
      <c r="AV124" s="13">
        <v>925.47919502174079</v>
      </c>
      <c r="AW124" s="13" t="s">
        <v>404</v>
      </c>
    </row>
    <row r="125" spans="1:49" x14ac:dyDescent="0.3">
      <c r="A125" s="26">
        <v>45352</v>
      </c>
      <c r="B125" s="13" t="s">
        <v>739</v>
      </c>
      <c r="C125" s="13">
        <v>1498.949951171875</v>
      </c>
      <c r="D125" s="13">
        <v>1580</v>
      </c>
      <c r="E125" s="13">
        <v>1201</v>
      </c>
      <c r="F125" s="13">
        <v>1220.300048828125</v>
      </c>
      <c r="G125" s="13">
        <v>15507226</v>
      </c>
      <c r="H125" s="13">
        <v>1277.25</v>
      </c>
      <c r="I125" s="13">
        <v>1613.3058770008313</v>
      </c>
      <c r="J125" s="13">
        <v>941.19412299916871</v>
      </c>
      <c r="M125" s="26">
        <v>45362</v>
      </c>
      <c r="N125" s="13" t="s">
        <v>739</v>
      </c>
      <c r="O125" s="13">
        <v>1329.050048828125</v>
      </c>
      <c r="P125" s="13">
        <v>1329.050048828125</v>
      </c>
      <c r="Q125" s="13">
        <v>1201</v>
      </c>
      <c r="R125" s="13">
        <v>1220.300048828125</v>
      </c>
      <c r="S125" s="13">
        <v>3505076</v>
      </c>
      <c r="T125" s="13">
        <v>1440.1750122070312</v>
      </c>
      <c r="U125" s="13">
        <v>1622.6410024643567</v>
      </c>
      <c r="V125" s="13">
        <v>1257.7090219497056</v>
      </c>
      <c r="AA125" s="26">
        <v>45352</v>
      </c>
      <c r="AB125" s="13" t="s">
        <v>739</v>
      </c>
      <c r="AC125" s="13">
        <v>1498.949951171875</v>
      </c>
      <c r="AD125" s="13">
        <v>1580</v>
      </c>
      <c r="AE125" s="13">
        <v>1201</v>
      </c>
      <c r="AF125" s="13">
        <v>1220.300048828125</v>
      </c>
      <c r="AG125" s="13">
        <v>15507226</v>
      </c>
      <c r="AH125" s="13">
        <v>1285.1500000000001</v>
      </c>
      <c r="AI125" s="13">
        <v>1629.4348016915417</v>
      </c>
      <c r="AJ125" s="13">
        <v>940.8651983084585</v>
      </c>
      <c r="AM125" s="26">
        <v>45362</v>
      </c>
      <c r="AN125" s="13" t="s">
        <v>739</v>
      </c>
      <c r="AO125" s="13">
        <v>1329.050048828125</v>
      </c>
      <c r="AP125" s="13">
        <v>1329.050048828125</v>
      </c>
      <c r="AQ125" s="13">
        <v>1201</v>
      </c>
      <c r="AR125" s="13">
        <v>1220.300048828125</v>
      </c>
      <c r="AS125" s="13">
        <v>3505076</v>
      </c>
      <c r="AT125" s="13">
        <v>1415.17998046875</v>
      </c>
      <c r="AU125" s="13">
        <v>1663.3547967848315</v>
      </c>
      <c r="AV125" s="13">
        <v>1167.0051641526686</v>
      </c>
    </row>
    <row r="126" spans="1:49" x14ac:dyDescent="0.3">
      <c r="A126" s="26">
        <v>45352</v>
      </c>
      <c r="B126" s="13" t="s">
        <v>740</v>
      </c>
      <c r="C126" s="13">
        <v>119.34999847412109</v>
      </c>
      <c r="D126" s="13">
        <v>126.5</v>
      </c>
      <c r="E126" s="13">
        <v>107.5</v>
      </c>
      <c r="F126" s="13">
        <v>110.19999694824219</v>
      </c>
      <c r="G126" s="13">
        <v>631660635</v>
      </c>
      <c r="H126" s="13">
        <v>105.97499923706054</v>
      </c>
      <c r="I126" s="13">
        <v>127.53461466345411</v>
      </c>
      <c r="J126" s="13">
        <v>84.415383810666981</v>
      </c>
      <c r="M126" s="26">
        <v>45362</v>
      </c>
      <c r="N126" s="13" t="s">
        <v>740</v>
      </c>
      <c r="O126" s="13">
        <v>118.90000152587891</v>
      </c>
      <c r="P126" s="13">
        <v>118.90000152587891</v>
      </c>
      <c r="Q126" s="13">
        <v>107.5</v>
      </c>
      <c r="R126" s="13">
        <v>110.19999694824219</v>
      </c>
      <c r="S126" s="13">
        <v>71116379</v>
      </c>
      <c r="T126" s="13">
        <v>116.625</v>
      </c>
      <c r="U126" s="13">
        <v>122.97881731530914</v>
      </c>
      <c r="V126" s="13">
        <v>110.27118268469086</v>
      </c>
      <c r="AA126" s="26">
        <v>45352</v>
      </c>
      <c r="AB126" s="13" t="s">
        <v>740</v>
      </c>
      <c r="AC126" s="13">
        <v>119.34999847412109</v>
      </c>
      <c r="AD126" s="13">
        <v>126.5</v>
      </c>
      <c r="AE126" s="13">
        <v>107.5</v>
      </c>
      <c r="AF126" s="13">
        <v>110.19999694824219</v>
      </c>
      <c r="AG126" s="13">
        <v>631660635</v>
      </c>
      <c r="AH126" s="13">
        <v>107.32999877929687</v>
      </c>
      <c r="AI126" s="13">
        <v>126.23191084362317</v>
      </c>
      <c r="AJ126" s="13">
        <v>88.428086714970576</v>
      </c>
      <c r="AM126" s="26">
        <v>45362</v>
      </c>
      <c r="AN126" s="13" t="s">
        <v>740</v>
      </c>
      <c r="AO126" s="13">
        <v>118.90000152587891</v>
      </c>
      <c r="AP126" s="13">
        <v>118.90000152587891</v>
      </c>
      <c r="AQ126" s="13">
        <v>107.5</v>
      </c>
      <c r="AR126" s="13">
        <v>110.19999694824219</v>
      </c>
      <c r="AS126" s="13">
        <v>71116379</v>
      </c>
      <c r="AT126" s="13">
        <v>115.65</v>
      </c>
      <c r="AU126" s="13">
        <v>122.41550159565769</v>
      </c>
      <c r="AV126" s="13">
        <v>108.88449840434232</v>
      </c>
    </row>
    <row r="127" spans="1:49" x14ac:dyDescent="0.3">
      <c r="A127" s="26">
        <v>45352</v>
      </c>
      <c r="B127" s="13" t="s">
        <v>741</v>
      </c>
      <c r="C127" s="13">
        <v>2621</v>
      </c>
      <c r="D127" s="13">
        <v>2660.75</v>
      </c>
      <c r="E127" s="13">
        <v>2348.050048828125</v>
      </c>
      <c r="F127" s="13">
        <v>2375.300048828125</v>
      </c>
      <c r="G127" s="13">
        <v>3443361</v>
      </c>
      <c r="H127" s="13">
        <v>2520.4200195312501</v>
      </c>
      <c r="I127" s="13">
        <v>2803.2768235634494</v>
      </c>
      <c r="J127" s="13">
        <v>2237.5632154990508</v>
      </c>
      <c r="M127" s="26">
        <v>45362</v>
      </c>
      <c r="N127" s="13" t="s">
        <v>741</v>
      </c>
      <c r="O127" s="13">
        <v>2519</v>
      </c>
      <c r="P127" s="13">
        <v>2519</v>
      </c>
      <c r="Q127" s="13">
        <v>2348.050048828125</v>
      </c>
      <c r="R127" s="13">
        <v>2375.300048828125</v>
      </c>
      <c r="S127" s="13">
        <v>1608286</v>
      </c>
      <c r="T127" s="13">
        <v>2612.0800048828123</v>
      </c>
      <c r="U127" s="13">
        <v>2824.3503058282836</v>
      </c>
      <c r="V127" s="13">
        <v>2399.8097039373411</v>
      </c>
      <c r="AA127" s="26">
        <v>45352</v>
      </c>
      <c r="AB127" s="13" t="s">
        <v>741</v>
      </c>
      <c r="AC127" s="13">
        <v>2621</v>
      </c>
      <c r="AD127" s="13">
        <v>2660.75</v>
      </c>
      <c r="AE127" s="13">
        <v>2348.050048828125</v>
      </c>
      <c r="AF127" s="13">
        <v>2375.300048828125</v>
      </c>
      <c r="AG127" s="13">
        <v>3443361</v>
      </c>
      <c r="AH127" s="13">
        <v>2537.1100097656249</v>
      </c>
      <c r="AI127" s="13">
        <v>2834.7599014260877</v>
      </c>
      <c r="AJ127" s="13">
        <v>2239.4601181051621</v>
      </c>
      <c r="AM127" s="26">
        <v>45362</v>
      </c>
      <c r="AN127" s="13" t="s">
        <v>741</v>
      </c>
      <c r="AO127" s="13">
        <v>2519</v>
      </c>
      <c r="AP127" s="13">
        <v>2519</v>
      </c>
      <c r="AQ127" s="13">
        <v>2348.050048828125</v>
      </c>
      <c r="AR127" s="13">
        <v>2375.300048828125</v>
      </c>
      <c r="AS127" s="13">
        <v>1608286</v>
      </c>
      <c r="AT127" s="13">
        <v>2602.9900390624998</v>
      </c>
      <c r="AU127" s="13">
        <v>2911.9102205478139</v>
      </c>
      <c r="AV127" s="13">
        <v>2294.0698575771858</v>
      </c>
    </row>
    <row r="128" spans="1:49" x14ac:dyDescent="0.3">
      <c r="A128" s="26">
        <v>45352</v>
      </c>
      <c r="B128" s="13" t="s">
        <v>742</v>
      </c>
      <c r="C128" s="13">
        <v>146081.546875</v>
      </c>
      <c r="D128" s="13">
        <v>147500</v>
      </c>
      <c r="E128" s="13">
        <v>137746.90625</v>
      </c>
      <c r="F128" s="13">
        <v>139057.703125</v>
      </c>
      <c r="G128" s="13">
        <v>61669</v>
      </c>
      <c r="H128" s="13">
        <v>131175.671875</v>
      </c>
      <c r="I128" s="13">
        <v>158148.64203882182</v>
      </c>
      <c r="J128" s="13">
        <v>104202.70171117816</v>
      </c>
      <c r="M128" s="26">
        <v>45362</v>
      </c>
      <c r="N128" s="13" t="s">
        <v>742</v>
      </c>
      <c r="O128" s="13">
        <v>144500</v>
      </c>
      <c r="P128" s="13">
        <v>145337.296875</v>
      </c>
      <c r="Q128" s="13">
        <v>137746.90625</v>
      </c>
      <c r="R128" s="13">
        <v>139057.703125</v>
      </c>
      <c r="S128" s="13">
        <v>26668</v>
      </c>
      <c r="T128" s="13">
        <v>145541.10625000001</v>
      </c>
      <c r="U128" s="13">
        <v>151006.34136372578</v>
      </c>
      <c r="V128" s="13">
        <v>140075.87113627425</v>
      </c>
      <c r="AA128" s="26">
        <v>45352</v>
      </c>
      <c r="AB128" s="13" t="s">
        <v>742</v>
      </c>
      <c r="AC128" s="13">
        <v>146081.546875</v>
      </c>
      <c r="AD128" s="13">
        <v>147500</v>
      </c>
      <c r="AE128" s="13">
        <v>137746.90625</v>
      </c>
      <c r="AF128" s="13">
        <v>139057.703125</v>
      </c>
      <c r="AG128" s="13">
        <v>61669</v>
      </c>
      <c r="AH128" s="13">
        <v>133795.78125</v>
      </c>
      <c r="AI128" s="13">
        <v>158493.94355968188</v>
      </c>
      <c r="AJ128" s="13">
        <v>109097.61894031812</v>
      </c>
      <c r="AM128" s="26">
        <v>45362</v>
      </c>
      <c r="AN128" s="13" t="s">
        <v>742</v>
      </c>
      <c r="AO128" s="13">
        <v>144500</v>
      </c>
      <c r="AP128" s="13">
        <v>145337.296875</v>
      </c>
      <c r="AQ128" s="13">
        <v>137746.90625</v>
      </c>
      <c r="AR128" s="13">
        <v>139057.703125</v>
      </c>
      <c r="AS128" s="13">
        <v>26668</v>
      </c>
      <c r="AT128" s="13">
        <v>145395.97187499999</v>
      </c>
      <c r="AU128" s="13">
        <v>153282.95765930787</v>
      </c>
      <c r="AV128" s="13">
        <v>137508.98609069211</v>
      </c>
    </row>
    <row r="129" spans="1:49" x14ac:dyDescent="0.3">
      <c r="A129" s="26">
        <v>45352</v>
      </c>
      <c r="B129" s="13" t="s">
        <v>743</v>
      </c>
      <c r="C129" s="13">
        <v>1299.8499755859375</v>
      </c>
      <c r="D129" s="13">
        <v>1527</v>
      </c>
      <c r="E129" s="13">
        <v>1294.3499755859375</v>
      </c>
      <c r="F129" s="13">
        <v>1350.5</v>
      </c>
      <c r="G129" s="13">
        <v>13958637</v>
      </c>
      <c r="H129" s="13">
        <v>1406.6849853515625</v>
      </c>
      <c r="I129" s="13">
        <v>1494.1089973149456</v>
      </c>
      <c r="J129" s="13">
        <v>1319.2609733881795</v>
      </c>
      <c r="M129" s="26">
        <v>45362</v>
      </c>
      <c r="N129" s="13" t="s">
        <v>743</v>
      </c>
      <c r="O129" s="13">
        <v>1382.050048828125</v>
      </c>
      <c r="P129" s="13">
        <v>1416</v>
      </c>
      <c r="Q129" s="13">
        <v>1340.300048828125</v>
      </c>
      <c r="R129" s="13">
        <v>1350.5</v>
      </c>
      <c r="S129" s="13">
        <v>2224089</v>
      </c>
      <c r="T129" s="13">
        <v>1363.4850097656249</v>
      </c>
      <c r="U129" s="13">
        <v>1449.3891711262004</v>
      </c>
      <c r="V129" s="13">
        <v>1277.5808484050494</v>
      </c>
      <c r="AA129" s="26">
        <v>45352</v>
      </c>
      <c r="AB129" s="13" t="s">
        <v>743</v>
      </c>
      <c r="AC129" s="13">
        <v>1299.8499755859375</v>
      </c>
      <c r="AD129" s="13">
        <v>1527</v>
      </c>
      <c r="AE129" s="13">
        <v>1294.3499755859375</v>
      </c>
      <c r="AF129" s="13">
        <v>1350.5</v>
      </c>
      <c r="AG129" s="13">
        <v>13958637</v>
      </c>
      <c r="AH129" s="13">
        <v>1401.4800048828124</v>
      </c>
      <c r="AI129" s="13">
        <v>1540.7873625380319</v>
      </c>
      <c r="AJ129" s="13">
        <v>1262.172647227593</v>
      </c>
      <c r="AM129" s="26">
        <v>45362</v>
      </c>
      <c r="AN129" s="13" t="s">
        <v>743</v>
      </c>
      <c r="AO129" s="13">
        <v>1382.050048828125</v>
      </c>
      <c r="AP129" s="13">
        <v>1416</v>
      </c>
      <c r="AQ129" s="13">
        <v>1340.300048828125</v>
      </c>
      <c r="AR129" s="13">
        <v>1350.5</v>
      </c>
      <c r="AS129" s="13">
        <v>2224089</v>
      </c>
      <c r="AT129" s="13">
        <v>1345.2300048828124</v>
      </c>
      <c r="AU129" s="13">
        <v>1388.9056685870005</v>
      </c>
      <c r="AV129" s="13">
        <v>1301.5543411786243</v>
      </c>
    </row>
    <row r="130" spans="1:49" x14ac:dyDescent="0.3">
      <c r="A130" s="26">
        <v>45352</v>
      </c>
      <c r="B130" s="13" t="s">
        <v>744</v>
      </c>
      <c r="C130" s="13">
        <v>157.5</v>
      </c>
      <c r="D130" s="13">
        <v>170.44999694824219</v>
      </c>
      <c r="E130" s="13">
        <v>130.25</v>
      </c>
      <c r="F130" s="13">
        <v>136.14999389648438</v>
      </c>
      <c r="G130" s="13">
        <v>187997805</v>
      </c>
      <c r="H130" s="13">
        <v>129.18000030517578</v>
      </c>
      <c r="I130" s="13">
        <v>175.38214833234269</v>
      </c>
      <c r="J130" s="13">
        <v>82.977852278008868</v>
      </c>
      <c r="M130" s="26">
        <v>45362</v>
      </c>
      <c r="N130" s="13" t="s">
        <v>744</v>
      </c>
      <c r="O130" s="13">
        <v>163.5</v>
      </c>
      <c r="P130" s="13">
        <v>164.10000610351563</v>
      </c>
      <c r="Q130" s="13">
        <v>130.25</v>
      </c>
      <c r="R130" s="13">
        <v>136.14999389648438</v>
      </c>
      <c r="S130" s="13">
        <v>68824221</v>
      </c>
      <c r="T130" s="13">
        <v>156.07500152587892</v>
      </c>
      <c r="U130" s="13">
        <v>167.40548832170072</v>
      </c>
      <c r="V130" s="13">
        <v>144.74451473005712</v>
      </c>
      <c r="AA130" s="26">
        <v>45352</v>
      </c>
      <c r="AB130" s="13" t="s">
        <v>744</v>
      </c>
      <c r="AC130" s="13">
        <v>157.5</v>
      </c>
      <c r="AD130" s="13">
        <v>170.44999694824219</v>
      </c>
      <c r="AE130" s="13">
        <v>130.25</v>
      </c>
      <c r="AF130" s="13">
        <v>136.14999389648438</v>
      </c>
      <c r="AG130" s="13">
        <v>187997805</v>
      </c>
      <c r="AH130" s="13">
        <v>132.97999877929686</v>
      </c>
      <c r="AI130" s="13">
        <v>177.43175259053135</v>
      </c>
      <c r="AJ130" s="13">
        <v>88.528244968062381</v>
      </c>
      <c r="AM130" s="26">
        <v>45362</v>
      </c>
      <c r="AN130" s="13" t="s">
        <v>744</v>
      </c>
      <c r="AO130" s="13">
        <v>163.5</v>
      </c>
      <c r="AP130" s="13">
        <v>164.10000610351563</v>
      </c>
      <c r="AQ130" s="13">
        <v>130.25</v>
      </c>
      <c r="AR130" s="13">
        <v>136.14999389648438</v>
      </c>
      <c r="AS130" s="13">
        <v>68824221</v>
      </c>
      <c r="AT130" s="13">
        <v>156.37999877929687</v>
      </c>
      <c r="AU130" s="13">
        <v>176.82980527813405</v>
      </c>
      <c r="AV130" s="13">
        <v>135.93019228045969</v>
      </c>
    </row>
    <row r="131" spans="1:49" x14ac:dyDescent="0.3">
      <c r="A131" s="26">
        <v>45352</v>
      </c>
      <c r="B131" s="13" t="s">
        <v>745</v>
      </c>
      <c r="C131" s="13">
        <v>5287.60009765625</v>
      </c>
      <c r="D131" s="13">
        <v>5361.75</v>
      </c>
      <c r="E131" s="13">
        <v>5000.10009765625</v>
      </c>
      <c r="F131" s="13">
        <v>5107.2001953125</v>
      </c>
      <c r="G131" s="13">
        <v>2699153</v>
      </c>
      <c r="H131" s="13">
        <v>4996.2749999999996</v>
      </c>
      <c r="I131" s="13">
        <v>5584.4103694921532</v>
      </c>
      <c r="J131" s="13">
        <v>4408.1396305078461</v>
      </c>
      <c r="M131" s="26">
        <v>45362</v>
      </c>
      <c r="N131" s="13" t="s">
        <v>745</v>
      </c>
      <c r="O131" s="13">
        <v>5120.25</v>
      </c>
      <c r="P131" s="13">
        <v>5243.2001953125</v>
      </c>
      <c r="Q131" s="13">
        <v>5000.10009765625</v>
      </c>
      <c r="R131" s="13">
        <v>5107.2001953125</v>
      </c>
      <c r="S131" s="13">
        <v>1109177</v>
      </c>
      <c r="T131" s="13">
        <v>5245.5000488281248</v>
      </c>
      <c r="U131" s="13">
        <v>5403.9783805366342</v>
      </c>
      <c r="V131" s="13">
        <v>5087.0217171196155</v>
      </c>
      <c r="AA131" s="26">
        <v>45352</v>
      </c>
      <c r="AB131" s="13" t="s">
        <v>745</v>
      </c>
      <c r="AC131" s="13">
        <v>5287.60009765625</v>
      </c>
      <c r="AD131" s="13">
        <v>5361.75</v>
      </c>
      <c r="AE131" s="13">
        <v>5000.10009765625</v>
      </c>
      <c r="AF131" s="13">
        <v>5107.2001953125</v>
      </c>
      <c r="AG131" s="13">
        <v>2699153</v>
      </c>
      <c r="AH131" s="13">
        <v>5031.55</v>
      </c>
      <c r="AI131" s="13">
        <v>5478.9153033666062</v>
      </c>
      <c r="AJ131" s="13">
        <v>4584.1846966333942</v>
      </c>
      <c r="AM131" s="26">
        <v>45362</v>
      </c>
      <c r="AN131" s="13" t="s">
        <v>745</v>
      </c>
      <c r="AO131" s="13">
        <v>5120.25</v>
      </c>
      <c r="AP131" s="13">
        <v>5243.2001953125</v>
      </c>
      <c r="AQ131" s="13">
        <v>5000.10009765625</v>
      </c>
      <c r="AR131" s="13">
        <v>5107.2001953125</v>
      </c>
      <c r="AS131" s="13">
        <v>1109177</v>
      </c>
      <c r="AT131" s="13">
        <v>5217.5700195312502</v>
      </c>
      <c r="AU131" s="13">
        <v>5418.3968036638362</v>
      </c>
      <c r="AV131" s="13">
        <v>5016.7432353986642</v>
      </c>
    </row>
    <row r="132" spans="1:49" x14ac:dyDescent="0.3">
      <c r="A132" s="26">
        <v>45352</v>
      </c>
      <c r="B132" s="13" t="s">
        <v>746</v>
      </c>
      <c r="C132" s="13">
        <v>3021.10009765625</v>
      </c>
      <c r="D132" s="13">
        <v>3127</v>
      </c>
      <c r="E132" s="13">
        <v>2914.14990234375</v>
      </c>
      <c r="F132" s="13">
        <v>2924.25</v>
      </c>
      <c r="G132" s="13">
        <v>1568664</v>
      </c>
      <c r="H132" s="13">
        <v>3441.5999755859375</v>
      </c>
      <c r="I132" s="13">
        <v>4021.3915768164352</v>
      </c>
      <c r="J132" s="13">
        <v>2861.8083743554398</v>
      </c>
      <c r="M132" s="26">
        <v>45362</v>
      </c>
      <c r="N132" s="13" t="s">
        <v>746</v>
      </c>
      <c r="O132" s="13">
        <v>3061</v>
      </c>
      <c r="P132" s="13">
        <v>3083.89990234375</v>
      </c>
      <c r="Q132" s="13">
        <v>2914.14990234375</v>
      </c>
      <c r="R132" s="13">
        <v>2924.25</v>
      </c>
      <c r="S132" s="13">
        <v>532360</v>
      </c>
      <c r="T132" s="13">
        <v>3085.7849609374998</v>
      </c>
      <c r="U132" s="13">
        <v>3206.3743222919716</v>
      </c>
      <c r="V132" s="13">
        <v>2965.1955995830281</v>
      </c>
      <c r="AA132" s="26">
        <v>45352</v>
      </c>
      <c r="AB132" s="13" t="s">
        <v>746</v>
      </c>
      <c r="AC132" s="13">
        <v>3021.10009765625</v>
      </c>
      <c r="AD132" s="13">
        <v>3127</v>
      </c>
      <c r="AE132" s="13">
        <v>2914.14990234375</v>
      </c>
      <c r="AF132" s="13">
        <v>2924.25</v>
      </c>
      <c r="AG132" s="13">
        <v>1568664</v>
      </c>
      <c r="AH132" s="13">
        <v>3383.4300292968751</v>
      </c>
      <c r="AI132" s="13">
        <v>4112.7519573376458</v>
      </c>
      <c r="AJ132" s="13">
        <v>2654.1081012561044</v>
      </c>
      <c r="AM132" s="26">
        <v>45362</v>
      </c>
      <c r="AN132" s="13" t="s">
        <v>746</v>
      </c>
      <c r="AO132" s="13">
        <v>3061</v>
      </c>
      <c r="AP132" s="13">
        <v>3083.89990234375</v>
      </c>
      <c r="AQ132" s="13">
        <v>2914.14990234375</v>
      </c>
      <c r="AR132" s="13">
        <v>2924.25</v>
      </c>
      <c r="AS132" s="13">
        <v>532360</v>
      </c>
      <c r="AT132" s="13">
        <v>3072.5299804687502</v>
      </c>
      <c r="AU132" s="13">
        <v>3249.0813164830856</v>
      </c>
      <c r="AV132" s="13">
        <v>2895.9786444544147</v>
      </c>
    </row>
    <row r="133" spans="1:49" x14ac:dyDescent="0.3">
      <c r="A133" s="26">
        <v>45352</v>
      </c>
      <c r="B133" s="13" t="s">
        <v>747</v>
      </c>
      <c r="C133" s="13">
        <v>2596.199951171875</v>
      </c>
      <c r="D133" s="13">
        <v>2653.64990234375</v>
      </c>
      <c r="E133" s="13">
        <v>2508.25</v>
      </c>
      <c r="F133" s="13">
        <v>2582.949951171875</v>
      </c>
      <c r="G133" s="13">
        <v>7541871</v>
      </c>
      <c r="H133" s="13">
        <v>2530.7665039062499</v>
      </c>
      <c r="I133" s="13">
        <v>2662.5887981849705</v>
      </c>
      <c r="J133" s="13">
        <v>2398.9442096275293</v>
      </c>
      <c r="M133" s="26">
        <v>45362</v>
      </c>
      <c r="N133" s="13" t="s">
        <v>747</v>
      </c>
      <c r="O133" s="13">
        <v>2560.949951171875</v>
      </c>
      <c r="P133" s="13">
        <v>2653.64990234375</v>
      </c>
      <c r="Q133" s="13">
        <v>2548.550048828125</v>
      </c>
      <c r="R133" s="13">
        <v>2582.949951171875</v>
      </c>
      <c r="S133" s="13">
        <v>4172239</v>
      </c>
      <c r="T133" s="13">
        <v>2547.1950195312502</v>
      </c>
      <c r="U133" s="13">
        <v>2640.7652565840567</v>
      </c>
      <c r="V133" s="13">
        <v>2453.6247824784436</v>
      </c>
      <c r="AA133" s="26">
        <v>45352</v>
      </c>
      <c r="AB133" s="13" t="s">
        <v>747</v>
      </c>
      <c r="AC133" s="13">
        <v>2596.199951171875</v>
      </c>
      <c r="AD133" s="13">
        <v>2653.64990234375</v>
      </c>
      <c r="AE133" s="13">
        <v>2508.25</v>
      </c>
      <c r="AF133" s="13">
        <v>2582.949951171875</v>
      </c>
      <c r="AG133" s="13">
        <v>7541871</v>
      </c>
      <c r="AH133" s="13">
        <v>2553.3589843750001</v>
      </c>
      <c r="AI133" s="13">
        <v>2715.2067617800567</v>
      </c>
      <c r="AJ133" s="13">
        <v>2391.5112069699435</v>
      </c>
      <c r="AM133" s="26">
        <v>45362</v>
      </c>
      <c r="AN133" s="13" t="s">
        <v>747</v>
      </c>
      <c r="AO133" s="13">
        <v>2560.949951171875</v>
      </c>
      <c r="AP133" s="13">
        <v>2653.64990234375</v>
      </c>
      <c r="AQ133" s="13">
        <v>2548.550048828125</v>
      </c>
      <c r="AR133" s="13">
        <v>2582.949951171875</v>
      </c>
      <c r="AS133" s="13">
        <v>4172239</v>
      </c>
      <c r="AT133" s="13">
        <v>2562.3999511718748</v>
      </c>
      <c r="AU133" s="13">
        <v>2641.4565836369788</v>
      </c>
      <c r="AV133" s="13">
        <v>2483.3433187067708</v>
      </c>
    </row>
    <row r="134" spans="1:49" x14ac:dyDescent="0.3">
      <c r="A134" s="26">
        <v>45352</v>
      </c>
      <c r="B134" s="13" t="s">
        <v>748</v>
      </c>
      <c r="C134" s="13">
        <v>227.39999389648438</v>
      </c>
      <c r="D134" s="13">
        <v>245.19999694824219</v>
      </c>
      <c r="E134" s="13">
        <v>203.39999389648438</v>
      </c>
      <c r="F134" s="13">
        <v>205.44999694824219</v>
      </c>
      <c r="G134" s="13">
        <v>126768165</v>
      </c>
      <c r="H134" s="13">
        <v>207.23999786376953</v>
      </c>
      <c r="I134" s="13">
        <v>254.27103452337769</v>
      </c>
      <c r="J134" s="13">
        <v>160.20896120416137</v>
      </c>
      <c r="M134" s="26">
        <v>45362</v>
      </c>
      <c r="N134" s="13" t="s">
        <v>748</v>
      </c>
      <c r="O134" s="13">
        <v>235</v>
      </c>
      <c r="P134" s="13">
        <v>237.5</v>
      </c>
      <c r="Q134" s="13">
        <v>203.39999389648438</v>
      </c>
      <c r="R134" s="13">
        <v>205.44999694824219</v>
      </c>
      <c r="S134" s="13">
        <v>52716728</v>
      </c>
      <c r="T134" s="13">
        <v>233.77999877929688</v>
      </c>
      <c r="U134" s="13">
        <v>249.00844126681719</v>
      </c>
      <c r="V134" s="13">
        <v>218.55155629177656</v>
      </c>
      <c r="AA134" s="26">
        <v>45352</v>
      </c>
      <c r="AB134" s="13" t="s">
        <v>748</v>
      </c>
      <c r="AC134" s="13">
        <v>227.39999389648438</v>
      </c>
      <c r="AD134" s="13">
        <v>245.19999694824219</v>
      </c>
      <c r="AE134" s="13">
        <v>203.39999389648438</v>
      </c>
      <c r="AF134" s="13">
        <v>205.44999694824219</v>
      </c>
      <c r="AG134" s="13">
        <v>126768165</v>
      </c>
      <c r="AH134" s="13">
        <v>208.46999816894532</v>
      </c>
      <c r="AI134" s="13">
        <v>239.07983881114254</v>
      </c>
      <c r="AJ134" s="13">
        <v>177.86015752674811</v>
      </c>
      <c r="AM134" s="26">
        <v>45362</v>
      </c>
      <c r="AN134" s="13" t="s">
        <v>748</v>
      </c>
      <c r="AO134" s="13">
        <v>235</v>
      </c>
      <c r="AP134" s="13">
        <v>237.5</v>
      </c>
      <c r="AQ134" s="13">
        <v>203.39999389648438</v>
      </c>
      <c r="AR134" s="13">
        <v>205.44999694824219</v>
      </c>
      <c r="AS134" s="13">
        <v>52716728</v>
      </c>
      <c r="AT134" s="13">
        <v>231.59000244140626</v>
      </c>
      <c r="AU134" s="13">
        <v>259.06242347738635</v>
      </c>
      <c r="AV134" s="13">
        <v>204.11758140542617</v>
      </c>
    </row>
    <row r="135" spans="1:49" x14ac:dyDescent="0.3">
      <c r="A135" s="26">
        <v>45352</v>
      </c>
      <c r="B135" s="13" t="s">
        <v>749</v>
      </c>
      <c r="C135" s="13">
        <v>335.60000610351563</v>
      </c>
      <c r="D135" s="13">
        <v>359.95001220703125</v>
      </c>
      <c r="E135" s="13">
        <v>319.5</v>
      </c>
      <c r="F135" s="13">
        <v>322.5</v>
      </c>
      <c r="G135" s="13">
        <v>133332079</v>
      </c>
      <c r="H135" s="13">
        <v>303.52999877929688</v>
      </c>
      <c r="I135" s="13">
        <v>370.28252987816643</v>
      </c>
      <c r="J135" s="13">
        <v>236.77746768042732</v>
      </c>
      <c r="M135" s="26">
        <v>45362</v>
      </c>
      <c r="N135" s="13" t="s">
        <v>749</v>
      </c>
      <c r="O135" s="13">
        <v>352.25</v>
      </c>
      <c r="P135" s="13">
        <v>353.14999389648438</v>
      </c>
      <c r="Q135" s="13">
        <v>319.5</v>
      </c>
      <c r="R135" s="13">
        <v>322.5</v>
      </c>
      <c r="S135" s="13">
        <v>44017247</v>
      </c>
      <c r="T135" s="13">
        <v>338.86500244140626</v>
      </c>
      <c r="U135" s="13">
        <v>354.27011946364365</v>
      </c>
      <c r="V135" s="13">
        <v>323.45988541916887</v>
      </c>
      <c r="AA135" s="26">
        <v>45352</v>
      </c>
      <c r="AB135" s="13" t="s">
        <v>749</v>
      </c>
      <c r="AC135" s="13">
        <v>335.60000610351563</v>
      </c>
      <c r="AD135" s="13">
        <v>359.95001220703125</v>
      </c>
      <c r="AE135" s="13">
        <v>319.5</v>
      </c>
      <c r="AF135" s="13">
        <v>322.5</v>
      </c>
      <c r="AG135" s="13">
        <v>133332079</v>
      </c>
      <c r="AH135" s="13">
        <v>309.60999755859376</v>
      </c>
      <c r="AI135" s="13">
        <v>360.52257736284616</v>
      </c>
      <c r="AJ135" s="13">
        <v>258.69741775434136</v>
      </c>
      <c r="AM135" s="26">
        <v>45362</v>
      </c>
      <c r="AN135" s="13" t="s">
        <v>749</v>
      </c>
      <c r="AO135" s="13">
        <v>352.25</v>
      </c>
      <c r="AP135" s="13">
        <v>353.14999389648438</v>
      </c>
      <c r="AQ135" s="13">
        <v>319.5</v>
      </c>
      <c r="AR135" s="13">
        <v>322.5</v>
      </c>
      <c r="AS135" s="13">
        <v>44017247</v>
      </c>
      <c r="AT135" s="13">
        <v>338.74000244140626</v>
      </c>
      <c r="AU135" s="13">
        <v>358.12096895215387</v>
      </c>
      <c r="AV135" s="13">
        <v>319.35903593065865</v>
      </c>
    </row>
    <row r="136" spans="1:49" x14ac:dyDescent="0.3">
      <c r="A136" s="26">
        <v>45352</v>
      </c>
      <c r="B136" s="13" t="s">
        <v>750</v>
      </c>
      <c r="C136" s="13">
        <v>1351.75</v>
      </c>
      <c r="D136" s="13">
        <v>1398.800048828125</v>
      </c>
      <c r="E136" s="13">
        <v>1284.1500244140625</v>
      </c>
      <c r="F136" s="13">
        <v>1299.8499755859375</v>
      </c>
      <c r="G136" s="13">
        <v>3757604</v>
      </c>
      <c r="H136" s="13">
        <v>1364.0750244140625</v>
      </c>
      <c r="I136" s="13">
        <v>1476.3401384656158</v>
      </c>
      <c r="J136" s="13">
        <v>1251.8099103625091</v>
      </c>
      <c r="M136" s="26">
        <v>45362</v>
      </c>
      <c r="N136" s="13" t="s">
        <v>750</v>
      </c>
      <c r="O136" s="13">
        <v>1380.199951171875</v>
      </c>
      <c r="P136" s="13">
        <v>1397.699951171875</v>
      </c>
      <c r="Q136" s="13">
        <v>1284.1500244140625</v>
      </c>
      <c r="R136" s="13">
        <v>1299.8499755859375</v>
      </c>
      <c r="S136" s="13">
        <v>2091673</v>
      </c>
      <c r="T136" s="13">
        <v>1350.0250122070313</v>
      </c>
      <c r="U136" s="13">
        <v>1378.0300965058443</v>
      </c>
      <c r="V136" s="13">
        <v>1322.0199279082183</v>
      </c>
      <c r="W136" s="13" t="s">
        <v>404</v>
      </c>
      <c r="AA136" s="26">
        <v>45352</v>
      </c>
      <c r="AB136" s="13" t="s">
        <v>750</v>
      </c>
      <c r="AC136" s="13">
        <v>1351.75</v>
      </c>
      <c r="AD136" s="13">
        <v>1398.800048828125</v>
      </c>
      <c r="AE136" s="13">
        <v>1284.1500244140625</v>
      </c>
      <c r="AF136" s="13">
        <v>1299.8499755859375</v>
      </c>
      <c r="AG136" s="13">
        <v>3757604</v>
      </c>
      <c r="AH136" s="13">
        <v>1362.3999755859375</v>
      </c>
      <c r="AI136" s="13">
        <v>1467.3606196518699</v>
      </c>
      <c r="AJ136" s="13">
        <v>1257.439331520005</v>
      </c>
      <c r="AM136" s="26">
        <v>45362</v>
      </c>
      <c r="AN136" s="13" t="s">
        <v>750</v>
      </c>
      <c r="AO136" s="13">
        <v>1380.199951171875</v>
      </c>
      <c r="AP136" s="13">
        <v>1397.699951171875</v>
      </c>
      <c r="AQ136" s="13">
        <v>1284.1500244140625</v>
      </c>
      <c r="AR136" s="13">
        <v>1299.8499755859375</v>
      </c>
      <c r="AS136" s="13">
        <v>2091673</v>
      </c>
      <c r="AT136" s="13">
        <v>1346.7300048828124</v>
      </c>
      <c r="AU136" s="13">
        <v>1407.299260652836</v>
      </c>
      <c r="AV136" s="13">
        <v>1286.1607491127888</v>
      </c>
    </row>
    <row r="137" spans="1:49" x14ac:dyDescent="0.3">
      <c r="A137" s="26">
        <v>45352</v>
      </c>
      <c r="B137" s="13" t="s">
        <v>751</v>
      </c>
      <c r="C137" s="13">
        <v>7724.9501953125</v>
      </c>
      <c r="D137" s="13">
        <v>8619.2001953125</v>
      </c>
      <c r="E137" s="13">
        <v>7602.5498046875</v>
      </c>
      <c r="F137" s="13">
        <v>8033.14990234375</v>
      </c>
      <c r="G137" s="13">
        <v>2863421</v>
      </c>
      <c r="H137" s="13">
        <v>5873.625</v>
      </c>
      <c r="I137" s="13">
        <v>9118.122606679055</v>
      </c>
      <c r="J137" s="13">
        <v>2629.1273933209454</v>
      </c>
      <c r="M137" s="26">
        <v>45362</v>
      </c>
      <c r="N137" s="13" t="s">
        <v>751</v>
      </c>
      <c r="O137" s="13">
        <v>8472.349609375</v>
      </c>
      <c r="P137" s="13">
        <v>8619.2001953125</v>
      </c>
      <c r="Q137" s="13">
        <v>7960</v>
      </c>
      <c r="R137" s="13">
        <v>8033.14990234375</v>
      </c>
      <c r="S137" s="13">
        <v>1898117</v>
      </c>
      <c r="T137" s="13">
        <v>7925.3800292968754</v>
      </c>
      <c r="U137" s="13">
        <v>8362.6557371183862</v>
      </c>
      <c r="V137" s="13">
        <v>7488.1043214753645</v>
      </c>
      <c r="W137" s="13" t="s">
        <v>404</v>
      </c>
      <c r="AA137" s="26">
        <v>45352</v>
      </c>
      <c r="AB137" s="13" t="s">
        <v>751</v>
      </c>
      <c r="AC137" s="13">
        <v>7724.9501953125</v>
      </c>
      <c r="AD137" s="13">
        <v>8619.2001953125</v>
      </c>
      <c r="AE137" s="13">
        <v>7602.5498046875</v>
      </c>
      <c r="AF137" s="13">
        <v>8033.14990234375</v>
      </c>
      <c r="AG137" s="13">
        <v>2863421</v>
      </c>
      <c r="AH137" s="13">
        <v>6090.2099609375</v>
      </c>
      <c r="AI137" s="13">
        <v>9474.1353962910707</v>
      </c>
      <c r="AJ137" s="13">
        <v>2706.2845255839288</v>
      </c>
      <c r="AM137" s="26">
        <v>45362</v>
      </c>
      <c r="AN137" s="13" t="s">
        <v>751</v>
      </c>
      <c r="AO137" s="13">
        <v>8472.349609375</v>
      </c>
      <c r="AP137" s="13">
        <v>8619.2001953125</v>
      </c>
      <c r="AQ137" s="13">
        <v>7960</v>
      </c>
      <c r="AR137" s="13">
        <v>8033.14990234375</v>
      </c>
      <c r="AS137" s="13">
        <v>1898117</v>
      </c>
      <c r="AT137" s="13">
        <v>7970.5598632812498</v>
      </c>
      <c r="AU137" s="13">
        <v>8361.2105292200904</v>
      </c>
      <c r="AV137" s="13">
        <v>7579.9091973424083</v>
      </c>
      <c r="AW137" s="13" t="s">
        <v>404</v>
      </c>
    </row>
    <row r="138" spans="1:49" x14ac:dyDescent="0.3">
      <c r="A138" s="26">
        <v>45352</v>
      </c>
      <c r="B138" s="13" t="s">
        <v>752</v>
      </c>
      <c r="C138" s="13">
        <v>266.5</v>
      </c>
      <c r="D138" s="13">
        <v>284.95001220703125</v>
      </c>
      <c r="E138" s="13">
        <v>252.75</v>
      </c>
      <c r="F138" s="13">
        <v>255.35000610351563</v>
      </c>
      <c r="G138" s="13">
        <v>126488816</v>
      </c>
      <c r="H138" s="13">
        <v>232.3749984741211</v>
      </c>
      <c r="I138" s="13">
        <v>293.46206038275687</v>
      </c>
      <c r="J138" s="13">
        <v>171.2879365654853</v>
      </c>
      <c r="M138" s="26">
        <v>45362</v>
      </c>
      <c r="N138" s="13" t="s">
        <v>752</v>
      </c>
      <c r="O138" s="13">
        <v>278.10000610351563</v>
      </c>
      <c r="P138" s="13">
        <v>280.5</v>
      </c>
      <c r="Q138" s="13">
        <v>252.75</v>
      </c>
      <c r="R138" s="13">
        <v>255.35000610351563</v>
      </c>
      <c r="S138" s="13">
        <v>44539810</v>
      </c>
      <c r="T138" s="13">
        <v>270.93500213623048</v>
      </c>
      <c r="U138" s="13">
        <v>280.7961182958806</v>
      </c>
      <c r="V138" s="13">
        <v>261.07388597658036</v>
      </c>
      <c r="AA138" s="26">
        <v>45352</v>
      </c>
      <c r="AB138" s="13" t="s">
        <v>752</v>
      </c>
      <c r="AC138" s="13">
        <v>266.5</v>
      </c>
      <c r="AD138" s="13">
        <v>284.95001220703125</v>
      </c>
      <c r="AE138" s="13">
        <v>252.75</v>
      </c>
      <c r="AF138" s="13">
        <v>255.35000610351563</v>
      </c>
      <c r="AG138" s="13">
        <v>126488816</v>
      </c>
      <c r="AH138" s="13">
        <v>234.44000244140625</v>
      </c>
      <c r="AI138" s="13">
        <v>291.62239613078344</v>
      </c>
      <c r="AJ138" s="13">
        <v>177.25760875202906</v>
      </c>
      <c r="AM138" s="26">
        <v>45362</v>
      </c>
      <c r="AN138" s="13" t="s">
        <v>752</v>
      </c>
      <c r="AO138" s="13">
        <v>278.10000610351563</v>
      </c>
      <c r="AP138" s="13">
        <v>280.5</v>
      </c>
      <c r="AQ138" s="13">
        <v>252.75</v>
      </c>
      <c r="AR138" s="13">
        <v>255.35000610351563</v>
      </c>
      <c r="AS138" s="13">
        <v>44539810</v>
      </c>
      <c r="AT138" s="13">
        <v>270.18000488281251</v>
      </c>
      <c r="AU138" s="13">
        <v>285.85936880574206</v>
      </c>
      <c r="AV138" s="13">
        <v>254.50064095988296</v>
      </c>
    </row>
    <row r="139" spans="1:49" x14ac:dyDescent="0.3">
      <c r="A139" s="26">
        <v>45352</v>
      </c>
      <c r="B139" s="13" t="s">
        <v>753</v>
      </c>
      <c r="C139" s="13">
        <v>34500</v>
      </c>
      <c r="D139" s="13">
        <v>36122</v>
      </c>
      <c r="E139" s="13">
        <v>33850</v>
      </c>
      <c r="F139" s="13">
        <v>34031.75</v>
      </c>
      <c r="G139" s="13">
        <v>216046</v>
      </c>
      <c r="H139" s="13">
        <v>36769.069921875001</v>
      </c>
      <c r="I139" s="13">
        <v>39154.154228500134</v>
      </c>
      <c r="J139" s="13">
        <v>34383.985615249869</v>
      </c>
      <c r="M139" s="26">
        <v>45362</v>
      </c>
      <c r="N139" s="13" t="s">
        <v>753</v>
      </c>
      <c r="O139" s="13">
        <v>36000</v>
      </c>
      <c r="P139" s="13">
        <v>36122</v>
      </c>
      <c r="Q139" s="13">
        <v>33850</v>
      </c>
      <c r="R139" s="13">
        <v>34031.75</v>
      </c>
      <c r="S139" s="13">
        <v>91294</v>
      </c>
      <c r="T139" s="13">
        <v>35643.175000000003</v>
      </c>
      <c r="U139" s="13">
        <v>36719.499905676421</v>
      </c>
      <c r="V139" s="13">
        <v>34566.850094323585</v>
      </c>
      <c r="AA139" s="26">
        <v>45352</v>
      </c>
      <c r="AB139" s="13" t="s">
        <v>753</v>
      </c>
      <c r="AC139" s="13">
        <v>34500</v>
      </c>
      <c r="AD139" s="13">
        <v>36122</v>
      </c>
      <c r="AE139" s="13">
        <v>33850</v>
      </c>
      <c r="AF139" s="13">
        <v>34031.75</v>
      </c>
      <c r="AG139" s="13">
        <v>216046</v>
      </c>
      <c r="AH139" s="13">
        <v>36285.510156249999</v>
      </c>
      <c r="AI139" s="13">
        <v>39857.725858640362</v>
      </c>
      <c r="AJ139" s="13">
        <v>32713.294453859635</v>
      </c>
      <c r="AM139" s="26">
        <v>45362</v>
      </c>
      <c r="AN139" s="13" t="s">
        <v>753</v>
      </c>
      <c r="AO139" s="13">
        <v>36000</v>
      </c>
      <c r="AP139" s="13">
        <v>36122</v>
      </c>
      <c r="AQ139" s="13">
        <v>33850</v>
      </c>
      <c r="AR139" s="13">
        <v>34031.75</v>
      </c>
      <c r="AS139" s="13">
        <v>91294</v>
      </c>
      <c r="AT139" s="13">
        <v>35590.489843750001</v>
      </c>
      <c r="AU139" s="13">
        <v>37223.5002299017</v>
      </c>
      <c r="AV139" s="13">
        <v>33957.479457598303</v>
      </c>
    </row>
    <row r="140" spans="1:49" x14ac:dyDescent="0.3">
      <c r="A140" s="26">
        <v>45352</v>
      </c>
      <c r="B140" s="13" t="s">
        <v>754</v>
      </c>
      <c r="C140" s="13">
        <v>916</v>
      </c>
      <c r="D140" s="13">
        <v>974.70001220703125</v>
      </c>
      <c r="E140" s="13">
        <v>806.45001220703125</v>
      </c>
      <c r="F140" s="13">
        <v>822.8499755859375</v>
      </c>
      <c r="G140" s="13">
        <v>12257878</v>
      </c>
      <c r="H140" s="13">
        <v>912.1299987792969</v>
      </c>
      <c r="I140" s="13">
        <v>952.56126281740865</v>
      </c>
      <c r="J140" s="13">
        <v>871.69873474118515</v>
      </c>
      <c r="M140" s="26">
        <v>45362</v>
      </c>
      <c r="N140" s="13" t="s">
        <v>754</v>
      </c>
      <c r="O140" s="13">
        <v>894.45001220703125</v>
      </c>
      <c r="P140" s="13">
        <v>894.45001220703125</v>
      </c>
      <c r="Q140" s="13">
        <v>806.45001220703125</v>
      </c>
      <c r="R140" s="13">
        <v>822.8499755859375</v>
      </c>
      <c r="S140" s="13">
        <v>4381215</v>
      </c>
      <c r="T140" s="13">
        <v>895.72000122070313</v>
      </c>
      <c r="U140" s="13">
        <v>954.73070626408617</v>
      </c>
      <c r="V140" s="13">
        <v>836.70929617732008</v>
      </c>
      <c r="AA140" s="26">
        <v>45352</v>
      </c>
      <c r="AB140" s="13" t="s">
        <v>754</v>
      </c>
      <c r="AC140" s="13">
        <v>916</v>
      </c>
      <c r="AD140" s="13">
        <v>974.70001220703125</v>
      </c>
      <c r="AE140" s="13">
        <v>806.45001220703125</v>
      </c>
      <c r="AF140" s="13">
        <v>822.8499755859375</v>
      </c>
      <c r="AG140" s="13">
        <v>12257878</v>
      </c>
      <c r="AH140" s="13">
        <v>902.30999755859375</v>
      </c>
      <c r="AI140" s="13">
        <v>982.74771118254262</v>
      </c>
      <c r="AJ140" s="13">
        <v>821.87228393464488</v>
      </c>
      <c r="AM140" s="26">
        <v>45362</v>
      </c>
      <c r="AN140" s="13" t="s">
        <v>754</v>
      </c>
      <c r="AO140" s="13">
        <v>894.45001220703125</v>
      </c>
      <c r="AP140" s="13">
        <v>894.45001220703125</v>
      </c>
      <c r="AQ140" s="13">
        <v>806.45001220703125</v>
      </c>
      <c r="AR140" s="13">
        <v>822.8499755859375</v>
      </c>
      <c r="AS140" s="13">
        <v>4381215</v>
      </c>
      <c r="AT140" s="13">
        <v>896.3800048828125</v>
      </c>
      <c r="AU140" s="13">
        <v>978.03828066854305</v>
      </c>
      <c r="AV140" s="13">
        <v>814.72172909708195</v>
      </c>
    </row>
    <row r="141" spans="1:49" x14ac:dyDescent="0.3">
      <c r="A141" s="26">
        <v>45352</v>
      </c>
      <c r="B141" s="13" t="s">
        <v>755</v>
      </c>
      <c r="C141" s="13">
        <v>8630.400390625</v>
      </c>
      <c r="D141" s="13">
        <v>8727.099609375</v>
      </c>
      <c r="E141" s="13">
        <v>8025.10009765625</v>
      </c>
      <c r="F141" s="13">
        <v>8127.35009765625</v>
      </c>
      <c r="G141" s="13">
        <v>2006137</v>
      </c>
      <c r="H141" s="13">
        <v>7642.8699218749998</v>
      </c>
      <c r="I141" s="13">
        <v>9344.9391310371211</v>
      </c>
      <c r="J141" s="13">
        <v>5940.8007127128785</v>
      </c>
      <c r="M141" s="26">
        <v>45362</v>
      </c>
      <c r="N141" s="13" t="s">
        <v>755</v>
      </c>
      <c r="O141" s="13">
        <v>8439.9501953125</v>
      </c>
      <c r="P141" s="13">
        <v>8439.9501953125</v>
      </c>
      <c r="Q141" s="13">
        <v>8051.10009765625</v>
      </c>
      <c r="R141" s="13">
        <v>8127.35009765625</v>
      </c>
      <c r="S141" s="13">
        <v>808903</v>
      </c>
      <c r="T141" s="13">
        <v>8494.7200195312507</v>
      </c>
      <c r="U141" s="13">
        <v>8875.859364759448</v>
      </c>
      <c r="V141" s="13">
        <v>8113.5806743030535</v>
      </c>
      <c r="AA141" s="26">
        <v>45352</v>
      </c>
      <c r="AB141" s="13" t="s">
        <v>755</v>
      </c>
      <c r="AC141" s="13">
        <v>8630.400390625</v>
      </c>
      <c r="AD141" s="13">
        <v>8727.099609375</v>
      </c>
      <c r="AE141" s="13">
        <v>8025.10009765625</v>
      </c>
      <c r="AF141" s="13">
        <v>8127.35009765625</v>
      </c>
      <c r="AG141" s="13">
        <v>2006137</v>
      </c>
      <c r="AH141" s="13">
        <v>7780.0400390625</v>
      </c>
      <c r="AI141" s="13">
        <v>9387.3617394003159</v>
      </c>
      <c r="AJ141" s="13">
        <v>6172.7183387246841</v>
      </c>
      <c r="AM141" s="26">
        <v>45362</v>
      </c>
      <c r="AN141" s="13" t="s">
        <v>755</v>
      </c>
      <c r="AO141" s="13">
        <v>8439.9501953125</v>
      </c>
      <c r="AP141" s="13">
        <v>8439.9501953125</v>
      </c>
      <c r="AQ141" s="13">
        <v>8051.10009765625</v>
      </c>
      <c r="AR141" s="13">
        <v>8127.35009765625</v>
      </c>
      <c r="AS141" s="13">
        <v>808903</v>
      </c>
      <c r="AT141" s="13">
        <v>8524.0598632812507</v>
      </c>
      <c r="AU141" s="13">
        <v>9031.5204928364456</v>
      </c>
      <c r="AV141" s="13">
        <v>8016.5992337260559</v>
      </c>
    </row>
    <row r="142" spans="1:49" x14ac:dyDescent="0.3">
      <c r="A142" s="26">
        <v>45352</v>
      </c>
      <c r="B142" s="13" t="s">
        <v>756</v>
      </c>
      <c r="C142" s="13">
        <v>273.45001220703125</v>
      </c>
      <c r="D142" s="13">
        <v>294</v>
      </c>
      <c r="E142" s="13">
        <v>262.39999389648438</v>
      </c>
      <c r="F142" s="13">
        <v>263.75</v>
      </c>
      <c r="G142" s="13">
        <v>38728814</v>
      </c>
      <c r="H142" s="13">
        <v>243.75499877929687</v>
      </c>
      <c r="I142" s="13">
        <v>309.25385359805284</v>
      </c>
      <c r="J142" s="13">
        <v>178.2561439605409</v>
      </c>
      <c r="M142" s="26">
        <v>45362</v>
      </c>
      <c r="N142" s="13" t="s">
        <v>756</v>
      </c>
      <c r="O142" s="13">
        <v>281.29998779296875</v>
      </c>
      <c r="P142" s="13">
        <v>283.29998779296875</v>
      </c>
      <c r="Q142" s="13">
        <v>262.39999389648438</v>
      </c>
      <c r="R142" s="13">
        <v>263.75</v>
      </c>
      <c r="S142" s="13">
        <v>12398708</v>
      </c>
      <c r="T142" s="13">
        <v>278.30499877929685</v>
      </c>
      <c r="U142" s="13">
        <v>290.81293215141636</v>
      </c>
      <c r="V142" s="13">
        <v>265.79706540717734</v>
      </c>
      <c r="AA142" s="26">
        <v>45352</v>
      </c>
      <c r="AB142" s="13" t="s">
        <v>756</v>
      </c>
      <c r="AC142" s="13">
        <v>273.45001220703125</v>
      </c>
      <c r="AD142" s="13">
        <v>294</v>
      </c>
      <c r="AE142" s="13">
        <v>262.39999389648438</v>
      </c>
      <c r="AF142" s="13">
        <v>263.75</v>
      </c>
      <c r="AG142" s="13">
        <v>38728814</v>
      </c>
      <c r="AH142" s="13">
        <v>246.35000305175782</v>
      </c>
      <c r="AI142" s="13">
        <v>303.01057814823758</v>
      </c>
      <c r="AJ142" s="13">
        <v>189.68942795527806</v>
      </c>
      <c r="AM142" s="26">
        <v>45362</v>
      </c>
      <c r="AN142" s="13" t="s">
        <v>756</v>
      </c>
      <c r="AO142" s="13">
        <v>281.29998779296875</v>
      </c>
      <c r="AP142" s="13">
        <v>283.29998779296875</v>
      </c>
      <c r="AQ142" s="13">
        <v>262.39999389648438</v>
      </c>
      <c r="AR142" s="13">
        <v>263.75</v>
      </c>
      <c r="AS142" s="13">
        <v>12398708</v>
      </c>
      <c r="AT142" s="13">
        <v>278.15000610351564</v>
      </c>
      <c r="AU142" s="13">
        <v>293.20338375476643</v>
      </c>
      <c r="AV142" s="13">
        <v>263.09662845226484</v>
      </c>
    </row>
    <row r="143" spans="1:49" x14ac:dyDescent="0.3">
      <c r="A143" s="26">
        <v>45352</v>
      </c>
      <c r="B143" s="13" t="s">
        <v>757</v>
      </c>
      <c r="C143" s="13">
        <v>401.5</v>
      </c>
      <c r="D143" s="13">
        <v>435.04998779296875</v>
      </c>
      <c r="E143" s="13">
        <v>392.35000610351563</v>
      </c>
      <c r="F143" s="13">
        <v>397.60000610351563</v>
      </c>
      <c r="G143" s="13">
        <v>110078933</v>
      </c>
      <c r="H143" s="13">
        <v>386.73500061035156</v>
      </c>
      <c r="I143" s="13">
        <v>490.53218214720886</v>
      </c>
      <c r="J143" s="13">
        <v>282.93781907349427</v>
      </c>
      <c r="M143" s="26">
        <v>45362</v>
      </c>
      <c r="N143" s="13" t="s">
        <v>757</v>
      </c>
      <c r="O143" s="13">
        <v>429.75</v>
      </c>
      <c r="P143" s="13">
        <v>435.04998779296875</v>
      </c>
      <c r="Q143" s="13">
        <v>392.35000610351563</v>
      </c>
      <c r="R143" s="13">
        <v>397.60000610351563</v>
      </c>
      <c r="S143" s="13">
        <v>50818583</v>
      </c>
      <c r="T143" s="13">
        <v>416.72499694824216</v>
      </c>
      <c r="U143" s="13">
        <v>433.20971613155831</v>
      </c>
      <c r="V143" s="13">
        <v>400.24027776492602</v>
      </c>
      <c r="AA143" s="26">
        <v>45352</v>
      </c>
      <c r="AB143" s="13" t="s">
        <v>757</v>
      </c>
      <c r="AC143" s="13">
        <v>401.5</v>
      </c>
      <c r="AD143" s="13">
        <v>435.04998779296875</v>
      </c>
      <c r="AE143" s="13">
        <v>392.35000610351563</v>
      </c>
      <c r="AF143" s="13">
        <v>397.60000610351563</v>
      </c>
      <c r="AG143" s="13">
        <v>110078933</v>
      </c>
      <c r="AH143" s="13">
        <v>391.81000366210935</v>
      </c>
      <c r="AI143" s="13">
        <v>461.56501994048352</v>
      </c>
      <c r="AJ143" s="13">
        <v>322.05498738373518</v>
      </c>
      <c r="AM143" s="26">
        <v>45362</v>
      </c>
      <c r="AN143" s="13" t="s">
        <v>757</v>
      </c>
      <c r="AO143" s="13">
        <v>429.75</v>
      </c>
      <c r="AP143" s="13">
        <v>435.04998779296875</v>
      </c>
      <c r="AQ143" s="13">
        <v>392.35000610351563</v>
      </c>
      <c r="AR143" s="13">
        <v>397.60000610351563</v>
      </c>
      <c r="AS143" s="13">
        <v>50818583</v>
      </c>
      <c r="AT143" s="13">
        <v>417.44000244140625</v>
      </c>
      <c r="AU143" s="13">
        <v>443.48177212328881</v>
      </c>
      <c r="AV143" s="13">
        <v>391.39823275952369</v>
      </c>
    </row>
    <row r="144" spans="1:49" x14ac:dyDescent="0.3">
      <c r="A144" s="26">
        <v>45352</v>
      </c>
      <c r="B144" s="13" t="s">
        <v>758</v>
      </c>
      <c r="C144" s="13">
        <v>2753.949951171875</v>
      </c>
      <c r="D144" s="13">
        <v>2962.699951171875</v>
      </c>
      <c r="E144" s="13">
        <v>2690</v>
      </c>
      <c r="F144" s="13">
        <v>2823.199951171875</v>
      </c>
      <c r="G144" s="13">
        <v>5574071</v>
      </c>
      <c r="H144" s="13">
        <v>2645.6200195312499</v>
      </c>
      <c r="I144" s="13">
        <v>2865.6127407540644</v>
      </c>
      <c r="J144" s="13">
        <v>2425.6272983084355</v>
      </c>
      <c r="M144" s="26">
        <v>45362</v>
      </c>
      <c r="N144" s="13" t="s">
        <v>758</v>
      </c>
      <c r="O144" s="13">
        <v>2875</v>
      </c>
      <c r="P144" s="13">
        <v>2927.89990234375</v>
      </c>
      <c r="Q144" s="13">
        <v>2798.89990234375</v>
      </c>
      <c r="R144" s="13">
        <v>2823.199951171875</v>
      </c>
      <c r="S144" s="13">
        <v>1321923</v>
      </c>
      <c r="T144" s="13">
        <v>2761.5349853515627</v>
      </c>
      <c r="U144" s="13">
        <v>2903.1844331035586</v>
      </c>
      <c r="V144" s="13">
        <v>2619.8855375995668</v>
      </c>
      <c r="AA144" s="26">
        <v>45352</v>
      </c>
      <c r="AB144" s="13" t="s">
        <v>758</v>
      </c>
      <c r="AC144" s="13">
        <v>2753.949951171875</v>
      </c>
      <c r="AD144" s="13">
        <v>2962.699951171875</v>
      </c>
      <c r="AE144" s="13">
        <v>2690</v>
      </c>
      <c r="AF144" s="13">
        <v>2823.199951171875</v>
      </c>
      <c r="AG144" s="13">
        <v>5574071</v>
      </c>
      <c r="AH144" s="13">
        <v>2671.9400390625001</v>
      </c>
      <c r="AI144" s="13">
        <v>2895.4362828561189</v>
      </c>
      <c r="AJ144" s="13">
        <v>2448.4437952688813</v>
      </c>
      <c r="AM144" s="26">
        <v>45362</v>
      </c>
      <c r="AN144" s="13" t="s">
        <v>758</v>
      </c>
      <c r="AO144" s="13">
        <v>2875</v>
      </c>
      <c r="AP144" s="13">
        <v>2927.89990234375</v>
      </c>
      <c r="AQ144" s="13">
        <v>2798.89990234375</v>
      </c>
      <c r="AR144" s="13">
        <v>2823.199951171875</v>
      </c>
      <c r="AS144" s="13">
        <v>1321923</v>
      </c>
      <c r="AT144" s="13">
        <v>2779.5600097656252</v>
      </c>
      <c r="AU144" s="13">
        <v>2892.968947395776</v>
      </c>
      <c r="AV144" s="13">
        <v>2666.1510721354744</v>
      </c>
    </row>
    <row r="145" spans="1:48" x14ac:dyDescent="0.3">
      <c r="A145" s="26">
        <v>45352</v>
      </c>
      <c r="B145" s="13" t="s">
        <v>759</v>
      </c>
      <c r="C145" s="13">
        <v>3673.25</v>
      </c>
      <c r="D145" s="13">
        <v>3769.699951171875</v>
      </c>
      <c r="E145" s="13">
        <v>3545.14990234375</v>
      </c>
      <c r="F145" s="13">
        <v>3580.800048828125</v>
      </c>
      <c r="G145" s="13">
        <v>2331988</v>
      </c>
      <c r="H145" s="13">
        <v>3545.125</v>
      </c>
      <c r="I145" s="13">
        <v>3743.2682914515963</v>
      </c>
      <c r="J145" s="13">
        <v>3346.9817085484037</v>
      </c>
      <c r="M145" s="26">
        <v>45362</v>
      </c>
      <c r="N145" s="13" t="s">
        <v>759</v>
      </c>
      <c r="O145" s="13">
        <v>3629.949951171875</v>
      </c>
      <c r="P145" s="13">
        <v>3769.699951171875</v>
      </c>
      <c r="Q145" s="13">
        <v>3545.14990234375</v>
      </c>
      <c r="R145" s="13">
        <v>3580.800048828125</v>
      </c>
      <c r="S145" s="13">
        <v>1277213</v>
      </c>
      <c r="T145" s="13">
        <v>3625.0649902343748</v>
      </c>
      <c r="U145" s="13">
        <v>3737.583053161924</v>
      </c>
      <c r="V145" s="13">
        <v>3512.5469273068256</v>
      </c>
      <c r="AA145" s="26">
        <v>45352</v>
      </c>
      <c r="AB145" s="13" t="s">
        <v>759</v>
      </c>
      <c r="AC145" s="13">
        <v>3673.25</v>
      </c>
      <c r="AD145" s="13">
        <v>3769.699951171875</v>
      </c>
      <c r="AE145" s="13">
        <v>3545.14990234375</v>
      </c>
      <c r="AF145" s="13">
        <v>3580.800048828125</v>
      </c>
      <c r="AG145" s="13">
        <v>2331988</v>
      </c>
      <c r="AH145" s="13">
        <v>3582.5899414062501</v>
      </c>
      <c r="AI145" s="13">
        <v>3854.0394435614858</v>
      </c>
      <c r="AJ145" s="13">
        <v>3311.1404392510144</v>
      </c>
      <c r="AM145" s="26">
        <v>45362</v>
      </c>
      <c r="AN145" s="13" t="s">
        <v>759</v>
      </c>
      <c r="AO145" s="13">
        <v>3629.949951171875</v>
      </c>
      <c r="AP145" s="13">
        <v>3769.699951171875</v>
      </c>
      <c r="AQ145" s="13">
        <v>3545.14990234375</v>
      </c>
      <c r="AR145" s="13">
        <v>3580.800048828125</v>
      </c>
      <c r="AS145" s="13">
        <v>1277213</v>
      </c>
      <c r="AT145" s="13">
        <v>3641.05</v>
      </c>
      <c r="AU145" s="13">
        <v>3712.6360187063538</v>
      </c>
      <c r="AV145" s="13">
        <v>3569.4639812936466</v>
      </c>
    </row>
    <row r="146" spans="1:48" x14ac:dyDescent="0.3">
      <c r="A146" s="26">
        <v>45352</v>
      </c>
      <c r="B146" s="13" t="s">
        <v>760</v>
      </c>
      <c r="C146" s="13">
        <v>123.05000305175781</v>
      </c>
      <c r="D146" s="13">
        <v>132.94999694824219</v>
      </c>
      <c r="E146" s="13">
        <v>116.90000152587891</v>
      </c>
      <c r="F146" s="13">
        <v>118.80000305175781</v>
      </c>
      <c r="G146" s="13">
        <v>446428752</v>
      </c>
      <c r="H146" s="13">
        <v>103.3650001525879</v>
      </c>
      <c r="I146" s="13">
        <v>141.38105625460253</v>
      </c>
      <c r="J146" s="13">
        <v>65.348944050573266</v>
      </c>
      <c r="M146" s="26">
        <v>45362</v>
      </c>
      <c r="N146" s="13" t="s">
        <v>760</v>
      </c>
      <c r="O146" s="13">
        <v>130.39999389648438</v>
      </c>
      <c r="P146" s="13">
        <v>132.94999694824219</v>
      </c>
      <c r="Q146" s="13">
        <v>116.90000152587891</v>
      </c>
      <c r="R146" s="13">
        <v>118.80000305175781</v>
      </c>
      <c r="S146" s="13">
        <v>168616622</v>
      </c>
      <c r="T146" s="13">
        <v>125.84499969482422</v>
      </c>
      <c r="U146" s="13">
        <v>130.0210505689559</v>
      </c>
      <c r="V146" s="13">
        <v>121.66894882069256</v>
      </c>
      <c r="W146" s="13" t="s">
        <v>404</v>
      </c>
      <c r="AA146" s="26">
        <v>45352</v>
      </c>
      <c r="AB146" s="13" t="s">
        <v>760</v>
      </c>
      <c r="AC146" s="13">
        <v>123.05000305175781</v>
      </c>
      <c r="AD146" s="13">
        <v>132.94999694824219</v>
      </c>
      <c r="AE146" s="13">
        <v>116.90000152587891</v>
      </c>
      <c r="AF146" s="13">
        <v>118.80000305175781</v>
      </c>
      <c r="AG146" s="13">
        <v>446428752</v>
      </c>
      <c r="AH146" s="13">
        <v>105.68000030517578</v>
      </c>
      <c r="AI146" s="13">
        <v>139.10733215246393</v>
      </c>
      <c r="AJ146" s="13">
        <v>72.252668457887637</v>
      </c>
      <c r="AM146" s="26">
        <v>45362</v>
      </c>
      <c r="AN146" s="13" t="s">
        <v>760</v>
      </c>
      <c r="AO146" s="13">
        <v>130.39999389648438</v>
      </c>
      <c r="AP146" s="13">
        <v>132.94999694824219</v>
      </c>
      <c r="AQ146" s="13">
        <v>116.90000152587891</v>
      </c>
      <c r="AR146" s="13">
        <v>118.80000305175781</v>
      </c>
      <c r="AS146" s="13">
        <v>168616622</v>
      </c>
      <c r="AT146" s="13">
        <v>126.31999969482422</v>
      </c>
      <c r="AU146" s="13">
        <v>134.73417558920158</v>
      </c>
      <c r="AV146" s="13">
        <v>117.90582380044685</v>
      </c>
    </row>
    <row r="147" spans="1:48" x14ac:dyDescent="0.3">
      <c r="A147" s="26">
        <v>45352</v>
      </c>
      <c r="B147" s="13" t="s">
        <v>761</v>
      </c>
      <c r="C147" s="13">
        <v>4780</v>
      </c>
      <c r="D147" s="13">
        <v>4992</v>
      </c>
      <c r="E147" s="13">
        <v>4730.25</v>
      </c>
      <c r="F147" s="13">
        <v>4778.89990234375</v>
      </c>
      <c r="G147" s="13">
        <v>3712305</v>
      </c>
      <c r="H147" s="13">
        <v>4944.02001953125</v>
      </c>
      <c r="I147" s="13">
        <v>5620.7298296188301</v>
      </c>
      <c r="J147" s="13">
        <v>4267.3102094436699</v>
      </c>
      <c r="M147" s="26">
        <v>45362</v>
      </c>
      <c r="N147" s="13" t="s">
        <v>761</v>
      </c>
      <c r="O147" s="13">
        <v>4910</v>
      </c>
      <c r="P147" s="13">
        <v>4992</v>
      </c>
      <c r="Q147" s="13">
        <v>4730.25</v>
      </c>
      <c r="R147" s="13">
        <v>4778.89990234375</v>
      </c>
      <c r="S147" s="13">
        <v>1439578</v>
      </c>
      <c r="T147" s="13">
        <v>4742.3999999999996</v>
      </c>
      <c r="U147" s="13">
        <v>4996.2607714116721</v>
      </c>
      <c r="V147" s="13">
        <v>4488.5392285883272</v>
      </c>
      <c r="AA147" s="26">
        <v>45352</v>
      </c>
      <c r="AB147" s="13" t="s">
        <v>761</v>
      </c>
      <c r="AC147" s="13">
        <v>4780</v>
      </c>
      <c r="AD147" s="13">
        <v>4992</v>
      </c>
      <c r="AE147" s="13">
        <v>4730.25</v>
      </c>
      <c r="AF147" s="13">
        <v>4778.89990234375</v>
      </c>
      <c r="AG147" s="13">
        <v>3712305</v>
      </c>
      <c r="AH147" s="13">
        <v>4924.9299804687498</v>
      </c>
      <c r="AI147" s="13">
        <v>5735.650506089346</v>
      </c>
      <c r="AJ147" s="13">
        <v>4114.2094548481537</v>
      </c>
      <c r="AM147" s="26">
        <v>45362</v>
      </c>
      <c r="AN147" s="13" t="s">
        <v>761</v>
      </c>
      <c r="AO147" s="13">
        <v>4910</v>
      </c>
      <c r="AP147" s="13">
        <v>4992</v>
      </c>
      <c r="AQ147" s="13">
        <v>4730.25</v>
      </c>
      <c r="AR147" s="13">
        <v>4778.89990234375</v>
      </c>
      <c r="AS147" s="13">
        <v>1439578</v>
      </c>
      <c r="AT147" s="13">
        <v>4789.8299804687504</v>
      </c>
      <c r="AU147" s="13">
        <v>4931.7251878349798</v>
      </c>
      <c r="AV147" s="13">
        <v>4647.9347731025209</v>
      </c>
    </row>
    <row r="148" spans="1:48" x14ac:dyDescent="0.3">
      <c r="A148" s="26">
        <v>45352</v>
      </c>
      <c r="B148" s="13" t="s">
        <v>762</v>
      </c>
      <c r="C148" s="13">
        <v>285</v>
      </c>
      <c r="D148" s="13">
        <v>298.89999389648438</v>
      </c>
      <c r="E148" s="13">
        <v>261.79998779296875</v>
      </c>
      <c r="F148" s="13">
        <v>264.29998779296875</v>
      </c>
      <c r="G148" s="13">
        <v>158689317</v>
      </c>
      <c r="H148" s="13">
        <v>246.3699966430664</v>
      </c>
      <c r="I148" s="13">
        <v>302.93513058521467</v>
      </c>
      <c r="J148" s="13">
        <v>189.80486270091814</v>
      </c>
      <c r="M148" s="26">
        <v>45362</v>
      </c>
      <c r="N148" s="13" t="s">
        <v>762</v>
      </c>
      <c r="O148" s="13">
        <v>288.39999389648438</v>
      </c>
      <c r="P148" s="13">
        <v>291.95001220703125</v>
      </c>
      <c r="Q148" s="13">
        <v>261.79998779296875</v>
      </c>
      <c r="R148" s="13">
        <v>264.29998779296875</v>
      </c>
      <c r="S148" s="13">
        <v>76309436</v>
      </c>
      <c r="T148" s="13">
        <v>281.75</v>
      </c>
      <c r="U148" s="13">
        <v>294.77938531135953</v>
      </c>
      <c r="V148" s="13">
        <v>268.72061468864047</v>
      </c>
      <c r="AA148" s="26">
        <v>45352</v>
      </c>
      <c r="AB148" s="13" t="s">
        <v>762</v>
      </c>
      <c r="AC148" s="13">
        <v>285</v>
      </c>
      <c r="AD148" s="13">
        <v>298.89999389648438</v>
      </c>
      <c r="AE148" s="13">
        <v>261.79998779296875</v>
      </c>
      <c r="AF148" s="13">
        <v>264.29998779296875</v>
      </c>
      <c r="AG148" s="13">
        <v>158689317</v>
      </c>
      <c r="AH148" s="13">
        <v>250.51999511718751</v>
      </c>
      <c r="AI148" s="13">
        <v>301.25612172452151</v>
      </c>
      <c r="AJ148" s="13">
        <v>199.78386850985351</v>
      </c>
      <c r="AM148" s="26">
        <v>45362</v>
      </c>
      <c r="AN148" s="13" t="s">
        <v>762</v>
      </c>
      <c r="AO148" s="13">
        <v>288.39999389648438</v>
      </c>
      <c r="AP148" s="13">
        <v>291.95001220703125</v>
      </c>
      <c r="AQ148" s="13">
        <v>261.79998779296875</v>
      </c>
      <c r="AR148" s="13">
        <v>264.29998779296875</v>
      </c>
      <c r="AS148" s="13">
        <v>76309436</v>
      </c>
      <c r="AT148" s="13">
        <v>280.22999877929686</v>
      </c>
      <c r="AU148" s="13">
        <v>300.21086163038359</v>
      </c>
      <c r="AV148" s="13">
        <v>260.24913592821014</v>
      </c>
    </row>
    <row r="149" spans="1:48" x14ac:dyDescent="0.3">
      <c r="A149" s="26">
        <v>45352</v>
      </c>
      <c r="B149" s="13" t="s">
        <v>763</v>
      </c>
      <c r="C149" s="13">
        <v>1378.949951171875</v>
      </c>
      <c r="D149" s="13">
        <v>1427.300048828125</v>
      </c>
      <c r="E149" s="13">
        <v>1290</v>
      </c>
      <c r="F149" s="13">
        <v>1305</v>
      </c>
      <c r="G149" s="13">
        <v>4947398</v>
      </c>
      <c r="H149" s="13">
        <v>1548.8950073242188</v>
      </c>
      <c r="I149" s="13">
        <v>1834.4294121013463</v>
      </c>
      <c r="J149" s="13">
        <v>1263.3606025470913</v>
      </c>
      <c r="M149" s="26">
        <v>45362</v>
      </c>
      <c r="N149" s="13" t="s">
        <v>763</v>
      </c>
      <c r="O149" s="13">
        <v>1427</v>
      </c>
      <c r="P149" s="13">
        <v>1427.300048828125</v>
      </c>
      <c r="Q149" s="13">
        <v>1290</v>
      </c>
      <c r="R149" s="13">
        <v>1305</v>
      </c>
      <c r="S149" s="13">
        <v>2491310</v>
      </c>
      <c r="T149" s="13">
        <v>1380.1550170898438</v>
      </c>
      <c r="U149" s="13">
        <v>1403.333065205567</v>
      </c>
      <c r="V149" s="13">
        <v>1356.9769689741206</v>
      </c>
      <c r="W149" s="13" t="s">
        <v>404</v>
      </c>
      <c r="AA149" s="26">
        <v>45352</v>
      </c>
      <c r="AB149" s="13" t="s">
        <v>763</v>
      </c>
      <c r="AC149" s="13">
        <v>1378.949951171875</v>
      </c>
      <c r="AD149" s="13">
        <v>1427.300048828125</v>
      </c>
      <c r="AE149" s="13">
        <v>1290</v>
      </c>
      <c r="AF149" s="13">
        <v>1305</v>
      </c>
      <c r="AG149" s="13">
        <v>4947398</v>
      </c>
      <c r="AH149" s="13">
        <v>1501.5400146484376</v>
      </c>
      <c r="AI149" s="13">
        <v>1823.1769516925172</v>
      </c>
      <c r="AJ149" s="13">
        <v>1179.903077604358</v>
      </c>
      <c r="AM149" s="26">
        <v>45362</v>
      </c>
      <c r="AN149" s="13" t="s">
        <v>763</v>
      </c>
      <c r="AO149" s="13">
        <v>1427</v>
      </c>
      <c r="AP149" s="13">
        <v>1427.300048828125</v>
      </c>
      <c r="AQ149" s="13">
        <v>1290</v>
      </c>
      <c r="AR149" s="13">
        <v>1305</v>
      </c>
      <c r="AS149" s="13">
        <v>2491310</v>
      </c>
      <c r="AT149" s="13">
        <v>1376.72998046875</v>
      </c>
      <c r="AU149" s="13">
        <v>1451.8548164346837</v>
      </c>
      <c r="AV149" s="13">
        <v>1301.6051445028163</v>
      </c>
    </row>
    <row r="150" spans="1:48" x14ac:dyDescent="0.3">
      <c r="A150" s="26">
        <v>45352</v>
      </c>
      <c r="B150" s="13" t="s">
        <v>764</v>
      </c>
      <c r="C150" s="13">
        <v>841.6500244140625</v>
      </c>
      <c r="D150" s="13">
        <v>853.9000244140625</v>
      </c>
      <c r="E150" s="13">
        <v>781.8499755859375</v>
      </c>
      <c r="F150" s="13">
        <v>790.25</v>
      </c>
      <c r="G150" s="13">
        <v>5956610</v>
      </c>
      <c r="H150" s="13">
        <v>948.30998535156255</v>
      </c>
      <c r="I150" s="13">
        <v>1091.6518575761911</v>
      </c>
      <c r="J150" s="13">
        <v>804.9681131269341</v>
      </c>
      <c r="M150" s="26">
        <v>45362</v>
      </c>
      <c r="N150" s="13" t="s">
        <v>764</v>
      </c>
      <c r="O150" s="13">
        <v>812.04998779296875</v>
      </c>
      <c r="P150" s="13">
        <v>818.70001220703125</v>
      </c>
      <c r="Q150" s="13">
        <v>781.8499755859375</v>
      </c>
      <c r="R150" s="13">
        <v>790.25</v>
      </c>
      <c r="S150" s="13">
        <v>1957148</v>
      </c>
      <c r="T150" s="13">
        <v>847.60500488281252</v>
      </c>
      <c r="U150" s="13">
        <v>909.64065219153701</v>
      </c>
      <c r="V150" s="13">
        <v>785.56935757408803</v>
      </c>
      <c r="AA150" s="26">
        <v>45352</v>
      </c>
      <c r="AB150" s="13" t="s">
        <v>764</v>
      </c>
      <c r="AC150" s="13">
        <v>841.6500244140625</v>
      </c>
      <c r="AD150" s="13">
        <v>853.9000244140625</v>
      </c>
      <c r="AE150" s="13">
        <v>781.8499755859375</v>
      </c>
      <c r="AF150" s="13">
        <v>790.25</v>
      </c>
      <c r="AG150" s="13">
        <v>5956610</v>
      </c>
      <c r="AH150" s="13">
        <v>931.59000244140623</v>
      </c>
      <c r="AI150" s="13">
        <v>1128.6089006679456</v>
      </c>
      <c r="AJ150" s="13">
        <v>734.57110421486686</v>
      </c>
      <c r="AM150" s="26">
        <v>45362</v>
      </c>
      <c r="AN150" s="13" t="s">
        <v>764</v>
      </c>
      <c r="AO150" s="13">
        <v>812.04998779296875</v>
      </c>
      <c r="AP150" s="13">
        <v>818.70001220703125</v>
      </c>
      <c r="AQ150" s="13">
        <v>781.8499755859375</v>
      </c>
      <c r="AR150" s="13">
        <v>790.25</v>
      </c>
      <c r="AS150" s="13">
        <v>1957148</v>
      </c>
      <c r="AT150" s="13">
        <v>835.6</v>
      </c>
      <c r="AU150" s="13">
        <v>897.57193429004474</v>
      </c>
      <c r="AV150" s="13">
        <v>773.62806570995531</v>
      </c>
    </row>
    <row r="151" spans="1:48" x14ac:dyDescent="0.3">
      <c r="A151" s="26">
        <v>45352</v>
      </c>
      <c r="B151" s="13" t="s">
        <v>765</v>
      </c>
      <c r="C151" s="13">
        <v>264</v>
      </c>
      <c r="D151" s="13">
        <v>277.25</v>
      </c>
      <c r="E151" s="13">
        <v>227.85000610351563</v>
      </c>
      <c r="F151" s="13">
        <v>230.44999694824219</v>
      </c>
      <c r="G151" s="13">
        <v>95077076</v>
      </c>
      <c r="H151" s="13">
        <v>257.70000305175779</v>
      </c>
      <c r="I151" s="13">
        <v>282.31583272858825</v>
      </c>
      <c r="J151" s="13">
        <v>233.08417337492733</v>
      </c>
      <c r="M151" s="26">
        <v>45362</v>
      </c>
      <c r="N151" s="13" t="s">
        <v>765</v>
      </c>
      <c r="O151" s="13">
        <v>256.95001220703125</v>
      </c>
      <c r="P151" s="13">
        <v>256.95001220703125</v>
      </c>
      <c r="Q151" s="13">
        <v>227.85000610351563</v>
      </c>
      <c r="R151" s="13">
        <v>230.44999694824219</v>
      </c>
      <c r="S151" s="13">
        <v>24428866</v>
      </c>
      <c r="T151" s="13">
        <v>257.59500122070313</v>
      </c>
      <c r="U151" s="13">
        <v>274.80744073400683</v>
      </c>
      <c r="V151" s="13">
        <v>240.38256170739942</v>
      </c>
      <c r="AA151" s="26">
        <v>45352</v>
      </c>
      <c r="AB151" s="13" t="s">
        <v>765</v>
      </c>
      <c r="AC151" s="13">
        <v>264</v>
      </c>
      <c r="AD151" s="13">
        <v>277.25</v>
      </c>
      <c r="AE151" s="13">
        <v>227.85000610351563</v>
      </c>
      <c r="AF151" s="13">
        <v>230.44999694824219</v>
      </c>
      <c r="AG151" s="13">
        <v>95077076</v>
      </c>
      <c r="AH151" s="13">
        <v>253.00999450683594</v>
      </c>
      <c r="AI151" s="13">
        <v>289.30738835133292</v>
      </c>
      <c r="AJ151" s="13">
        <v>216.71260066233896</v>
      </c>
      <c r="AM151" s="26">
        <v>45362</v>
      </c>
      <c r="AN151" s="13" t="s">
        <v>765</v>
      </c>
      <c r="AO151" s="13">
        <v>256.95001220703125</v>
      </c>
      <c r="AP151" s="13">
        <v>256.95001220703125</v>
      </c>
      <c r="AQ151" s="13">
        <v>227.85000610351563</v>
      </c>
      <c r="AR151" s="13">
        <v>230.44999694824219</v>
      </c>
      <c r="AS151" s="13">
        <v>24428866</v>
      </c>
      <c r="AT151" s="13">
        <v>256.81999816894529</v>
      </c>
      <c r="AU151" s="13">
        <v>284.60737861161095</v>
      </c>
      <c r="AV151" s="13">
        <v>229.03261772627965</v>
      </c>
    </row>
    <row r="152" spans="1:48" x14ac:dyDescent="0.3">
      <c r="A152" s="26">
        <v>45352</v>
      </c>
      <c r="B152" s="13" t="s">
        <v>766</v>
      </c>
      <c r="C152" s="13">
        <v>446.35000610351563</v>
      </c>
      <c r="D152" s="13">
        <v>492.10000610351563</v>
      </c>
      <c r="E152" s="13">
        <v>441.5</v>
      </c>
      <c r="F152" s="13">
        <v>448.5</v>
      </c>
      <c r="G152" s="13">
        <v>112703704</v>
      </c>
      <c r="H152" s="13">
        <v>423.57000122070315</v>
      </c>
      <c r="I152" s="13">
        <v>545.58067411431193</v>
      </c>
      <c r="J152" s="13">
        <v>301.55932832709436</v>
      </c>
      <c r="M152" s="26">
        <v>45362</v>
      </c>
      <c r="N152" s="13" t="s">
        <v>766</v>
      </c>
      <c r="O152" s="13">
        <v>474.45001220703125</v>
      </c>
      <c r="P152" s="13">
        <v>492.10000610351563</v>
      </c>
      <c r="Q152" s="13">
        <v>441.5</v>
      </c>
      <c r="R152" s="13">
        <v>448.5</v>
      </c>
      <c r="S152" s="13">
        <v>57073299</v>
      </c>
      <c r="T152" s="13">
        <v>461.68000183105471</v>
      </c>
      <c r="U152" s="13">
        <v>478.17794608036024</v>
      </c>
      <c r="V152" s="13">
        <v>445.18205758174918</v>
      </c>
      <c r="AA152" s="26">
        <v>45352</v>
      </c>
      <c r="AB152" s="13" t="s">
        <v>766</v>
      </c>
      <c r="AC152" s="13">
        <v>446.35000610351563</v>
      </c>
      <c r="AD152" s="13">
        <v>492.10000610351563</v>
      </c>
      <c r="AE152" s="13">
        <v>441.5</v>
      </c>
      <c r="AF152" s="13">
        <v>448.5</v>
      </c>
      <c r="AG152" s="13">
        <v>112703704</v>
      </c>
      <c r="AH152" s="13">
        <v>430.22999877929686</v>
      </c>
      <c r="AI152" s="13">
        <v>528.8561568860132</v>
      </c>
      <c r="AJ152" s="13">
        <v>331.60384067258053</v>
      </c>
      <c r="AM152" s="26">
        <v>45362</v>
      </c>
      <c r="AN152" s="13" t="s">
        <v>766</v>
      </c>
      <c r="AO152" s="13">
        <v>474.45001220703125</v>
      </c>
      <c r="AP152" s="13">
        <v>492.10000610351563</v>
      </c>
      <c r="AQ152" s="13">
        <v>441.5</v>
      </c>
      <c r="AR152" s="13">
        <v>448.5</v>
      </c>
      <c r="AS152" s="13">
        <v>57073299</v>
      </c>
      <c r="AT152" s="13">
        <v>463.72999877929686</v>
      </c>
      <c r="AU152" s="13">
        <v>482.30186615215536</v>
      </c>
      <c r="AV152" s="13">
        <v>445.15813140643837</v>
      </c>
    </row>
    <row r="153" spans="1:48" x14ac:dyDescent="0.3">
      <c r="A153" s="26">
        <v>45352</v>
      </c>
      <c r="B153" s="13" t="s">
        <v>767</v>
      </c>
      <c r="C153" s="13">
        <v>2927</v>
      </c>
      <c r="D153" s="13">
        <v>3024.89990234375</v>
      </c>
      <c r="E153" s="13">
        <v>2855.550048828125</v>
      </c>
      <c r="F153" s="13">
        <v>2864.35009765625</v>
      </c>
      <c r="G153" s="13">
        <v>39808753</v>
      </c>
      <c r="H153" s="13">
        <v>2688.4099853515627</v>
      </c>
      <c r="I153" s="13">
        <v>3157.6840036798044</v>
      </c>
      <c r="J153" s="13">
        <v>2219.135967023321</v>
      </c>
      <c r="M153" s="26">
        <v>45362</v>
      </c>
      <c r="N153" s="13" t="s">
        <v>767</v>
      </c>
      <c r="O153" s="13">
        <v>2978</v>
      </c>
      <c r="P153" s="13">
        <v>2978</v>
      </c>
      <c r="Q153" s="13">
        <v>2855.550048828125</v>
      </c>
      <c r="R153" s="13">
        <v>2864.35009765625</v>
      </c>
      <c r="S153" s="13">
        <v>17115545</v>
      </c>
      <c r="T153" s="13">
        <v>2946.6200195312499</v>
      </c>
      <c r="U153" s="13">
        <v>2995.752672227236</v>
      </c>
      <c r="V153" s="13">
        <v>2897.4873668352639</v>
      </c>
      <c r="AA153" s="26">
        <v>45352</v>
      </c>
      <c r="AB153" s="13" t="s">
        <v>767</v>
      </c>
      <c r="AC153" s="13">
        <v>2927</v>
      </c>
      <c r="AD153" s="13">
        <v>3024.89990234375</v>
      </c>
      <c r="AE153" s="13">
        <v>2855.550048828125</v>
      </c>
      <c r="AF153" s="13">
        <v>2864.35009765625</v>
      </c>
      <c r="AG153" s="13">
        <v>39808753</v>
      </c>
      <c r="AH153" s="13">
        <v>2720.3200195312502</v>
      </c>
      <c r="AI153" s="13">
        <v>3134.8690778068722</v>
      </c>
      <c r="AJ153" s="13">
        <v>2305.7709612556282</v>
      </c>
      <c r="AM153" s="26">
        <v>45362</v>
      </c>
      <c r="AN153" s="13" t="s">
        <v>767</v>
      </c>
      <c r="AO153" s="13">
        <v>2978</v>
      </c>
      <c r="AP153" s="13">
        <v>2978</v>
      </c>
      <c r="AQ153" s="13">
        <v>2855.550048828125</v>
      </c>
      <c r="AR153" s="13">
        <v>2864.35009765625</v>
      </c>
      <c r="AS153" s="13">
        <v>17115545</v>
      </c>
      <c r="AT153" s="13">
        <v>2942.9700195312498</v>
      </c>
      <c r="AU153" s="13">
        <v>3034.8106633117768</v>
      </c>
      <c r="AV153" s="13">
        <v>2851.1293757507228</v>
      </c>
    </row>
    <row r="154" spans="1:48" x14ac:dyDescent="0.3">
      <c r="A154" s="26">
        <v>45352</v>
      </c>
      <c r="B154" s="13" t="s">
        <v>768</v>
      </c>
      <c r="C154" s="13">
        <v>123</v>
      </c>
      <c r="D154" s="13">
        <v>145</v>
      </c>
      <c r="E154" s="13">
        <v>117.34999847412109</v>
      </c>
      <c r="F154" s="13">
        <v>118.69999694824219</v>
      </c>
      <c r="G154" s="13">
        <v>562902389</v>
      </c>
      <c r="H154" s="13">
        <v>115.57999954223632</v>
      </c>
      <c r="I154" s="13">
        <v>148.78953782994023</v>
      </c>
      <c r="J154" s="13">
        <v>82.370461254532401</v>
      </c>
      <c r="M154" s="26">
        <v>45362</v>
      </c>
      <c r="N154" s="13" t="s">
        <v>768</v>
      </c>
      <c r="O154" s="13">
        <v>139.75</v>
      </c>
      <c r="P154" s="13">
        <v>140.60000610351563</v>
      </c>
      <c r="Q154" s="13">
        <v>117.34999847412109</v>
      </c>
      <c r="R154" s="13">
        <v>118.69999694824219</v>
      </c>
      <c r="S154" s="13">
        <v>123804480</v>
      </c>
      <c r="T154" s="13">
        <v>130.4</v>
      </c>
      <c r="U154" s="13">
        <v>139.38292830743788</v>
      </c>
      <c r="V154" s="13">
        <v>121.41707169256212</v>
      </c>
      <c r="W154" s="13" t="s">
        <v>404</v>
      </c>
      <c r="AA154" s="26">
        <v>45352</v>
      </c>
      <c r="AB154" s="13" t="s">
        <v>768</v>
      </c>
      <c r="AC154" s="13">
        <v>123</v>
      </c>
      <c r="AD154" s="13">
        <v>145</v>
      </c>
      <c r="AE154" s="13">
        <v>117.34999847412109</v>
      </c>
      <c r="AF154" s="13">
        <v>118.69999694824219</v>
      </c>
      <c r="AG154" s="13">
        <v>562902389</v>
      </c>
      <c r="AH154" s="13">
        <v>115.66999969482421</v>
      </c>
      <c r="AI154" s="13">
        <v>139.27081034984712</v>
      </c>
      <c r="AJ154" s="13">
        <v>92.069189039801302</v>
      </c>
      <c r="AM154" s="26">
        <v>45362</v>
      </c>
      <c r="AN154" s="13" t="s">
        <v>768</v>
      </c>
      <c r="AO154" s="13">
        <v>139.75</v>
      </c>
      <c r="AP154" s="13">
        <v>140.60000610351563</v>
      </c>
      <c r="AQ154" s="13">
        <v>117.34999847412109</v>
      </c>
      <c r="AR154" s="13">
        <v>118.69999694824219</v>
      </c>
      <c r="AS154" s="13">
        <v>123804480</v>
      </c>
      <c r="AT154" s="13">
        <v>129.21999816894532</v>
      </c>
      <c r="AU154" s="13">
        <v>142.61411674763534</v>
      </c>
      <c r="AV154" s="13">
        <v>115.8258795902553</v>
      </c>
    </row>
    <row r="155" spans="1:48" x14ac:dyDescent="0.3">
      <c r="A155" s="26">
        <v>45352</v>
      </c>
      <c r="B155" s="13" t="s">
        <v>769</v>
      </c>
      <c r="C155" s="13">
        <v>724.3499755859375</v>
      </c>
      <c r="D155" s="13">
        <v>724.54998779296875</v>
      </c>
      <c r="E155" s="13">
        <v>683</v>
      </c>
      <c r="F155" s="13">
        <v>685.29998779296875</v>
      </c>
      <c r="G155" s="13">
        <v>11190801</v>
      </c>
      <c r="H155" s="13">
        <v>736.90499267578127</v>
      </c>
      <c r="I155" s="13">
        <v>778.19283002929387</v>
      </c>
      <c r="J155" s="13">
        <v>695.61715532226867</v>
      </c>
      <c r="M155" s="26">
        <v>45362</v>
      </c>
      <c r="N155" s="13" t="s">
        <v>769</v>
      </c>
      <c r="O155" s="13">
        <v>709.79998779296875</v>
      </c>
      <c r="P155" s="13">
        <v>709.8499755859375</v>
      </c>
      <c r="Q155" s="13">
        <v>683</v>
      </c>
      <c r="R155" s="13">
        <v>685.29998779296875</v>
      </c>
      <c r="S155" s="13">
        <v>4499955</v>
      </c>
      <c r="T155" s="13">
        <v>717.07499389648433</v>
      </c>
      <c r="U155" s="13">
        <v>743.47455662684479</v>
      </c>
      <c r="V155" s="13">
        <v>690.67543116612387</v>
      </c>
      <c r="AA155" s="26">
        <v>45352</v>
      </c>
      <c r="AB155" s="13" t="s">
        <v>769</v>
      </c>
      <c r="AC155" s="13">
        <v>724.3499755859375</v>
      </c>
      <c r="AD155" s="13">
        <v>724.54998779296875</v>
      </c>
      <c r="AE155" s="13">
        <v>683</v>
      </c>
      <c r="AF155" s="13">
        <v>685.29998779296875</v>
      </c>
      <c r="AG155" s="13">
        <v>11190801</v>
      </c>
      <c r="AH155" s="13">
        <v>723.82000732421875</v>
      </c>
      <c r="AI155" s="13">
        <v>773.55306794541718</v>
      </c>
      <c r="AJ155" s="13">
        <v>674.08694670302032</v>
      </c>
      <c r="AM155" s="26">
        <v>45362</v>
      </c>
      <c r="AN155" s="13" t="s">
        <v>769</v>
      </c>
      <c r="AO155" s="13">
        <v>709.79998779296875</v>
      </c>
      <c r="AP155" s="13">
        <v>709.8499755859375</v>
      </c>
      <c r="AQ155" s="13">
        <v>683</v>
      </c>
      <c r="AR155" s="13">
        <v>685.29998779296875</v>
      </c>
      <c r="AS155" s="13">
        <v>4499955</v>
      </c>
      <c r="AT155" s="13">
        <v>713.55999755859375</v>
      </c>
      <c r="AU155" s="13">
        <v>748.47804068730204</v>
      </c>
      <c r="AV155" s="13">
        <v>678.64195442988546</v>
      </c>
    </row>
    <row r="156" spans="1:48" x14ac:dyDescent="0.3">
      <c r="A156" s="26">
        <v>45352</v>
      </c>
      <c r="B156" s="13" t="s">
        <v>770</v>
      </c>
      <c r="C156" s="13">
        <v>1564.9000244140625</v>
      </c>
      <c r="D156" s="13">
        <v>1569.3499755859375</v>
      </c>
      <c r="E156" s="13">
        <v>1480.6500244140625</v>
      </c>
      <c r="F156" s="13">
        <v>1487.3499755859375</v>
      </c>
      <c r="G156" s="13">
        <v>13622500</v>
      </c>
      <c r="H156" s="13">
        <v>1450.6449951171876</v>
      </c>
      <c r="I156" s="13">
        <v>1549.0622396547353</v>
      </c>
      <c r="J156" s="13">
        <v>1352.2277505796399</v>
      </c>
      <c r="K156" s="13" t="s">
        <v>404</v>
      </c>
      <c r="M156" s="26">
        <v>45362</v>
      </c>
      <c r="N156" s="13" t="s">
        <v>770</v>
      </c>
      <c r="O156" s="13">
        <v>1526.949951171875</v>
      </c>
      <c r="P156" s="13">
        <v>1551.75</v>
      </c>
      <c r="Q156" s="13">
        <v>1480.6500244140625</v>
      </c>
      <c r="R156" s="13">
        <v>1487.3499755859375</v>
      </c>
      <c r="S156" s="13">
        <v>4893973</v>
      </c>
      <c r="T156" s="13">
        <v>1511.3749877929688</v>
      </c>
      <c r="U156" s="13">
        <v>1561.9153839050011</v>
      </c>
      <c r="V156" s="13">
        <v>1460.8345916809365</v>
      </c>
      <c r="AA156" s="26">
        <v>45352</v>
      </c>
      <c r="AB156" s="13" t="s">
        <v>770</v>
      </c>
      <c r="AC156" s="13">
        <v>1564.9000244140625</v>
      </c>
      <c r="AD156" s="13">
        <v>1569.3499755859375</v>
      </c>
      <c r="AE156" s="13">
        <v>1480.6500244140625</v>
      </c>
      <c r="AF156" s="13">
        <v>1487.3499755859375</v>
      </c>
      <c r="AG156" s="13">
        <v>13622500</v>
      </c>
      <c r="AH156" s="13">
        <v>1461.7800048828126</v>
      </c>
      <c r="AI156" s="13">
        <v>1568.0789572015713</v>
      </c>
      <c r="AJ156" s="13">
        <v>1355.4810525640539</v>
      </c>
      <c r="AM156" s="26">
        <v>45362</v>
      </c>
      <c r="AN156" s="13" t="s">
        <v>770</v>
      </c>
      <c r="AO156" s="13">
        <v>1526.949951171875</v>
      </c>
      <c r="AP156" s="13">
        <v>1551.75</v>
      </c>
      <c r="AQ156" s="13">
        <v>1480.6500244140625</v>
      </c>
      <c r="AR156" s="13">
        <v>1487.3499755859375</v>
      </c>
      <c r="AS156" s="13">
        <v>4893973</v>
      </c>
      <c r="AT156" s="13">
        <v>1515.5</v>
      </c>
      <c r="AU156" s="13">
        <v>1553.0732221854141</v>
      </c>
      <c r="AV156" s="13">
        <v>1477.9267778145859</v>
      </c>
    </row>
    <row r="157" spans="1:48" x14ac:dyDescent="0.3">
      <c r="A157" s="26">
        <v>45352</v>
      </c>
      <c r="B157" s="13" t="s">
        <v>771</v>
      </c>
      <c r="C157" s="13">
        <v>752</v>
      </c>
      <c r="D157" s="13">
        <v>793.4000244140625</v>
      </c>
      <c r="E157" s="13">
        <v>743</v>
      </c>
      <c r="F157" s="13">
        <v>747.25</v>
      </c>
      <c r="G157" s="13">
        <v>153690162</v>
      </c>
      <c r="H157" s="13">
        <v>656.96500854492183</v>
      </c>
      <c r="I157" s="13">
        <v>797.95031302449979</v>
      </c>
      <c r="J157" s="13">
        <v>515.97970406534387</v>
      </c>
      <c r="M157" s="26">
        <v>45362</v>
      </c>
      <c r="N157" s="13" t="s">
        <v>771</v>
      </c>
      <c r="O157" s="13">
        <v>790</v>
      </c>
      <c r="P157" s="13">
        <v>792.79998779296875</v>
      </c>
      <c r="Q157" s="13">
        <v>743</v>
      </c>
      <c r="R157" s="13">
        <v>747.25</v>
      </c>
      <c r="S157" s="13">
        <v>66255255</v>
      </c>
      <c r="T157" s="13">
        <v>761.16000366210938</v>
      </c>
      <c r="U157" s="13">
        <v>789.6732426393437</v>
      </c>
      <c r="V157" s="13">
        <v>732.64676468487505</v>
      </c>
      <c r="W157" s="13" t="s">
        <v>404</v>
      </c>
      <c r="AA157" s="26">
        <v>45352</v>
      </c>
      <c r="AB157" s="13" t="s">
        <v>771</v>
      </c>
      <c r="AC157" s="13">
        <v>752</v>
      </c>
      <c r="AD157" s="13">
        <v>793.4000244140625</v>
      </c>
      <c r="AE157" s="13">
        <v>743</v>
      </c>
      <c r="AF157" s="13">
        <v>747.25</v>
      </c>
      <c r="AG157" s="13">
        <v>153690162</v>
      </c>
      <c r="AH157" s="13">
        <v>668.52999267578127</v>
      </c>
      <c r="AI157" s="13">
        <v>809.34300276002296</v>
      </c>
      <c r="AJ157" s="13">
        <v>527.71698259153959</v>
      </c>
      <c r="AM157" s="26">
        <v>45362</v>
      </c>
      <c r="AN157" s="13" t="s">
        <v>771</v>
      </c>
      <c r="AO157" s="13">
        <v>790</v>
      </c>
      <c r="AP157" s="13">
        <v>792.79998779296875</v>
      </c>
      <c r="AQ157" s="13">
        <v>743</v>
      </c>
      <c r="AR157" s="13">
        <v>747.25</v>
      </c>
      <c r="AS157" s="13">
        <v>66255255</v>
      </c>
      <c r="AT157" s="13">
        <v>763.6400024414063</v>
      </c>
      <c r="AU157" s="13">
        <v>791.86526158134052</v>
      </c>
      <c r="AV157" s="13">
        <v>735.41474330147207</v>
      </c>
    </row>
    <row r="158" spans="1:48" x14ac:dyDescent="0.3">
      <c r="A158" s="26">
        <v>45352</v>
      </c>
      <c r="B158" s="13" t="s">
        <v>772</v>
      </c>
      <c r="C158" s="13">
        <v>25689</v>
      </c>
      <c r="D158" s="13">
        <v>25895.94921875</v>
      </c>
      <c r="E158" s="13">
        <v>24247.75</v>
      </c>
      <c r="F158" s="13">
        <v>24360.349609375</v>
      </c>
      <c r="G158" s="13">
        <v>312419</v>
      </c>
      <c r="H158" s="13">
        <v>26895.409960937501</v>
      </c>
      <c r="I158" s="13">
        <v>29178.036396791154</v>
      </c>
      <c r="J158" s="13">
        <v>24612.783525083847</v>
      </c>
      <c r="M158" s="26">
        <v>45362</v>
      </c>
      <c r="N158" s="13" t="s">
        <v>772</v>
      </c>
      <c r="O158" s="13">
        <v>24601.05078125</v>
      </c>
      <c r="P158" s="13">
        <v>25359.94921875</v>
      </c>
      <c r="Q158" s="13">
        <v>24247.75</v>
      </c>
      <c r="R158" s="13">
        <v>24360.349609375</v>
      </c>
      <c r="S158" s="13">
        <v>109602</v>
      </c>
      <c r="T158" s="13">
        <v>25890.130078124999</v>
      </c>
      <c r="U158" s="13">
        <v>27528.293007609704</v>
      </c>
      <c r="V158" s="13">
        <v>24251.967148640295</v>
      </c>
      <c r="AA158" s="26">
        <v>45352</v>
      </c>
      <c r="AB158" s="13" t="s">
        <v>772</v>
      </c>
      <c r="AC158" s="13">
        <v>25689</v>
      </c>
      <c r="AD158" s="13">
        <v>25895.94921875</v>
      </c>
      <c r="AE158" s="13">
        <v>24247.75</v>
      </c>
      <c r="AF158" s="13">
        <v>24360.349609375</v>
      </c>
      <c r="AG158" s="13">
        <v>312419</v>
      </c>
      <c r="AH158" s="13">
        <v>26763.210156249999</v>
      </c>
      <c r="AI158" s="13">
        <v>30127.283380667741</v>
      </c>
      <c r="AJ158" s="13">
        <v>23399.136931832258</v>
      </c>
      <c r="AM158" s="26">
        <v>45362</v>
      </c>
      <c r="AN158" s="13" t="s">
        <v>772</v>
      </c>
      <c r="AO158" s="13">
        <v>24601.05078125</v>
      </c>
      <c r="AP158" s="13">
        <v>25359.94921875</v>
      </c>
      <c r="AQ158" s="13">
        <v>24247.75</v>
      </c>
      <c r="AR158" s="13">
        <v>24360.349609375</v>
      </c>
      <c r="AS158" s="13">
        <v>109602</v>
      </c>
      <c r="AT158" s="13">
        <v>25498.340234374999</v>
      </c>
      <c r="AU158" s="13">
        <v>27187.028335672316</v>
      </c>
      <c r="AV158" s="13">
        <v>23809.652133077681</v>
      </c>
    </row>
    <row r="159" spans="1:48" x14ac:dyDescent="0.3">
      <c r="A159" s="26">
        <v>45352</v>
      </c>
      <c r="B159" s="13" t="s">
        <v>773</v>
      </c>
      <c r="C159" s="13">
        <v>2469.5</v>
      </c>
      <c r="D159" s="13">
        <v>2499.89990234375</v>
      </c>
      <c r="E159" s="13">
        <v>2300.10009765625</v>
      </c>
      <c r="F159" s="13">
        <v>2321.39990234375</v>
      </c>
      <c r="G159" s="13">
        <v>10753740</v>
      </c>
      <c r="H159" s="13">
        <v>2211.1950073242188</v>
      </c>
      <c r="I159" s="13">
        <v>2563.2282760995004</v>
      </c>
      <c r="J159" s="13">
        <v>1859.1617385489371</v>
      </c>
      <c r="M159" s="26">
        <v>45362</v>
      </c>
      <c r="N159" s="13" t="s">
        <v>773</v>
      </c>
      <c r="O159" s="13">
        <v>2446</v>
      </c>
      <c r="P159" s="13">
        <v>2499.89990234375</v>
      </c>
      <c r="Q159" s="13">
        <v>2300.10009765625</v>
      </c>
      <c r="R159" s="13">
        <v>2321.39990234375</v>
      </c>
      <c r="S159" s="13">
        <v>5340551</v>
      </c>
      <c r="T159" s="13">
        <v>2389.9549804687499</v>
      </c>
      <c r="U159" s="13">
        <v>2431.2732602791043</v>
      </c>
      <c r="V159" s="13">
        <v>2348.6367006583955</v>
      </c>
      <c r="W159" s="13" t="s">
        <v>404</v>
      </c>
      <c r="AA159" s="26">
        <v>45352</v>
      </c>
      <c r="AB159" s="13" t="s">
        <v>773</v>
      </c>
      <c r="AC159" s="13">
        <v>2469.5</v>
      </c>
      <c r="AD159" s="13">
        <v>2499.89990234375</v>
      </c>
      <c r="AE159" s="13">
        <v>2300.10009765625</v>
      </c>
      <c r="AF159" s="13">
        <v>2321.39990234375</v>
      </c>
      <c r="AG159" s="13">
        <v>10753740</v>
      </c>
      <c r="AH159" s="13">
        <v>2257.4600097656248</v>
      </c>
      <c r="AI159" s="13">
        <v>2642.2037476857768</v>
      </c>
      <c r="AJ159" s="13">
        <v>1872.7162718454731</v>
      </c>
      <c r="AM159" s="26">
        <v>45362</v>
      </c>
      <c r="AN159" s="13" t="s">
        <v>773</v>
      </c>
      <c r="AO159" s="13">
        <v>2446</v>
      </c>
      <c r="AP159" s="13">
        <v>2499.89990234375</v>
      </c>
      <c r="AQ159" s="13">
        <v>2300.10009765625</v>
      </c>
      <c r="AR159" s="13">
        <v>2321.39990234375</v>
      </c>
      <c r="AS159" s="13">
        <v>5340551</v>
      </c>
      <c r="AT159" s="13">
        <v>2423.2499511718752</v>
      </c>
      <c r="AU159" s="13">
        <v>2525.158253205856</v>
      </c>
      <c r="AV159" s="13">
        <v>2321.3416491378944</v>
      </c>
    </row>
    <row r="160" spans="1:48" x14ac:dyDescent="0.3">
      <c r="A160" s="26">
        <v>45352</v>
      </c>
      <c r="B160" s="13" t="s">
        <v>774</v>
      </c>
      <c r="C160" s="13">
        <v>4700</v>
      </c>
      <c r="D160" s="13">
        <v>4972.39990234375</v>
      </c>
      <c r="E160" s="13">
        <v>4613.7998046875</v>
      </c>
      <c r="F160" s="13">
        <v>4650.10009765625</v>
      </c>
      <c r="G160" s="13">
        <v>2567222</v>
      </c>
      <c r="H160" s="13">
        <v>4150.5799560546875</v>
      </c>
      <c r="I160" s="13">
        <v>5018.9606823983613</v>
      </c>
      <c r="J160" s="13">
        <v>3282.1992297110137</v>
      </c>
      <c r="M160" s="26">
        <v>45362</v>
      </c>
      <c r="N160" s="13" t="s">
        <v>774</v>
      </c>
      <c r="O160" s="13">
        <v>4670</v>
      </c>
      <c r="P160" s="13">
        <v>4972.39990234375</v>
      </c>
      <c r="Q160" s="13">
        <v>4613.7998046875</v>
      </c>
      <c r="R160" s="13">
        <v>4650.10009765625</v>
      </c>
      <c r="S160" s="13">
        <v>1914806</v>
      </c>
      <c r="T160" s="13">
        <v>4577.5999511718746</v>
      </c>
      <c r="U160" s="13">
        <v>4914.7867428416812</v>
      </c>
      <c r="V160" s="13">
        <v>4240.4131595020681</v>
      </c>
      <c r="AA160" s="26">
        <v>45352</v>
      </c>
      <c r="AB160" s="13" t="s">
        <v>774</v>
      </c>
      <c r="AC160" s="13">
        <v>4700</v>
      </c>
      <c r="AD160" s="13">
        <v>4972.39990234375</v>
      </c>
      <c r="AE160" s="13">
        <v>4613.7998046875</v>
      </c>
      <c r="AF160" s="13">
        <v>4650.10009765625</v>
      </c>
      <c r="AG160" s="13">
        <v>2567222</v>
      </c>
      <c r="AH160" s="13">
        <v>4230.4100097656246</v>
      </c>
      <c r="AI160" s="13">
        <v>5008.1640838855747</v>
      </c>
      <c r="AJ160" s="13">
        <v>3452.6559356456746</v>
      </c>
      <c r="AM160" s="26">
        <v>45362</v>
      </c>
      <c r="AN160" s="13" t="s">
        <v>774</v>
      </c>
      <c r="AO160" s="13">
        <v>4670</v>
      </c>
      <c r="AP160" s="13">
        <v>4972.39990234375</v>
      </c>
      <c r="AQ160" s="13">
        <v>4613.7998046875</v>
      </c>
      <c r="AR160" s="13">
        <v>4650.10009765625</v>
      </c>
      <c r="AS160" s="13">
        <v>1914806</v>
      </c>
      <c r="AT160" s="13">
        <v>4590.9299804687498</v>
      </c>
      <c r="AU160" s="13">
        <v>4812.8059402871449</v>
      </c>
      <c r="AV160" s="13">
        <v>4369.0540206503547</v>
      </c>
    </row>
    <row r="161" spans="1:49" x14ac:dyDescent="0.3">
      <c r="A161" s="26">
        <v>45352</v>
      </c>
      <c r="B161" s="13" t="s">
        <v>775</v>
      </c>
      <c r="C161" s="13">
        <v>2389.64990234375</v>
      </c>
      <c r="D161" s="13">
        <v>2491</v>
      </c>
      <c r="E161" s="13">
        <v>2364.050048828125</v>
      </c>
      <c r="F161" s="13">
        <v>2386</v>
      </c>
      <c r="G161" s="13">
        <v>2670666</v>
      </c>
      <c r="H161" s="13">
        <v>2368.1500244140625</v>
      </c>
      <c r="I161" s="13">
        <v>2489.8189346049253</v>
      </c>
      <c r="J161" s="13">
        <v>2246.4811142231997</v>
      </c>
      <c r="M161" s="26">
        <v>45362</v>
      </c>
      <c r="N161" s="13" t="s">
        <v>775</v>
      </c>
      <c r="O161" s="13">
        <v>2472</v>
      </c>
      <c r="P161" s="13">
        <v>2491</v>
      </c>
      <c r="Q161" s="13">
        <v>2375.10009765625</v>
      </c>
      <c r="R161" s="13">
        <v>2386</v>
      </c>
      <c r="S161" s="13">
        <v>1121087</v>
      </c>
      <c r="T161" s="13">
        <v>2387.6100097656249</v>
      </c>
      <c r="U161" s="13">
        <v>2458.0250163615956</v>
      </c>
      <c r="V161" s="13">
        <v>2317.1950031696542</v>
      </c>
      <c r="W161" s="13" t="s">
        <v>404</v>
      </c>
      <c r="AA161" s="26">
        <v>45352</v>
      </c>
      <c r="AB161" s="13" t="s">
        <v>775</v>
      </c>
      <c r="AC161" s="13">
        <v>2389.64990234375</v>
      </c>
      <c r="AD161" s="13">
        <v>2491</v>
      </c>
      <c r="AE161" s="13">
        <v>2364.050048828125</v>
      </c>
      <c r="AF161" s="13">
        <v>2386</v>
      </c>
      <c r="AG161" s="13">
        <v>2670666</v>
      </c>
      <c r="AH161" s="13">
        <v>2389.47998046875</v>
      </c>
      <c r="AI161" s="13">
        <v>2490.2890860301227</v>
      </c>
      <c r="AJ161" s="13">
        <v>2288.6708749073773</v>
      </c>
      <c r="AM161" s="26">
        <v>45362</v>
      </c>
      <c r="AN161" s="13" t="s">
        <v>775</v>
      </c>
      <c r="AO161" s="13">
        <v>2472</v>
      </c>
      <c r="AP161" s="13">
        <v>2491</v>
      </c>
      <c r="AQ161" s="13">
        <v>2375.10009765625</v>
      </c>
      <c r="AR161" s="13">
        <v>2386</v>
      </c>
      <c r="AS161" s="13">
        <v>1121087</v>
      </c>
      <c r="AT161" s="13">
        <v>2399.8600585937502</v>
      </c>
      <c r="AU161" s="13">
        <v>2451.284381078096</v>
      </c>
      <c r="AV161" s="13">
        <v>2348.4357361094044</v>
      </c>
      <c r="AW161" s="13" t="s">
        <v>404</v>
      </c>
    </row>
    <row r="162" spans="1:49" x14ac:dyDescent="0.3">
      <c r="A162" s="26">
        <v>45352</v>
      </c>
      <c r="B162" s="13" t="s">
        <v>776</v>
      </c>
      <c r="C162" s="13">
        <v>1580</v>
      </c>
      <c r="D162" s="13">
        <v>1627</v>
      </c>
      <c r="E162" s="13">
        <v>1535.4000244140625</v>
      </c>
      <c r="F162" s="13">
        <v>1558.5999755859375</v>
      </c>
      <c r="G162" s="13">
        <v>19147719</v>
      </c>
      <c r="H162" s="13">
        <v>1363.4750122070313</v>
      </c>
      <c r="I162" s="13">
        <v>1676.4678132666363</v>
      </c>
      <c r="J162" s="13">
        <v>1050.4822111474264</v>
      </c>
      <c r="M162" s="26">
        <v>45362</v>
      </c>
      <c r="N162" s="13" t="s">
        <v>776</v>
      </c>
      <c r="O162" s="13">
        <v>1615.1500244140625</v>
      </c>
      <c r="P162" s="13">
        <v>1627</v>
      </c>
      <c r="Q162" s="13">
        <v>1544</v>
      </c>
      <c r="R162" s="13">
        <v>1558.5999755859375</v>
      </c>
      <c r="S162" s="13">
        <v>7170250</v>
      </c>
      <c r="T162" s="13">
        <v>1559.8</v>
      </c>
      <c r="U162" s="13">
        <v>1603.7460564548435</v>
      </c>
      <c r="V162" s="13">
        <v>1515.8539435451564</v>
      </c>
      <c r="W162" s="13" t="s">
        <v>404</v>
      </c>
      <c r="AA162" s="26">
        <v>45352</v>
      </c>
      <c r="AB162" s="13" t="s">
        <v>776</v>
      </c>
      <c r="AC162" s="13">
        <v>1580</v>
      </c>
      <c r="AD162" s="13">
        <v>1627</v>
      </c>
      <c r="AE162" s="13">
        <v>1535.4000244140625</v>
      </c>
      <c r="AF162" s="13">
        <v>1558.5999755859375</v>
      </c>
      <c r="AG162" s="13">
        <v>19147719</v>
      </c>
      <c r="AH162" s="13">
        <v>1408.0599609374999</v>
      </c>
      <c r="AI162" s="13">
        <v>1700.5229780232355</v>
      </c>
      <c r="AJ162" s="13">
        <v>1115.5969438517643</v>
      </c>
      <c r="AM162" s="26">
        <v>45362</v>
      </c>
      <c r="AN162" s="13" t="s">
        <v>776</v>
      </c>
      <c r="AO162" s="13">
        <v>1615.1500244140625</v>
      </c>
      <c r="AP162" s="13">
        <v>1627</v>
      </c>
      <c r="AQ162" s="13">
        <v>1544</v>
      </c>
      <c r="AR162" s="13">
        <v>1558.5999755859375</v>
      </c>
      <c r="AS162" s="13">
        <v>7170250</v>
      </c>
      <c r="AT162" s="13">
        <v>1558.9499755859374</v>
      </c>
      <c r="AU162" s="13">
        <v>1619.5606362773956</v>
      </c>
      <c r="AV162" s="13">
        <v>1498.3393148944792</v>
      </c>
    </row>
    <row r="163" spans="1:49" x14ac:dyDescent="0.3">
      <c r="A163" s="26">
        <v>45352</v>
      </c>
      <c r="B163" s="13" t="s">
        <v>777</v>
      </c>
      <c r="C163" s="13">
        <v>615.8499755859375</v>
      </c>
      <c r="D163" s="13">
        <v>648.70001220703125</v>
      </c>
      <c r="E163" s="13">
        <v>582.25</v>
      </c>
      <c r="F163" s="13">
        <v>585.75</v>
      </c>
      <c r="G163" s="13">
        <v>5060770</v>
      </c>
      <c r="H163" s="13">
        <v>656.04000854492188</v>
      </c>
      <c r="I163" s="13">
        <v>713.86247973191166</v>
      </c>
      <c r="J163" s="13">
        <v>598.21753735793209</v>
      </c>
      <c r="M163" s="26">
        <v>45362</v>
      </c>
      <c r="N163" s="13" t="s">
        <v>777</v>
      </c>
      <c r="O163" s="13">
        <v>622.45001220703125</v>
      </c>
      <c r="P163" s="13">
        <v>625.5</v>
      </c>
      <c r="Q163" s="13">
        <v>582.25</v>
      </c>
      <c r="R163" s="13">
        <v>585.75</v>
      </c>
      <c r="S163" s="13">
        <v>1753931</v>
      </c>
      <c r="T163" s="13">
        <v>618.22999877929692</v>
      </c>
      <c r="U163" s="13">
        <v>632.68978224217153</v>
      </c>
      <c r="V163" s="13">
        <v>603.77021531642231</v>
      </c>
      <c r="AA163" s="26">
        <v>45352</v>
      </c>
      <c r="AB163" s="13" t="s">
        <v>777</v>
      </c>
      <c r="AC163" s="13">
        <v>615.8499755859375</v>
      </c>
      <c r="AD163" s="13">
        <v>648.70001220703125</v>
      </c>
      <c r="AE163" s="13">
        <v>582.25</v>
      </c>
      <c r="AF163" s="13">
        <v>585.75</v>
      </c>
      <c r="AG163" s="13">
        <v>5060770</v>
      </c>
      <c r="AH163" s="13">
        <v>649.35</v>
      </c>
      <c r="AI163" s="13">
        <v>738.04612449256842</v>
      </c>
      <c r="AJ163" s="13">
        <v>560.65387550743162</v>
      </c>
      <c r="AM163" s="26">
        <v>45362</v>
      </c>
      <c r="AN163" s="13" t="s">
        <v>777</v>
      </c>
      <c r="AO163" s="13">
        <v>622.45001220703125</v>
      </c>
      <c r="AP163" s="13">
        <v>625.5</v>
      </c>
      <c r="AQ163" s="13">
        <v>582.25</v>
      </c>
      <c r="AR163" s="13">
        <v>585.75</v>
      </c>
      <c r="AS163" s="13">
        <v>1753931</v>
      </c>
      <c r="AT163" s="13">
        <v>616.22000732421873</v>
      </c>
      <c r="AU163" s="13">
        <v>649.36639195163355</v>
      </c>
      <c r="AV163" s="13">
        <v>583.07362269680391</v>
      </c>
    </row>
    <row r="164" spans="1:49" x14ac:dyDescent="0.3">
      <c r="A164" s="26">
        <v>45352</v>
      </c>
      <c r="B164" s="13" t="s">
        <v>778</v>
      </c>
      <c r="C164" s="13">
        <v>710.25</v>
      </c>
      <c r="D164" s="13">
        <v>713.75</v>
      </c>
      <c r="E164" s="13">
        <v>665.25</v>
      </c>
      <c r="F164" s="13">
        <v>670.45001220703125</v>
      </c>
      <c r="G164" s="13">
        <v>7729453</v>
      </c>
      <c r="H164" s="13">
        <v>713.78499755859377</v>
      </c>
      <c r="I164" s="13">
        <v>743.58198097639865</v>
      </c>
      <c r="J164" s="13">
        <v>683.98801414078889</v>
      </c>
      <c r="M164" s="26">
        <v>45362</v>
      </c>
      <c r="N164" s="13" t="s">
        <v>778</v>
      </c>
      <c r="O164" s="13">
        <v>693.75</v>
      </c>
      <c r="P164" s="13">
        <v>699.29998779296875</v>
      </c>
      <c r="Q164" s="13">
        <v>665.25</v>
      </c>
      <c r="R164" s="13">
        <v>670.45001220703125</v>
      </c>
      <c r="S164" s="13">
        <v>2779314</v>
      </c>
      <c r="T164" s="13">
        <v>721.88999633789058</v>
      </c>
      <c r="U164" s="13">
        <v>781.19164450793812</v>
      </c>
      <c r="V164" s="13">
        <v>662.58834816784304</v>
      </c>
      <c r="AA164" s="26">
        <v>45352</v>
      </c>
      <c r="AB164" s="13" t="s">
        <v>778</v>
      </c>
      <c r="AC164" s="13">
        <v>710.25</v>
      </c>
      <c r="AD164" s="13">
        <v>713.75</v>
      </c>
      <c r="AE164" s="13">
        <v>665.25</v>
      </c>
      <c r="AF164" s="13">
        <v>670.45001220703125</v>
      </c>
      <c r="AG164" s="13">
        <v>7729453</v>
      </c>
      <c r="AH164" s="13">
        <v>716.1300048828125</v>
      </c>
      <c r="AI164" s="13">
        <v>778.65112229494218</v>
      </c>
      <c r="AJ164" s="13">
        <v>653.60888747068282</v>
      </c>
      <c r="AM164" s="26">
        <v>45362</v>
      </c>
      <c r="AN164" s="13" t="s">
        <v>778</v>
      </c>
      <c r="AO164" s="13">
        <v>693.75</v>
      </c>
      <c r="AP164" s="13">
        <v>699.29998779296875</v>
      </c>
      <c r="AQ164" s="13">
        <v>665.25</v>
      </c>
      <c r="AR164" s="13">
        <v>670.45001220703125</v>
      </c>
      <c r="AS164" s="13">
        <v>2779314</v>
      </c>
      <c r="AT164" s="13">
        <v>715.28000488281248</v>
      </c>
      <c r="AU164" s="13">
        <v>784.44874210834951</v>
      </c>
      <c r="AV164" s="13">
        <v>646.11126765727545</v>
      </c>
    </row>
    <row r="165" spans="1:49" x14ac:dyDescent="0.3">
      <c r="A165" s="26">
        <v>45352</v>
      </c>
      <c r="B165" s="13" t="s">
        <v>779</v>
      </c>
      <c r="C165" s="13">
        <v>946</v>
      </c>
      <c r="D165" s="13">
        <v>1349</v>
      </c>
      <c r="E165" s="13">
        <v>945</v>
      </c>
      <c r="F165" s="13">
        <v>1097.449951171875</v>
      </c>
      <c r="G165" s="13">
        <v>104823967</v>
      </c>
      <c r="H165" s="13">
        <v>1041.5649963378905</v>
      </c>
      <c r="I165" s="13">
        <v>1172.7229400399146</v>
      </c>
      <c r="J165" s="13">
        <v>910.40705263586642</v>
      </c>
      <c r="M165" s="26">
        <v>45362</v>
      </c>
      <c r="N165" s="13" t="s">
        <v>779</v>
      </c>
      <c r="O165" s="13">
        <v>1220</v>
      </c>
      <c r="P165" s="13">
        <v>1222</v>
      </c>
      <c r="Q165" s="13">
        <v>1081.449951171875</v>
      </c>
      <c r="R165" s="13">
        <v>1097.449951171875</v>
      </c>
      <c r="S165" s="13">
        <v>25957387</v>
      </c>
      <c r="T165" s="13">
        <v>1042.3349975585938</v>
      </c>
      <c r="U165" s="13">
        <v>1227.9294061728824</v>
      </c>
      <c r="V165" s="13">
        <v>856.74058894430527</v>
      </c>
      <c r="AA165" s="26">
        <v>45352</v>
      </c>
      <c r="AB165" s="13" t="s">
        <v>779</v>
      </c>
      <c r="AC165" s="13">
        <v>946</v>
      </c>
      <c r="AD165" s="13">
        <v>1349</v>
      </c>
      <c r="AE165" s="13">
        <v>945</v>
      </c>
      <c r="AF165" s="13">
        <v>1097.449951171875</v>
      </c>
      <c r="AG165" s="13">
        <v>104823967</v>
      </c>
      <c r="AH165" s="13">
        <v>1027.8499999999999</v>
      </c>
      <c r="AI165" s="13">
        <v>1159.9464221584931</v>
      </c>
      <c r="AJ165" s="13">
        <v>895.75357784150674</v>
      </c>
      <c r="AM165" s="26">
        <v>45362</v>
      </c>
      <c r="AN165" s="13" t="s">
        <v>779</v>
      </c>
      <c r="AO165" s="13">
        <v>1220</v>
      </c>
      <c r="AP165" s="13">
        <v>1222</v>
      </c>
      <c r="AQ165" s="13">
        <v>1081.449951171875</v>
      </c>
      <c r="AR165" s="13">
        <v>1097.449951171875</v>
      </c>
      <c r="AS165" s="13">
        <v>25957387</v>
      </c>
      <c r="AT165" s="13">
        <v>1065.8699951171875</v>
      </c>
      <c r="AU165" s="13">
        <v>1333.5065327421487</v>
      </c>
      <c r="AV165" s="13">
        <v>798.23345749222631</v>
      </c>
    </row>
    <row r="166" spans="1:49" x14ac:dyDescent="0.3">
      <c r="A166" s="26">
        <v>45352</v>
      </c>
      <c r="B166" s="13" t="s">
        <v>780</v>
      </c>
      <c r="C166" s="13">
        <v>1928.1500244140625</v>
      </c>
      <c r="D166" s="13">
        <v>2038.4000244140625</v>
      </c>
      <c r="E166" s="13">
        <v>1861</v>
      </c>
      <c r="F166" s="13">
        <v>1885.5999755859375</v>
      </c>
      <c r="G166" s="13">
        <v>8253251</v>
      </c>
      <c r="H166" s="13">
        <v>1791.6750244140626</v>
      </c>
      <c r="I166" s="13">
        <v>1960.4434506273924</v>
      </c>
      <c r="J166" s="13">
        <v>1622.9065982007328</v>
      </c>
      <c r="M166" s="26">
        <v>45362</v>
      </c>
      <c r="N166" s="13" t="s">
        <v>780</v>
      </c>
      <c r="O166" s="13">
        <v>1998.5999755859375</v>
      </c>
      <c r="P166" s="13">
        <v>2033.9000244140625</v>
      </c>
      <c r="Q166" s="13">
        <v>1861</v>
      </c>
      <c r="R166" s="13">
        <v>1885.5999755859375</v>
      </c>
      <c r="S166" s="13">
        <v>2468696</v>
      </c>
      <c r="T166" s="13">
        <v>1876.7750000000001</v>
      </c>
      <c r="U166" s="13">
        <v>2039.4081538012238</v>
      </c>
      <c r="V166" s="13">
        <v>1714.1418461987764</v>
      </c>
      <c r="AA166" s="26">
        <v>45352</v>
      </c>
      <c r="AB166" s="13" t="s">
        <v>780</v>
      </c>
      <c r="AC166" s="13">
        <v>1928.1500244140625</v>
      </c>
      <c r="AD166" s="13">
        <v>2038.4000244140625</v>
      </c>
      <c r="AE166" s="13">
        <v>1861</v>
      </c>
      <c r="AF166" s="13">
        <v>1885.5999755859375</v>
      </c>
      <c r="AG166" s="13">
        <v>8253251</v>
      </c>
      <c r="AH166" s="13">
        <v>1804.3400146484375</v>
      </c>
      <c r="AI166" s="13">
        <v>1974.4622809908421</v>
      </c>
      <c r="AJ166" s="13">
        <v>1634.2177483060329</v>
      </c>
      <c r="AM166" s="26">
        <v>45362</v>
      </c>
      <c r="AN166" s="13" t="s">
        <v>780</v>
      </c>
      <c r="AO166" s="13">
        <v>1998.5999755859375</v>
      </c>
      <c r="AP166" s="13">
        <v>2033.9000244140625</v>
      </c>
      <c r="AQ166" s="13">
        <v>1861</v>
      </c>
      <c r="AR166" s="13">
        <v>1885.5999755859375</v>
      </c>
      <c r="AS166" s="13">
        <v>2468696</v>
      </c>
      <c r="AT166" s="13">
        <v>1887.9100097656251</v>
      </c>
      <c r="AU166" s="13">
        <v>2030.2189591325789</v>
      </c>
      <c r="AV166" s="13">
        <v>1745.6010603986713</v>
      </c>
    </row>
    <row r="167" spans="1:49" x14ac:dyDescent="0.3">
      <c r="A167" s="26">
        <v>45352</v>
      </c>
      <c r="B167" s="13" t="s">
        <v>781</v>
      </c>
      <c r="C167" s="13">
        <v>1204</v>
      </c>
      <c r="D167" s="13">
        <v>1269</v>
      </c>
      <c r="E167" s="13">
        <v>1170.699951171875</v>
      </c>
      <c r="F167" s="13">
        <v>1178.949951171875</v>
      </c>
      <c r="G167" s="13">
        <v>14102672</v>
      </c>
      <c r="H167" s="13">
        <v>1086.4299926757813</v>
      </c>
      <c r="I167" s="13">
        <v>1295.7630840351906</v>
      </c>
      <c r="J167" s="13">
        <v>877.09690131637194</v>
      </c>
      <c r="M167" s="26">
        <v>45362</v>
      </c>
      <c r="N167" s="13" t="s">
        <v>781</v>
      </c>
      <c r="O167" s="13">
        <v>1263</v>
      </c>
      <c r="P167" s="13">
        <v>1269</v>
      </c>
      <c r="Q167" s="13">
        <v>1170.699951171875</v>
      </c>
      <c r="R167" s="13">
        <v>1178.949951171875</v>
      </c>
      <c r="S167" s="13">
        <v>5748804</v>
      </c>
      <c r="T167" s="13">
        <v>1179.6800048828125</v>
      </c>
      <c r="U167" s="13">
        <v>1265.6552281907711</v>
      </c>
      <c r="V167" s="13">
        <v>1093.7047815748538</v>
      </c>
      <c r="AA167" s="26">
        <v>45352</v>
      </c>
      <c r="AB167" s="13" t="s">
        <v>781</v>
      </c>
      <c r="AC167" s="13">
        <v>1204</v>
      </c>
      <c r="AD167" s="13">
        <v>1269</v>
      </c>
      <c r="AE167" s="13">
        <v>1170.699951171875</v>
      </c>
      <c r="AF167" s="13">
        <v>1178.949951171875</v>
      </c>
      <c r="AG167" s="13">
        <v>14102672</v>
      </c>
      <c r="AH167" s="13">
        <v>1102.9100097656251</v>
      </c>
      <c r="AI167" s="13">
        <v>1282.1496627685224</v>
      </c>
      <c r="AJ167" s="13">
        <v>923.67035676272781</v>
      </c>
      <c r="AM167" s="26">
        <v>45362</v>
      </c>
      <c r="AN167" s="13" t="s">
        <v>781</v>
      </c>
      <c r="AO167" s="13">
        <v>1263</v>
      </c>
      <c r="AP167" s="13">
        <v>1269</v>
      </c>
      <c r="AQ167" s="13">
        <v>1170.699951171875</v>
      </c>
      <c r="AR167" s="13">
        <v>1178.949951171875</v>
      </c>
      <c r="AS167" s="13">
        <v>5748804</v>
      </c>
      <c r="AT167" s="13">
        <v>1189.8499999999999</v>
      </c>
      <c r="AU167" s="13">
        <v>1270.1245006651482</v>
      </c>
      <c r="AV167" s="13">
        <v>1109.5754993348517</v>
      </c>
    </row>
    <row r="168" spans="1:49" x14ac:dyDescent="0.3">
      <c r="A168" s="26">
        <v>45352</v>
      </c>
      <c r="B168" s="13" t="s">
        <v>782</v>
      </c>
      <c r="C168" s="13">
        <v>958.95001220703125</v>
      </c>
      <c r="D168" s="13">
        <v>1065.5999755859375</v>
      </c>
      <c r="E168" s="13">
        <v>956.70001220703125</v>
      </c>
      <c r="F168" s="13">
        <v>973.20001220703125</v>
      </c>
      <c r="G168" s="13">
        <v>140456991</v>
      </c>
      <c r="H168" s="13">
        <v>839.0049987792969</v>
      </c>
      <c r="I168" s="13">
        <v>1080.9945249044931</v>
      </c>
      <c r="J168" s="13">
        <v>597.01547265410068</v>
      </c>
      <c r="M168" s="26">
        <v>45362</v>
      </c>
      <c r="N168" s="13" t="s">
        <v>782</v>
      </c>
      <c r="O168" s="13">
        <v>1034.75</v>
      </c>
      <c r="P168" s="13">
        <v>1037</v>
      </c>
      <c r="Q168" s="13">
        <v>963.54998779296875</v>
      </c>
      <c r="R168" s="13">
        <v>973.20001220703125</v>
      </c>
      <c r="S168" s="13">
        <v>32824189</v>
      </c>
      <c r="T168" s="13">
        <v>965.76999511718748</v>
      </c>
      <c r="U168" s="13">
        <v>1045.2205793096045</v>
      </c>
      <c r="V168" s="13">
        <v>886.3194109247703</v>
      </c>
      <c r="AA168" s="26">
        <v>45352</v>
      </c>
      <c r="AB168" s="13" t="s">
        <v>782</v>
      </c>
      <c r="AC168" s="13">
        <v>958.95001220703125</v>
      </c>
      <c r="AD168" s="13">
        <v>1065.5999755859375</v>
      </c>
      <c r="AE168" s="13">
        <v>956.70001220703125</v>
      </c>
      <c r="AF168" s="13">
        <v>973.20001220703125</v>
      </c>
      <c r="AG168" s="13">
        <v>140456991</v>
      </c>
      <c r="AH168" s="13">
        <v>858.79001464843748</v>
      </c>
      <c r="AI168" s="13">
        <v>1061.8260868711657</v>
      </c>
      <c r="AJ168" s="13">
        <v>655.75394242570917</v>
      </c>
      <c r="AM168" s="26">
        <v>45362</v>
      </c>
      <c r="AN168" s="13" t="s">
        <v>782</v>
      </c>
      <c r="AO168" s="13">
        <v>1034.75</v>
      </c>
      <c r="AP168" s="13">
        <v>1037</v>
      </c>
      <c r="AQ168" s="13">
        <v>963.54998779296875</v>
      </c>
      <c r="AR168" s="13">
        <v>973.20001220703125</v>
      </c>
      <c r="AS168" s="13">
        <v>32824189</v>
      </c>
      <c r="AT168" s="13">
        <v>973.18001708984377</v>
      </c>
      <c r="AU168" s="13">
        <v>1047.2915795075035</v>
      </c>
      <c r="AV168" s="13">
        <v>899.06845467218409</v>
      </c>
    </row>
    <row r="169" spans="1:49" x14ac:dyDescent="0.3">
      <c r="A169" s="26">
        <v>45352</v>
      </c>
      <c r="B169" s="13" t="s">
        <v>783</v>
      </c>
      <c r="C169" s="13">
        <v>375.54998779296875</v>
      </c>
      <c r="D169" s="13">
        <v>433.29998779296875</v>
      </c>
      <c r="E169" s="13">
        <v>367.75</v>
      </c>
      <c r="F169" s="13">
        <v>371.95001220703125</v>
      </c>
      <c r="G169" s="13">
        <v>269254085</v>
      </c>
      <c r="H169" s="13">
        <v>340.83999786376955</v>
      </c>
      <c r="I169" s="13">
        <v>446.42001203111693</v>
      </c>
      <c r="J169" s="13">
        <v>235.25998369642218</v>
      </c>
      <c r="M169" s="26">
        <v>45362</v>
      </c>
      <c r="N169" s="13" t="s">
        <v>783</v>
      </c>
      <c r="O169" s="13">
        <v>414</v>
      </c>
      <c r="P169" s="13">
        <v>421.5</v>
      </c>
      <c r="Q169" s="13">
        <v>367.75</v>
      </c>
      <c r="R169" s="13">
        <v>371.95001220703125</v>
      </c>
      <c r="S169" s="13">
        <v>102112103</v>
      </c>
      <c r="T169" s="13">
        <v>384.29999694824221</v>
      </c>
      <c r="U169" s="13">
        <v>412.53076461478042</v>
      </c>
      <c r="V169" s="13">
        <v>356.069229281704</v>
      </c>
      <c r="W169" s="13" t="s">
        <v>404</v>
      </c>
      <c r="AA169" s="26">
        <v>45352</v>
      </c>
      <c r="AB169" s="13" t="s">
        <v>783</v>
      </c>
      <c r="AC169" s="13">
        <v>375.54998779296875</v>
      </c>
      <c r="AD169" s="13">
        <v>433.29998779296875</v>
      </c>
      <c r="AE169" s="13">
        <v>367.75</v>
      </c>
      <c r="AF169" s="13">
        <v>371.95001220703125</v>
      </c>
      <c r="AG169" s="13">
        <v>269254085</v>
      </c>
      <c r="AH169" s="13">
        <v>346.7</v>
      </c>
      <c r="AI169" s="13">
        <v>434.05908312697272</v>
      </c>
      <c r="AJ169" s="13">
        <v>259.34091687302725</v>
      </c>
      <c r="AM169" s="26">
        <v>45362</v>
      </c>
      <c r="AN169" s="13" t="s">
        <v>783</v>
      </c>
      <c r="AO169" s="13">
        <v>414</v>
      </c>
      <c r="AP169" s="13">
        <v>421.5</v>
      </c>
      <c r="AQ169" s="13">
        <v>367.75</v>
      </c>
      <c r="AR169" s="13">
        <v>371.95001220703125</v>
      </c>
      <c r="AS169" s="13">
        <v>102112103</v>
      </c>
      <c r="AT169" s="13">
        <v>385.85999755859376</v>
      </c>
      <c r="AU169" s="13">
        <v>425.49510409948863</v>
      </c>
      <c r="AV169" s="13">
        <v>346.22489101769889</v>
      </c>
    </row>
    <row r="170" spans="1:49" x14ac:dyDescent="0.3">
      <c r="A170" s="26">
        <v>45352</v>
      </c>
      <c r="B170" s="13" t="s">
        <v>784</v>
      </c>
      <c r="C170" s="13">
        <v>143</v>
      </c>
      <c r="D170" s="13">
        <v>159.14999389648438</v>
      </c>
      <c r="E170" s="13">
        <v>142.5</v>
      </c>
      <c r="F170" s="13">
        <v>143.64999389648438</v>
      </c>
      <c r="G170" s="13">
        <v>565107738</v>
      </c>
      <c r="H170" s="13">
        <v>136.48499908447266</v>
      </c>
      <c r="I170" s="13">
        <v>155.43916716476525</v>
      </c>
      <c r="J170" s="13">
        <v>117.53083100418007</v>
      </c>
      <c r="M170" s="26">
        <v>45362</v>
      </c>
      <c r="N170" s="13" t="s">
        <v>784</v>
      </c>
      <c r="O170" s="13">
        <v>158.89999389648438</v>
      </c>
      <c r="P170" s="13">
        <v>158.89999389648438</v>
      </c>
      <c r="Q170" s="13">
        <v>142.5</v>
      </c>
      <c r="R170" s="13">
        <v>143.64999389648438</v>
      </c>
      <c r="S170" s="13">
        <v>160024377</v>
      </c>
      <c r="T170" s="13">
        <v>146.31999816894532</v>
      </c>
      <c r="U170" s="13">
        <v>156.79798854750166</v>
      </c>
      <c r="V170" s="13">
        <v>135.84200779038898</v>
      </c>
      <c r="W170" s="13" t="s">
        <v>404</v>
      </c>
      <c r="AA170" s="26">
        <v>45352</v>
      </c>
      <c r="AB170" s="13" t="s">
        <v>784</v>
      </c>
      <c r="AC170" s="13">
        <v>143</v>
      </c>
      <c r="AD170" s="13">
        <v>159.14999389648438</v>
      </c>
      <c r="AE170" s="13">
        <v>142.5</v>
      </c>
      <c r="AF170" s="13">
        <v>143.64999389648438</v>
      </c>
      <c r="AG170" s="13">
        <v>565107738</v>
      </c>
      <c r="AH170" s="13">
        <v>137.59000091552736</v>
      </c>
      <c r="AI170" s="13">
        <v>148.47033071916096</v>
      </c>
      <c r="AJ170" s="13">
        <v>126.70967111189375</v>
      </c>
      <c r="AM170" s="26">
        <v>45362</v>
      </c>
      <c r="AN170" s="13" t="s">
        <v>784</v>
      </c>
      <c r="AO170" s="13">
        <v>158.89999389648438</v>
      </c>
      <c r="AP170" s="13">
        <v>158.89999389648438</v>
      </c>
      <c r="AQ170" s="13">
        <v>142.5</v>
      </c>
      <c r="AR170" s="13">
        <v>143.64999389648438</v>
      </c>
      <c r="AS170" s="13">
        <v>160024377</v>
      </c>
      <c r="AT170" s="13">
        <v>147.71999816894532</v>
      </c>
      <c r="AU170" s="13">
        <v>158.56022019050008</v>
      </c>
      <c r="AV170" s="13">
        <v>136.87977614739057</v>
      </c>
      <c r="AW170" s="13" t="s">
        <v>404</v>
      </c>
    </row>
    <row r="171" spans="1:49" x14ac:dyDescent="0.3">
      <c r="A171" s="26">
        <v>45352</v>
      </c>
      <c r="B171" s="13" t="s">
        <v>785</v>
      </c>
      <c r="C171" s="13">
        <v>4107.2001953125</v>
      </c>
      <c r="D171" s="13">
        <v>4241</v>
      </c>
      <c r="E171" s="13">
        <v>3958.449951171875</v>
      </c>
      <c r="F171" s="13">
        <v>4149</v>
      </c>
      <c r="G171" s="13">
        <v>19477549</v>
      </c>
      <c r="H171" s="13">
        <v>3807.9300048828127</v>
      </c>
      <c r="I171" s="13">
        <v>4276.5557633098642</v>
      </c>
      <c r="J171" s="13">
        <v>3339.3042464557611</v>
      </c>
      <c r="M171" s="26">
        <v>45362</v>
      </c>
      <c r="N171" s="13" t="s">
        <v>785</v>
      </c>
      <c r="O171" s="13">
        <v>4089</v>
      </c>
      <c r="P171" s="13">
        <v>4241</v>
      </c>
      <c r="Q171" s="13">
        <v>4089</v>
      </c>
      <c r="R171" s="13">
        <v>4149</v>
      </c>
      <c r="S171" s="13">
        <v>9181045</v>
      </c>
      <c r="T171" s="13">
        <v>4087.0599853515623</v>
      </c>
      <c r="U171" s="13">
        <v>4178.0961529721335</v>
      </c>
      <c r="V171" s="13">
        <v>3996.0238177309916</v>
      </c>
      <c r="AA171" s="26">
        <v>45352</v>
      </c>
      <c r="AB171" s="13" t="s">
        <v>785</v>
      </c>
      <c r="AC171" s="13">
        <v>4107.2001953125</v>
      </c>
      <c r="AD171" s="13">
        <v>4241</v>
      </c>
      <c r="AE171" s="13">
        <v>3958.449951171875</v>
      </c>
      <c r="AF171" s="13">
        <v>4149</v>
      </c>
      <c r="AG171" s="13">
        <v>19477549</v>
      </c>
      <c r="AH171" s="13">
        <v>3868.2100097656248</v>
      </c>
      <c r="AI171" s="13">
        <v>4344.4567539572772</v>
      </c>
      <c r="AJ171" s="13">
        <v>3391.963265573972</v>
      </c>
      <c r="AM171" s="26">
        <v>45362</v>
      </c>
      <c r="AN171" s="13" t="s">
        <v>785</v>
      </c>
      <c r="AO171" s="13">
        <v>4089</v>
      </c>
      <c r="AP171" s="13">
        <v>4241</v>
      </c>
      <c r="AQ171" s="13">
        <v>4089</v>
      </c>
      <c r="AR171" s="13">
        <v>4149</v>
      </c>
      <c r="AS171" s="13">
        <v>9181045</v>
      </c>
      <c r="AT171" s="13">
        <v>4106.4700195312498</v>
      </c>
      <c r="AU171" s="13">
        <v>4172.1532405387998</v>
      </c>
      <c r="AV171" s="13">
        <v>4040.7867985237003</v>
      </c>
    </row>
    <row r="172" spans="1:49" x14ac:dyDescent="0.3">
      <c r="A172" s="26">
        <v>45352</v>
      </c>
      <c r="B172" s="13" t="s">
        <v>786</v>
      </c>
      <c r="C172" s="13">
        <v>1287</v>
      </c>
      <c r="D172" s="13">
        <v>1307.6500244140625</v>
      </c>
      <c r="E172" s="13">
        <v>1250.0999755859375</v>
      </c>
      <c r="F172" s="13">
        <v>1277.199951171875</v>
      </c>
      <c r="G172" s="13">
        <v>14504371</v>
      </c>
      <c r="H172" s="13">
        <v>1270.0600219726562</v>
      </c>
      <c r="I172" s="13">
        <v>1374.1533264650104</v>
      </c>
      <c r="J172" s="13">
        <v>1165.9667174803019</v>
      </c>
      <c r="M172" s="26">
        <v>45362</v>
      </c>
      <c r="N172" s="13" t="s">
        <v>786</v>
      </c>
      <c r="O172" s="13">
        <v>1288.1500244140625</v>
      </c>
      <c r="P172" s="13">
        <v>1307.6500244140625</v>
      </c>
      <c r="Q172" s="13">
        <v>1266.300048828125</v>
      </c>
      <c r="R172" s="13">
        <v>1277.199951171875</v>
      </c>
      <c r="S172" s="13">
        <v>5542086</v>
      </c>
      <c r="T172" s="13">
        <v>1295.3750122070312</v>
      </c>
      <c r="U172" s="13">
        <v>1326.3564938231048</v>
      </c>
      <c r="V172" s="13">
        <v>1264.3935305909577</v>
      </c>
      <c r="AA172" s="26">
        <v>45352</v>
      </c>
      <c r="AB172" s="13" t="s">
        <v>786</v>
      </c>
      <c r="AC172" s="13">
        <v>1287</v>
      </c>
      <c r="AD172" s="13">
        <v>1307.6500244140625</v>
      </c>
      <c r="AE172" s="13">
        <v>1250.0999755859375</v>
      </c>
      <c r="AF172" s="13">
        <v>1277.199951171875</v>
      </c>
      <c r="AG172" s="13">
        <v>14504371</v>
      </c>
      <c r="AH172" s="13">
        <v>1275.6599853515625</v>
      </c>
      <c r="AI172" s="13">
        <v>1347.0504046826604</v>
      </c>
      <c r="AJ172" s="13">
        <v>1204.2695660204645</v>
      </c>
      <c r="AM172" s="26">
        <v>45362</v>
      </c>
      <c r="AN172" s="13" t="s">
        <v>786</v>
      </c>
      <c r="AO172" s="13">
        <v>1288.1500244140625</v>
      </c>
      <c r="AP172" s="13">
        <v>1307.6500244140625</v>
      </c>
      <c r="AQ172" s="13">
        <v>1266.300048828125</v>
      </c>
      <c r="AR172" s="13">
        <v>1277.199951171875</v>
      </c>
      <c r="AS172" s="13">
        <v>5542086</v>
      </c>
      <c r="AT172" s="13">
        <v>1292.3900146484375</v>
      </c>
      <c r="AU172" s="13">
        <v>1328.914058869407</v>
      </c>
      <c r="AV172" s="13">
        <v>1255.865970427468</v>
      </c>
    </row>
    <row r="173" spans="1:49" x14ac:dyDescent="0.3">
      <c r="A173" s="26">
        <v>45352</v>
      </c>
      <c r="B173" s="13" t="s">
        <v>787</v>
      </c>
      <c r="C173" s="13">
        <v>3630</v>
      </c>
      <c r="D173" s="13">
        <v>3824.25</v>
      </c>
      <c r="E173" s="13">
        <v>3590</v>
      </c>
      <c r="F173" s="13">
        <v>3625.699951171875</v>
      </c>
      <c r="G173" s="13">
        <v>6849141</v>
      </c>
      <c r="H173" s="13">
        <v>3606.0050048828125</v>
      </c>
      <c r="I173" s="13">
        <v>3902.0120148729202</v>
      </c>
      <c r="J173" s="13">
        <v>3309.9979948927048</v>
      </c>
      <c r="M173" s="26">
        <v>45362</v>
      </c>
      <c r="N173" s="13" t="s">
        <v>787</v>
      </c>
      <c r="O173" s="13">
        <v>3802.89990234375</v>
      </c>
      <c r="P173" s="13">
        <v>3808</v>
      </c>
      <c r="Q173" s="13">
        <v>3590</v>
      </c>
      <c r="R173" s="13">
        <v>3625.699951171875</v>
      </c>
      <c r="S173" s="13">
        <v>2190096</v>
      </c>
      <c r="T173" s="13">
        <v>3676.6750000000002</v>
      </c>
      <c r="U173" s="13">
        <v>3787.5581636959182</v>
      </c>
      <c r="V173" s="13">
        <v>3565.7918363040822</v>
      </c>
      <c r="W173" s="13" t="s">
        <v>404</v>
      </c>
      <c r="AA173" s="26">
        <v>45352</v>
      </c>
      <c r="AB173" s="13" t="s">
        <v>787</v>
      </c>
      <c r="AC173" s="13">
        <v>3630</v>
      </c>
      <c r="AD173" s="13">
        <v>3824.25</v>
      </c>
      <c r="AE173" s="13">
        <v>3590</v>
      </c>
      <c r="AF173" s="13">
        <v>3625.699951171875</v>
      </c>
      <c r="AG173" s="13">
        <v>6849141</v>
      </c>
      <c r="AH173" s="13">
        <v>3622.739990234375</v>
      </c>
      <c r="AI173" s="13">
        <v>3766.5380506840311</v>
      </c>
      <c r="AJ173" s="13">
        <v>3478.9419297847189</v>
      </c>
      <c r="AM173" s="26">
        <v>45362</v>
      </c>
      <c r="AN173" s="13" t="s">
        <v>787</v>
      </c>
      <c r="AO173" s="13">
        <v>3802.89990234375</v>
      </c>
      <c r="AP173" s="13">
        <v>3808</v>
      </c>
      <c r="AQ173" s="13">
        <v>3590</v>
      </c>
      <c r="AR173" s="13">
        <v>3625.699951171875</v>
      </c>
      <c r="AS173" s="13">
        <v>2190096</v>
      </c>
      <c r="AT173" s="13">
        <v>3705.169921875</v>
      </c>
      <c r="AU173" s="13">
        <v>3829.5410405424623</v>
      </c>
      <c r="AV173" s="13">
        <v>3580.7988032075377</v>
      </c>
    </row>
    <row r="174" spans="1:49" x14ac:dyDescent="0.3">
      <c r="A174" s="26">
        <v>45352</v>
      </c>
      <c r="B174" s="13" t="s">
        <v>788</v>
      </c>
      <c r="C174" s="13">
        <v>2686.10009765625</v>
      </c>
      <c r="D174" s="13">
        <v>2744</v>
      </c>
      <c r="E174" s="13">
        <v>2638.949951171875</v>
      </c>
      <c r="F174" s="13">
        <v>2663.949951171875</v>
      </c>
      <c r="G174" s="13">
        <v>2752452</v>
      </c>
      <c r="H174" s="13">
        <v>2379.8299682617189</v>
      </c>
      <c r="I174" s="13">
        <v>2878.5701325384648</v>
      </c>
      <c r="J174" s="13">
        <v>1881.0898039849731</v>
      </c>
      <c r="M174" s="26">
        <v>45362</v>
      </c>
      <c r="N174" s="13" t="s">
        <v>788</v>
      </c>
      <c r="O174" s="13">
        <v>2691.35009765625</v>
      </c>
      <c r="P174" s="13">
        <v>2744</v>
      </c>
      <c r="Q174" s="13">
        <v>2638.949951171875</v>
      </c>
      <c r="R174" s="13">
        <v>2663.949951171875</v>
      </c>
      <c r="S174" s="13">
        <v>925270</v>
      </c>
      <c r="T174" s="13">
        <v>2654.5149902343751</v>
      </c>
      <c r="U174" s="13">
        <v>2722.2679572373149</v>
      </c>
      <c r="V174" s="13">
        <v>2586.7620232314353</v>
      </c>
      <c r="AA174" s="26">
        <v>45352</v>
      </c>
      <c r="AB174" s="13" t="s">
        <v>788</v>
      </c>
      <c r="AC174" s="13">
        <v>2686.10009765625</v>
      </c>
      <c r="AD174" s="13">
        <v>2744</v>
      </c>
      <c r="AE174" s="13">
        <v>2638.949951171875</v>
      </c>
      <c r="AF174" s="13">
        <v>2663.949951171875</v>
      </c>
      <c r="AG174" s="13">
        <v>2752452</v>
      </c>
      <c r="AH174" s="13">
        <v>2458.6500488281249</v>
      </c>
      <c r="AI174" s="13">
        <v>2882.123875397222</v>
      </c>
      <c r="AJ174" s="13">
        <v>2035.1762222590278</v>
      </c>
      <c r="AM174" s="26">
        <v>45362</v>
      </c>
      <c r="AN174" s="13" t="s">
        <v>788</v>
      </c>
      <c r="AO174" s="13">
        <v>2691.35009765625</v>
      </c>
      <c r="AP174" s="13">
        <v>2744</v>
      </c>
      <c r="AQ174" s="13">
        <v>2638.949951171875</v>
      </c>
      <c r="AR174" s="13">
        <v>2663.949951171875</v>
      </c>
      <c r="AS174" s="13">
        <v>925270</v>
      </c>
      <c r="AT174" s="13">
        <v>2652.7599609375002</v>
      </c>
      <c r="AU174" s="13">
        <v>2685.8172784308035</v>
      </c>
      <c r="AV174" s="13">
        <v>2619.7026434441968</v>
      </c>
      <c r="AW174" s="13" t="s">
        <v>404</v>
      </c>
    </row>
    <row r="175" spans="1:49" x14ac:dyDescent="0.3">
      <c r="A175" s="26">
        <v>45352</v>
      </c>
      <c r="B175" s="13" t="s">
        <v>789</v>
      </c>
      <c r="C175" s="13">
        <v>3924</v>
      </c>
      <c r="D175" s="13">
        <v>4243.9501953125</v>
      </c>
      <c r="E175" s="13">
        <v>3750.25</v>
      </c>
      <c r="F175" s="13">
        <v>3944.050048828125</v>
      </c>
      <c r="G175" s="13">
        <v>8801089</v>
      </c>
      <c r="H175" s="13">
        <v>3205.6199951171875</v>
      </c>
      <c r="I175" s="13">
        <v>4246.6571525522922</v>
      </c>
      <c r="J175" s="13">
        <v>2164.5828376820832</v>
      </c>
      <c r="M175" s="26">
        <v>45362</v>
      </c>
      <c r="N175" s="13" t="s">
        <v>789</v>
      </c>
      <c r="O175" s="13">
        <v>3982</v>
      </c>
      <c r="P175" s="13">
        <v>4243.9501953125</v>
      </c>
      <c r="Q175" s="13">
        <v>3877.5</v>
      </c>
      <c r="R175" s="13">
        <v>3944.050048828125</v>
      </c>
      <c r="S175" s="13">
        <v>5625188</v>
      </c>
      <c r="T175" s="13">
        <v>3929.260009765625</v>
      </c>
      <c r="U175" s="13">
        <v>4079.3929210619835</v>
      </c>
      <c r="V175" s="13">
        <v>3779.1270984692665</v>
      </c>
      <c r="AA175" s="26">
        <v>45352</v>
      </c>
      <c r="AB175" s="13" t="s">
        <v>789</v>
      </c>
      <c r="AC175" s="13">
        <v>3924</v>
      </c>
      <c r="AD175" s="13">
        <v>4243.9501953125</v>
      </c>
      <c r="AE175" s="13">
        <v>3750.25</v>
      </c>
      <c r="AF175" s="13">
        <v>3944.050048828125</v>
      </c>
      <c r="AG175" s="13">
        <v>8801089</v>
      </c>
      <c r="AH175" s="13">
        <v>3350.95</v>
      </c>
      <c r="AI175" s="13">
        <v>4292.8294400339146</v>
      </c>
      <c r="AJ175" s="13">
        <v>2409.0705599660846</v>
      </c>
      <c r="AM175" s="26">
        <v>45362</v>
      </c>
      <c r="AN175" s="13" t="s">
        <v>789</v>
      </c>
      <c r="AO175" s="13">
        <v>3982</v>
      </c>
      <c r="AP175" s="13">
        <v>4243.9501953125</v>
      </c>
      <c r="AQ175" s="13">
        <v>3877.5</v>
      </c>
      <c r="AR175" s="13">
        <v>3944.050048828125</v>
      </c>
      <c r="AS175" s="13">
        <v>5625188</v>
      </c>
      <c r="AT175" s="13">
        <v>3941.5800292968752</v>
      </c>
      <c r="AU175" s="13">
        <v>4038.5300492935394</v>
      </c>
      <c r="AV175" s="13">
        <v>3844.630009300211</v>
      </c>
    </row>
    <row r="176" spans="1:49" x14ac:dyDescent="0.3">
      <c r="A176" s="26">
        <v>45352</v>
      </c>
      <c r="B176" s="13" t="s">
        <v>790</v>
      </c>
      <c r="C176" s="13">
        <v>2139.949951171875</v>
      </c>
      <c r="D176" s="13">
        <v>2313.449951171875</v>
      </c>
      <c r="E176" s="13">
        <v>2121.64990234375</v>
      </c>
      <c r="F176" s="13">
        <v>2146.25</v>
      </c>
      <c r="G176" s="13">
        <v>7689143</v>
      </c>
      <c r="H176" s="13">
        <v>2001.67998046875</v>
      </c>
      <c r="I176" s="13">
        <v>2325.631561125133</v>
      </c>
      <c r="J176" s="13">
        <v>1677.7283998123673</v>
      </c>
      <c r="M176" s="26">
        <v>45362</v>
      </c>
      <c r="N176" s="13" t="s">
        <v>790</v>
      </c>
      <c r="O176" s="13">
        <v>2276</v>
      </c>
      <c r="P176" s="13">
        <v>2304.35009765625</v>
      </c>
      <c r="Q176" s="13">
        <v>2125.75</v>
      </c>
      <c r="R176" s="13">
        <v>2146.25</v>
      </c>
      <c r="S176" s="13">
        <v>2186046</v>
      </c>
      <c r="T176" s="13">
        <v>2175.2950195312501</v>
      </c>
      <c r="U176" s="13">
        <v>2296.9473761765157</v>
      </c>
      <c r="V176" s="13">
        <v>2053.6426628859845</v>
      </c>
      <c r="AA176" s="26">
        <v>45352</v>
      </c>
      <c r="AB176" s="13" t="s">
        <v>790</v>
      </c>
      <c r="AC176" s="13">
        <v>2139.949951171875</v>
      </c>
      <c r="AD176" s="13">
        <v>2313.449951171875</v>
      </c>
      <c r="AE176" s="13">
        <v>2121.64990234375</v>
      </c>
      <c r="AF176" s="13">
        <v>2146.25</v>
      </c>
      <c r="AG176" s="13">
        <v>7689143</v>
      </c>
      <c r="AH176" s="13">
        <v>2035.4199951171875</v>
      </c>
      <c r="AI176" s="13">
        <v>2242.3412817734629</v>
      </c>
      <c r="AJ176" s="13">
        <v>1828.498708460912</v>
      </c>
      <c r="AM176" s="26">
        <v>45362</v>
      </c>
      <c r="AN176" s="13" t="s">
        <v>790</v>
      </c>
      <c r="AO176" s="13">
        <v>2276</v>
      </c>
      <c r="AP176" s="13">
        <v>2304.35009765625</v>
      </c>
      <c r="AQ176" s="13">
        <v>2125.75</v>
      </c>
      <c r="AR176" s="13">
        <v>2146.25</v>
      </c>
      <c r="AS176" s="13">
        <v>2186046</v>
      </c>
      <c r="AT176" s="13">
        <v>2180.65</v>
      </c>
      <c r="AU176" s="13">
        <v>2297.9931743162133</v>
      </c>
      <c r="AV176" s="13">
        <v>2063.3068256837869</v>
      </c>
    </row>
    <row r="177" spans="1:48" x14ac:dyDescent="0.3">
      <c r="A177" s="26">
        <v>45352</v>
      </c>
      <c r="B177" s="13" t="s">
        <v>791</v>
      </c>
      <c r="C177" s="13">
        <v>1697.1500244140625</v>
      </c>
      <c r="D177" s="13">
        <v>1750</v>
      </c>
      <c r="E177" s="13">
        <v>1673.9000244140625</v>
      </c>
      <c r="F177" s="13">
        <v>1687.8499755859375</v>
      </c>
      <c r="G177" s="13">
        <v>1748119</v>
      </c>
      <c r="H177" s="13">
        <v>1725.4000122070313</v>
      </c>
      <c r="I177" s="13">
        <v>1877.8529253541778</v>
      </c>
      <c r="J177" s="13">
        <v>1572.9470990598847</v>
      </c>
      <c r="M177" s="26">
        <v>45362</v>
      </c>
      <c r="N177" s="13" t="s">
        <v>791</v>
      </c>
      <c r="O177" s="13">
        <v>1715.300048828125</v>
      </c>
      <c r="P177" s="13">
        <v>1750</v>
      </c>
      <c r="Q177" s="13">
        <v>1678.4000244140625</v>
      </c>
      <c r="R177" s="13">
        <v>1687.8499755859375</v>
      </c>
      <c r="S177" s="13">
        <v>1208356</v>
      </c>
      <c r="T177" s="13">
        <v>1716.5050048828125</v>
      </c>
      <c r="U177" s="13">
        <v>1760.441708460681</v>
      </c>
      <c r="V177" s="13">
        <v>1672.568301304944</v>
      </c>
      <c r="AA177" s="26">
        <v>45352</v>
      </c>
      <c r="AB177" s="13" t="s">
        <v>791</v>
      </c>
      <c r="AC177" s="13">
        <v>1697.1500244140625</v>
      </c>
      <c r="AD177" s="13">
        <v>1750</v>
      </c>
      <c r="AE177" s="13">
        <v>1673.9000244140625</v>
      </c>
      <c r="AF177" s="13">
        <v>1687.8499755859375</v>
      </c>
      <c r="AG177" s="13">
        <v>1748119</v>
      </c>
      <c r="AH177" s="13">
        <v>1725.0199951171876</v>
      </c>
      <c r="AI177" s="13">
        <v>1847.6310183490891</v>
      </c>
      <c r="AJ177" s="13">
        <v>1602.4089718852861</v>
      </c>
      <c r="AM177" s="26">
        <v>45362</v>
      </c>
      <c r="AN177" s="13" t="s">
        <v>791</v>
      </c>
      <c r="AO177" s="13">
        <v>1715.300048828125</v>
      </c>
      <c r="AP177" s="13">
        <v>1750</v>
      </c>
      <c r="AQ177" s="13">
        <v>1678.4000244140625</v>
      </c>
      <c r="AR177" s="13">
        <v>1687.8499755859375</v>
      </c>
      <c r="AS177" s="13">
        <v>1208356</v>
      </c>
      <c r="AT177" s="13">
        <v>1706.9800048828124</v>
      </c>
      <c r="AU177" s="13">
        <v>1738.9409261872308</v>
      </c>
      <c r="AV177" s="13">
        <v>1675.019083578394</v>
      </c>
    </row>
    <row r="178" spans="1:48" x14ac:dyDescent="0.3">
      <c r="A178" s="26">
        <v>45352</v>
      </c>
      <c r="B178" s="13" t="s">
        <v>792</v>
      </c>
      <c r="C178" s="13">
        <v>9900</v>
      </c>
      <c r="D178" s="13">
        <v>10183.849609375</v>
      </c>
      <c r="E178" s="13">
        <v>9500</v>
      </c>
      <c r="F178" s="13">
        <v>9593.5498046875</v>
      </c>
      <c r="G178" s="13">
        <v>2975396</v>
      </c>
      <c r="H178" s="13">
        <v>9680.9200195312496</v>
      </c>
      <c r="I178" s="13">
        <v>10699.637248667928</v>
      </c>
      <c r="J178" s="13">
        <v>8662.2027903945709</v>
      </c>
      <c r="M178" s="26">
        <v>45362</v>
      </c>
      <c r="N178" s="13" t="s">
        <v>792</v>
      </c>
      <c r="O178" s="13">
        <v>9694.0498046875</v>
      </c>
      <c r="P178" s="13">
        <v>9824.599609375</v>
      </c>
      <c r="Q178" s="13">
        <v>9500</v>
      </c>
      <c r="R178" s="13">
        <v>9593.5498046875</v>
      </c>
      <c r="S178" s="13">
        <v>970610</v>
      </c>
      <c r="T178" s="13">
        <v>9855.0799804687504</v>
      </c>
      <c r="U178" s="13">
        <v>10066.740444933081</v>
      </c>
      <c r="V178" s="13">
        <v>9643.4195160044201</v>
      </c>
      <c r="AA178" s="26">
        <v>45352</v>
      </c>
      <c r="AB178" s="13" t="s">
        <v>792</v>
      </c>
      <c r="AC178" s="13">
        <v>9900</v>
      </c>
      <c r="AD178" s="13">
        <v>10183.849609375</v>
      </c>
      <c r="AE178" s="13">
        <v>9500</v>
      </c>
      <c r="AF178" s="13">
        <v>9593.5498046875</v>
      </c>
      <c r="AG178" s="13">
        <v>2975396</v>
      </c>
      <c r="AH178" s="13">
        <v>9832</v>
      </c>
      <c r="AI178" s="13">
        <v>10855.498697239242</v>
      </c>
      <c r="AJ178" s="13">
        <v>8808.5013027607583</v>
      </c>
      <c r="AM178" s="26">
        <v>45362</v>
      </c>
      <c r="AN178" s="13" t="s">
        <v>792</v>
      </c>
      <c r="AO178" s="13">
        <v>9694.0498046875</v>
      </c>
      <c r="AP178" s="13">
        <v>9824.599609375</v>
      </c>
      <c r="AQ178" s="13">
        <v>9500</v>
      </c>
      <c r="AR178" s="13">
        <v>9593.5498046875</v>
      </c>
      <c r="AS178" s="13">
        <v>970610</v>
      </c>
      <c r="AT178" s="13">
        <v>9863.8601562500007</v>
      </c>
      <c r="AU178" s="13">
        <v>10268.577945437213</v>
      </c>
      <c r="AV178" s="13">
        <v>9459.1423670627883</v>
      </c>
    </row>
    <row r="179" spans="1:48" x14ac:dyDescent="0.3">
      <c r="A179" s="26">
        <v>45352</v>
      </c>
      <c r="B179" s="13" t="s">
        <v>793</v>
      </c>
      <c r="C179" s="13">
        <v>474</v>
      </c>
      <c r="D179" s="13">
        <v>491.04998779296875</v>
      </c>
      <c r="E179" s="13">
        <v>450.04998779296875</v>
      </c>
      <c r="F179" s="13">
        <v>451.89999389648438</v>
      </c>
      <c r="G179" s="13">
        <v>28879777</v>
      </c>
      <c r="H179" s="13">
        <v>535.41499938964841</v>
      </c>
      <c r="I179" s="13">
        <v>625.25912738600198</v>
      </c>
      <c r="J179" s="13">
        <v>445.57087139329485</v>
      </c>
      <c r="M179" s="26">
        <v>45362</v>
      </c>
      <c r="N179" s="13" t="s">
        <v>793</v>
      </c>
      <c r="O179" s="13">
        <v>485.10000610351563</v>
      </c>
      <c r="P179" s="13">
        <v>488</v>
      </c>
      <c r="Q179" s="13">
        <v>450.04998779296875</v>
      </c>
      <c r="R179" s="13">
        <v>451.89999389648438</v>
      </c>
      <c r="S179" s="13">
        <v>9365545</v>
      </c>
      <c r="T179" s="13">
        <v>478.93499755859375</v>
      </c>
      <c r="U179" s="13">
        <v>496.45928570460637</v>
      </c>
      <c r="V179" s="13">
        <v>461.41070941258113</v>
      </c>
      <c r="AA179" s="26">
        <v>45352</v>
      </c>
      <c r="AB179" s="13" t="s">
        <v>793</v>
      </c>
      <c r="AC179" s="13">
        <v>474</v>
      </c>
      <c r="AD179" s="13">
        <v>491.04998779296875</v>
      </c>
      <c r="AE179" s="13">
        <v>450.04998779296875</v>
      </c>
      <c r="AF179" s="13">
        <v>451.89999389648438</v>
      </c>
      <c r="AG179" s="13">
        <v>28879777</v>
      </c>
      <c r="AH179" s="13">
        <v>523.44000854492185</v>
      </c>
      <c r="AI179" s="13">
        <v>631.1797290368562</v>
      </c>
      <c r="AJ179" s="13">
        <v>415.7002880529875</v>
      </c>
      <c r="AM179" s="26">
        <v>45362</v>
      </c>
      <c r="AN179" s="13" t="s">
        <v>793</v>
      </c>
      <c r="AO179" s="13">
        <v>485.10000610351563</v>
      </c>
      <c r="AP179" s="13">
        <v>488</v>
      </c>
      <c r="AQ179" s="13">
        <v>450.04998779296875</v>
      </c>
      <c r="AR179" s="13">
        <v>451.89999389648438</v>
      </c>
      <c r="AS179" s="13">
        <v>9365545</v>
      </c>
      <c r="AT179" s="13">
        <v>477.66999511718751</v>
      </c>
      <c r="AU179" s="13">
        <v>505.84031120342956</v>
      </c>
      <c r="AV179" s="13">
        <v>449.49967903094546</v>
      </c>
    </row>
    <row r="180" spans="1:48" x14ac:dyDescent="0.3">
      <c r="A180" s="26">
        <v>45352</v>
      </c>
      <c r="B180" s="13" t="s">
        <v>794</v>
      </c>
      <c r="C180" s="13">
        <v>265.10000610351563</v>
      </c>
      <c r="D180" s="13">
        <v>289.25</v>
      </c>
      <c r="E180" s="13">
        <v>249.5</v>
      </c>
      <c r="F180" s="13">
        <v>251.89999389648438</v>
      </c>
      <c r="G180" s="13">
        <v>94490436</v>
      </c>
      <c r="H180" s="13">
        <v>257.625</v>
      </c>
      <c r="I180" s="13">
        <v>288.44913153323171</v>
      </c>
      <c r="J180" s="13">
        <v>226.80086846676829</v>
      </c>
      <c r="M180" s="26">
        <v>45362</v>
      </c>
      <c r="N180" s="13" t="s">
        <v>794</v>
      </c>
      <c r="O180" s="13">
        <v>282.85000610351563</v>
      </c>
      <c r="P180" s="13">
        <v>282.85000610351563</v>
      </c>
      <c r="Q180" s="13">
        <v>249.5</v>
      </c>
      <c r="R180" s="13">
        <v>251.89999389648438</v>
      </c>
      <c r="S180" s="13">
        <v>28875594</v>
      </c>
      <c r="T180" s="13">
        <v>271.625</v>
      </c>
      <c r="U180" s="13">
        <v>282.24328848803526</v>
      </c>
      <c r="V180" s="13">
        <v>261.00671151196474</v>
      </c>
      <c r="W180" s="13" t="s">
        <v>404</v>
      </c>
      <c r="AA180" s="26">
        <v>45352</v>
      </c>
      <c r="AB180" s="13" t="s">
        <v>794</v>
      </c>
      <c r="AC180" s="13">
        <v>265.10000610351563</v>
      </c>
      <c r="AD180" s="13">
        <v>289.25</v>
      </c>
      <c r="AE180" s="13">
        <v>249.5</v>
      </c>
      <c r="AF180" s="13">
        <v>251.89999389648438</v>
      </c>
      <c r="AG180" s="13">
        <v>94490436</v>
      </c>
      <c r="AH180" s="13">
        <v>257.13999633789064</v>
      </c>
      <c r="AI180" s="13">
        <v>285.33448766876097</v>
      </c>
      <c r="AJ180" s="13">
        <v>228.9455050070203</v>
      </c>
      <c r="AM180" s="26">
        <v>45362</v>
      </c>
      <c r="AN180" s="13" t="s">
        <v>794</v>
      </c>
      <c r="AO180" s="13">
        <v>282.85000610351563</v>
      </c>
      <c r="AP180" s="13">
        <v>282.85000610351563</v>
      </c>
      <c r="AQ180" s="13">
        <v>249.5</v>
      </c>
      <c r="AR180" s="13">
        <v>251.89999389648438</v>
      </c>
      <c r="AS180" s="13">
        <v>28875594</v>
      </c>
      <c r="AT180" s="13">
        <v>268.33999633789063</v>
      </c>
      <c r="AU180" s="13">
        <v>288.24290730196878</v>
      </c>
      <c r="AV180" s="13">
        <v>248.43708537381247</v>
      </c>
    </row>
    <row r="181" spans="1:48" x14ac:dyDescent="0.3">
      <c r="A181" s="26">
        <v>45352</v>
      </c>
      <c r="B181" s="13" t="s">
        <v>795</v>
      </c>
      <c r="C181" s="13">
        <v>1116.800048828125</v>
      </c>
      <c r="D181" s="13">
        <v>1127</v>
      </c>
      <c r="E181" s="13">
        <v>1023.9500122070313</v>
      </c>
      <c r="F181" s="13">
        <v>1042.5</v>
      </c>
      <c r="G181" s="13">
        <v>12766698</v>
      </c>
      <c r="H181" s="13">
        <v>984.85500488281252</v>
      </c>
      <c r="I181" s="13">
        <v>1180.0887193716164</v>
      </c>
      <c r="J181" s="13">
        <v>789.62129039400895</v>
      </c>
      <c r="M181" s="26">
        <v>45362</v>
      </c>
      <c r="N181" s="13" t="s">
        <v>795</v>
      </c>
      <c r="O181" s="13">
        <v>1095.949951171875</v>
      </c>
      <c r="P181" s="13">
        <v>1095.949951171875</v>
      </c>
      <c r="Q181" s="13">
        <v>1023.9500122070313</v>
      </c>
      <c r="R181" s="13">
        <v>1042.5</v>
      </c>
      <c r="S181" s="13">
        <v>4253108</v>
      </c>
      <c r="T181" s="13">
        <v>1083.4699890136719</v>
      </c>
      <c r="U181" s="13">
        <v>1110.7569345084362</v>
      </c>
      <c r="V181" s="13">
        <v>1056.1830435189077</v>
      </c>
      <c r="AA181" s="26">
        <v>45352</v>
      </c>
      <c r="AB181" s="13" t="s">
        <v>795</v>
      </c>
      <c r="AC181" s="13">
        <v>1116.800048828125</v>
      </c>
      <c r="AD181" s="13">
        <v>1127</v>
      </c>
      <c r="AE181" s="13">
        <v>1023.9500122070313</v>
      </c>
      <c r="AF181" s="13">
        <v>1042.5</v>
      </c>
      <c r="AG181" s="13">
        <v>12766698</v>
      </c>
      <c r="AH181" s="13">
        <v>1010.1299926757813</v>
      </c>
      <c r="AI181" s="13">
        <v>1213.832629421574</v>
      </c>
      <c r="AJ181" s="13">
        <v>806.42735592998861</v>
      </c>
      <c r="AM181" s="26">
        <v>45362</v>
      </c>
      <c r="AN181" s="13" t="s">
        <v>795</v>
      </c>
      <c r="AO181" s="13">
        <v>1095.949951171875</v>
      </c>
      <c r="AP181" s="13">
        <v>1095.949951171875</v>
      </c>
      <c r="AQ181" s="13">
        <v>1023.9500122070313</v>
      </c>
      <c r="AR181" s="13">
        <v>1042.5</v>
      </c>
      <c r="AS181" s="13">
        <v>4253108</v>
      </c>
      <c r="AT181" s="13">
        <v>1076.0199951171876</v>
      </c>
      <c r="AU181" s="13">
        <v>1111.9153335430385</v>
      </c>
      <c r="AV181" s="13">
        <v>1040.1246566913367</v>
      </c>
    </row>
    <row r="182" spans="1:48" x14ac:dyDescent="0.3">
      <c r="A182" s="26">
        <v>45352</v>
      </c>
      <c r="B182" s="13" t="s">
        <v>796</v>
      </c>
      <c r="C182" s="13">
        <v>522.4000244140625</v>
      </c>
      <c r="D182" s="13">
        <v>526.4000244140625</v>
      </c>
      <c r="E182" s="13">
        <v>496.79998779296875</v>
      </c>
      <c r="F182" s="13">
        <v>504.39999389648438</v>
      </c>
      <c r="G182" s="13">
        <v>41383003</v>
      </c>
      <c r="H182" s="13">
        <v>468.64000549316404</v>
      </c>
      <c r="I182" s="13">
        <v>557.77416939326497</v>
      </c>
      <c r="J182" s="13">
        <v>379.50584159306311</v>
      </c>
      <c r="M182" s="26">
        <v>45362</v>
      </c>
      <c r="N182" s="13" t="s">
        <v>796</v>
      </c>
      <c r="O182" s="13">
        <v>517.4000244140625</v>
      </c>
      <c r="P182" s="13">
        <v>522.5</v>
      </c>
      <c r="Q182" s="13">
        <v>496.79998779296875</v>
      </c>
      <c r="R182" s="13">
        <v>504.39999389648438</v>
      </c>
      <c r="S182" s="13">
        <v>18180777</v>
      </c>
      <c r="T182" s="13">
        <v>519.7700073242188</v>
      </c>
      <c r="U182" s="13">
        <v>536.41881464062794</v>
      </c>
      <c r="V182" s="13">
        <v>503.12120000780965</v>
      </c>
      <c r="AA182" s="26">
        <v>45352</v>
      </c>
      <c r="AB182" s="13" t="s">
        <v>796</v>
      </c>
      <c r="AC182" s="13">
        <v>522.4000244140625</v>
      </c>
      <c r="AD182" s="13">
        <v>526.4000244140625</v>
      </c>
      <c r="AE182" s="13">
        <v>496.79998779296875</v>
      </c>
      <c r="AF182" s="13">
        <v>504.39999389648438</v>
      </c>
      <c r="AG182" s="13">
        <v>41383003</v>
      </c>
      <c r="AH182" s="13">
        <v>477.09998779296876</v>
      </c>
      <c r="AI182" s="13">
        <v>549.78937812132938</v>
      </c>
      <c r="AJ182" s="13">
        <v>404.41059746460814</v>
      </c>
      <c r="AM182" s="26">
        <v>45362</v>
      </c>
      <c r="AN182" s="13" t="s">
        <v>796</v>
      </c>
      <c r="AO182" s="13">
        <v>517.4000244140625</v>
      </c>
      <c r="AP182" s="13">
        <v>522.5</v>
      </c>
      <c r="AQ182" s="13">
        <v>496.79998779296875</v>
      </c>
      <c r="AR182" s="13">
        <v>504.39999389648438</v>
      </c>
      <c r="AS182" s="13">
        <v>18180777</v>
      </c>
      <c r="AT182" s="13">
        <v>523.6299987792969</v>
      </c>
      <c r="AU182" s="13">
        <v>551.74916046327269</v>
      </c>
      <c r="AV182" s="13">
        <v>495.51083709532111</v>
      </c>
    </row>
    <row r="183" spans="1:48" x14ac:dyDescent="0.3">
      <c r="A183" s="26">
        <v>45352</v>
      </c>
      <c r="B183" s="13" t="s">
        <v>797</v>
      </c>
      <c r="C183" s="13">
        <v>160</v>
      </c>
      <c r="D183" s="13">
        <v>164.39999389648438</v>
      </c>
      <c r="E183" s="13">
        <v>141.69999694824219</v>
      </c>
      <c r="F183" s="13">
        <v>145.25</v>
      </c>
      <c r="G183" s="13">
        <v>162102054</v>
      </c>
      <c r="H183" s="13">
        <v>218.27999877929688</v>
      </c>
      <c r="I183" s="13">
        <v>309.39849129854133</v>
      </c>
      <c r="J183" s="13">
        <v>127.16150626005241</v>
      </c>
      <c r="M183" s="26">
        <v>45362</v>
      </c>
      <c r="N183" s="13" t="s">
        <v>797</v>
      </c>
      <c r="O183" s="13">
        <v>161.10000610351563</v>
      </c>
      <c r="P183" s="13">
        <v>164.39999389648438</v>
      </c>
      <c r="Q183" s="13">
        <v>141.69999694824219</v>
      </c>
      <c r="R183" s="13">
        <v>145.25</v>
      </c>
      <c r="S183" s="13">
        <v>59758140</v>
      </c>
      <c r="T183" s="13">
        <v>170.88999786376954</v>
      </c>
      <c r="U183" s="13">
        <v>203.2207358568497</v>
      </c>
      <c r="V183" s="13">
        <v>138.55925987068937</v>
      </c>
      <c r="AA183" s="26">
        <v>45352</v>
      </c>
      <c r="AB183" s="13" t="s">
        <v>797</v>
      </c>
      <c r="AC183" s="13">
        <v>160</v>
      </c>
      <c r="AD183" s="13">
        <v>164.39999389648438</v>
      </c>
      <c r="AE183" s="13">
        <v>141.69999694824219</v>
      </c>
      <c r="AF183" s="13">
        <v>145.25</v>
      </c>
      <c r="AG183" s="13">
        <v>162102054</v>
      </c>
      <c r="AH183" s="13">
        <v>201.42000427246094</v>
      </c>
      <c r="AI183" s="13">
        <v>305.8640383624105</v>
      </c>
      <c r="AJ183" s="13">
        <v>96.975970182511418</v>
      </c>
      <c r="AM183" s="26">
        <v>45362</v>
      </c>
      <c r="AN183" s="13" t="s">
        <v>797</v>
      </c>
      <c r="AO183" s="13">
        <v>161.10000610351563</v>
      </c>
      <c r="AP183" s="13">
        <v>164.39999389648438</v>
      </c>
      <c r="AQ183" s="13">
        <v>141.69999694824219</v>
      </c>
      <c r="AR183" s="13">
        <v>145.25</v>
      </c>
      <c r="AS183" s="13">
        <v>59758140</v>
      </c>
      <c r="AT183" s="13">
        <v>163.67000122070311</v>
      </c>
      <c r="AU183" s="13">
        <v>190.76439697695724</v>
      </c>
      <c r="AV183" s="13">
        <v>136.57560546444898</v>
      </c>
    </row>
    <row r="184" spans="1:48" x14ac:dyDescent="0.3">
      <c r="A184" s="26">
        <v>45352</v>
      </c>
      <c r="B184" s="13" t="s">
        <v>798</v>
      </c>
      <c r="C184" s="13">
        <v>948.3499755859375</v>
      </c>
      <c r="D184" s="13">
        <v>1015.5</v>
      </c>
      <c r="E184" s="13">
        <v>921.70001220703125</v>
      </c>
      <c r="F184" s="13">
        <v>968.6500244140625</v>
      </c>
      <c r="G184" s="13">
        <v>9625360</v>
      </c>
      <c r="H184" s="13">
        <v>763.68500366210935</v>
      </c>
      <c r="I184" s="13">
        <v>1024.3925595094211</v>
      </c>
      <c r="J184" s="13">
        <v>502.97744781479764</v>
      </c>
      <c r="M184" s="26">
        <v>45362</v>
      </c>
      <c r="N184" s="13" t="s">
        <v>798</v>
      </c>
      <c r="O184" s="13">
        <v>985.95001220703125</v>
      </c>
      <c r="P184" s="13">
        <v>1015.5</v>
      </c>
      <c r="Q184" s="13">
        <v>960.8499755859375</v>
      </c>
      <c r="R184" s="13">
        <v>968.6500244140625</v>
      </c>
      <c r="S184" s="13">
        <v>4293083</v>
      </c>
      <c r="T184" s="13">
        <v>927.9</v>
      </c>
      <c r="U184" s="13">
        <v>1021.0741657650656</v>
      </c>
      <c r="V184" s="13">
        <v>834.72583423493438</v>
      </c>
      <c r="AA184" s="26">
        <v>45352</v>
      </c>
      <c r="AB184" s="13" t="s">
        <v>798</v>
      </c>
      <c r="AC184" s="13">
        <v>948.3499755859375</v>
      </c>
      <c r="AD184" s="13">
        <v>1015.5</v>
      </c>
      <c r="AE184" s="13">
        <v>921.70001220703125</v>
      </c>
      <c r="AF184" s="13">
        <v>968.6500244140625</v>
      </c>
      <c r="AG184" s="13">
        <v>9625360</v>
      </c>
      <c r="AH184" s="13">
        <v>799.6200073242187</v>
      </c>
      <c r="AI184" s="13">
        <v>1066.1248071450477</v>
      </c>
      <c r="AJ184" s="13">
        <v>533.11520750338968</v>
      </c>
      <c r="AM184" s="26">
        <v>45362</v>
      </c>
      <c r="AN184" s="13" t="s">
        <v>798</v>
      </c>
      <c r="AO184" s="13">
        <v>985.95001220703125</v>
      </c>
      <c r="AP184" s="13">
        <v>1015.5</v>
      </c>
      <c r="AQ184" s="13">
        <v>960.8499755859375</v>
      </c>
      <c r="AR184" s="13">
        <v>968.6500244140625</v>
      </c>
      <c r="AS184" s="13">
        <v>4293083</v>
      </c>
      <c r="AT184" s="13">
        <v>937.18000488281245</v>
      </c>
      <c r="AU184" s="13">
        <v>1000.0475984637472</v>
      </c>
      <c r="AV184" s="13">
        <v>874.31241130187766</v>
      </c>
    </row>
    <row r="185" spans="1:48" x14ac:dyDescent="0.3">
      <c r="A185" s="26"/>
      <c r="M185" s="26"/>
    </row>
    <row r="186" spans="1:48" x14ac:dyDescent="0.3">
      <c r="A186" s="26"/>
      <c r="M186" s="26"/>
    </row>
    <row r="187" spans="1:48" x14ac:dyDescent="0.3">
      <c r="A187" s="26"/>
      <c r="M187" s="2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F187"/>
  <sheetViews>
    <sheetView workbookViewId="0">
      <selection activeCell="D16" sqref="D16"/>
    </sheetView>
  </sheetViews>
  <sheetFormatPr defaultRowHeight="14.4" x14ac:dyDescent="0.3"/>
  <cols>
    <col min="1" max="1" width="23.6640625" customWidth="1"/>
    <col min="2" max="2" width="3.33203125" customWidth="1"/>
    <col min="3" max="3" width="19.5546875" style="10" customWidth="1"/>
    <col min="4" max="4" width="14" customWidth="1"/>
    <col min="5" max="5" width="21.33203125" customWidth="1"/>
    <col min="6" max="6" width="27.88671875" customWidth="1"/>
    <col min="7" max="22" width="3.33203125" customWidth="1"/>
  </cols>
  <sheetData>
    <row r="1" spans="1:6" ht="15" x14ac:dyDescent="0.3">
      <c r="A1" t="s">
        <v>7</v>
      </c>
      <c r="C1" s="9" t="s">
        <v>799</v>
      </c>
      <c r="E1" t="s">
        <v>7</v>
      </c>
    </row>
    <row r="2" spans="1:6" x14ac:dyDescent="0.3">
      <c r="A2" t="s">
        <v>22</v>
      </c>
      <c r="C2" s="10" t="s">
        <v>617</v>
      </c>
      <c r="D2" t="str">
        <f>LEFT(C2, LEN(C2) - 3)</f>
        <v>AARTIIND</v>
      </c>
      <c r="E2" t="str">
        <f>"NSE:"&amp;""&amp;D2&amp;"-EQ"</f>
        <v>NSE:AARTIIND-EQ</v>
      </c>
      <c r="F2" t="str">
        <f t="shared" ref="F2:F65" si="0">""&amp;D2&amp;"-EQ"</f>
        <v>AARTIIND-EQ</v>
      </c>
    </row>
    <row r="3" spans="1:6" x14ac:dyDescent="0.3">
      <c r="A3" t="s">
        <v>25</v>
      </c>
      <c r="C3" s="10" t="s">
        <v>618</v>
      </c>
      <c r="D3" t="str">
        <f t="shared" ref="D3:D66" si="1">LEFT(C3, LEN(C3) - 3)</f>
        <v>ABB</v>
      </c>
      <c r="E3" t="str">
        <f t="shared" ref="E3:E66" si="2">"NSE:"&amp;""&amp;D3&amp;"-EQ"</f>
        <v>NSE:ABB-EQ</v>
      </c>
      <c r="F3" t="str">
        <f t="shared" si="0"/>
        <v>ABB-EQ</v>
      </c>
    </row>
    <row r="4" spans="1:6" x14ac:dyDescent="0.3">
      <c r="A4" t="s">
        <v>27</v>
      </c>
      <c r="C4" s="10" t="s">
        <v>619</v>
      </c>
      <c r="D4" t="str">
        <f t="shared" si="1"/>
        <v>ABBOTINDIA</v>
      </c>
      <c r="E4" t="str">
        <f t="shared" si="2"/>
        <v>NSE:ABBOTINDIA-EQ</v>
      </c>
      <c r="F4" t="str">
        <f t="shared" si="0"/>
        <v>ABBOTINDIA-EQ</v>
      </c>
    </row>
    <row r="5" spans="1:6" x14ac:dyDescent="0.3">
      <c r="A5" t="s">
        <v>29</v>
      </c>
      <c r="C5" s="10" t="s">
        <v>620</v>
      </c>
      <c r="D5" t="str">
        <f t="shared" si="1"/>
        <v>ABCAPITAL</v>
      </c>
      <c r="E5" t="str">
        <f t="shared" si="2"/>
        <v>NSE:ABCAPITAL-EQ</v>
      </c>
      <c r="F5" t="str">
        <f t="shared" si="0"/>
        <v>ABCAPITAL-EQ</v>
      </c>
    </row>
    <row r="6" spans="1:6" x14ac:dyDescent="0.3">
      <c r="A6" t="s">
        <v>31</v>
      </c>
      <c r="C6" s="10" t="s">
        <v>621</v>
      </c>
      <c r="D6" t="str">
        <f t="shared" si="1"/>
        <v>ABFRL</v>
      </c>
      <c r="E6" t="str">
        <f t="shared" si="2"/>
        <v>NSE:ABFRL-EQ</v>
      </c>
      <c r="F6" t="str">
        <f t="shared" si="0"/>
        <v>ABFRL-EQ</v>
      </c>
    </row>
    <row r="7" spans="1:6" x14ac:dyDescent="0.3">
      <c r="A7" t="s">
        <v>34</v>
      </c>
      <c r="C7" s="10" t="s">
        <v>622</v>
      </c>
      <c r="D7" t="str">
        <f t="shared" si="1"/>
        <v>ACC</v>
      </c>
      <c r="E7" t="str">
        <f t="shared" si="2"/>
        <v>NSE:ACC-EQ</v>
      </c>
      <c r="F7" t="str">
        <f t="shared" si="0"/>
        <v>ACC-EQ</v>
      </c>
    </row>
    <row r="8" spans="1:6" x14ac:dyDescent="0.3">
      <c r="A8" t="s">
        <v>36</v>
      </c>
      <c r="C8" s="10" t="s">
        <v>623</v>
      </c>
      <c r="D8" t="str">
        <f t="shared" si="1"/>
        <v>ADANIENT</v>
      </c>
      <c r="E8" t="str">
        <f t="shared" si="2"/>
        <v>NSE:ADANIENT-EQ</v>
      </c>
      <c r="F8" t="str">
        <f t="shared" si="0"/>
        <v>ADANIENT-EQ</v>
      </c>
    </row>
    <row r="9" spans="1:6" x14ac:dyDescent="0.3">
      <c r="A9" t="s">
        <v>38</v>
      </c>
      <c r="C9" s="10" t="s">
        <v>624</v>
      </c>
      <c r="D9" t="str">
        <f t="shared" si="1"/>
        <v>ADANIPORTS</v>
      </c>
      <c r="E9" t="str">
        <f>"NSE:"&amp;""&amp;D9&amp;"-EQ"</f>
        <v>NSE:ADANIPORTS-EQ</v>
      </c>
      <c r="F9" t="str">
        <f>""&amp;D9&amp;"-EQ"</f>
        <v>ADANIPORTS-EQ</v>
      </c>
    </row>
    <row r="10" spans="1:6" x14ac:dyDescent="0.3">
      <c r="A10" t="s">
        <v>40</v>
      </c>
      <c r="C10" s="10" t="s">
        <v>625</v>
      </c>
      <c r="D10" t="str">
        <f t="shared" si="1"/>
        <v>ALKEM</v>
      </c>
      <c r="E10" t="str">
        <f t="shared" si="2"/>
        <v>NSE:ALKEM-EQ</v>
      </c>
      <c r="F10" t="str">
        <f t="shared" si="0"/>
        <v>ALKEM-EQ</v>
      </c>
    </row>
    <row r="11" spans="1:6" x14ac:dyDescent="0.3">
      <c r="A11" t="s">
        <v>42</v>
      </c>
      <c r="C11" s="10" t="s">
        <v>626</v>
      </c>
      <c r="D11" t="str">
        <f t="shared" si="1"/>
        <v>AMBUJACEM</v>
      </c>
      <c r="E11" t="str">
        <f t="shared" si="2"/>
        <v>NSE:AMBUJACEM-EQ</v>
      </c>
      <c r="F11" t="str">
        <f t="shared" si="0"/>
        <v>AMBUJACEM-EQ</v>
      </c>
    </row>
    <row r="12" spans="1:6" x14ac:dyDescent="0.3">
      <c r="A12" t="s">
        <v>44</v>
      </c>
      <c r="C12" s="10" t="s">
        <v>627</v>
      </c>
      <c r="D12" t="str">
        <f t="shared" si="1"/>
        <v>APOLLOHOSP</v>
      </c>
      <c r="E12" t="str">
        <f t="shared" si="2"/>
        <v>NSE:APOLLOHOSP-EQ</v>
      </c>
      <c r="F12" t="str">
        <f t="shared" si="0"/>
        <v>APOLLOHOSP-EQ</v>
      </c>
    </row>
    <row r="13" spans="1:6" x14ac:dyDescent="0.3">
      <c r="A13" t="s">
        <v>46</v>
      </c>
      <c r="C13" s="10" t="s">
        <v>628</v>
      </c>
      <c r="D13" t="str">
        <f t="shared" si="1"/>
        <v>APOLLOTYRE</v>
      </c>
      <c r="E13" t="str">
        <f t="shared" si="2"/>
        <v>NSE:APOLLOTYRE-EQ</v>
      </c>
      <c r="F13" t="str">
        <f t="shared" si="0"/>
        <v>APOLLOTYRE-EQ</v>
      </c>
    </row>
    <row r="14" spans="1:6" x14ac:dyDescent="0.3">
      <c r="A14" t="s">
        <v>48</v>
      </c>
      <c r="C14" s="10" t="s">
        <v>629</v>
      </c>
      <c r="D14" t="str">
        <f t="shared" si="1"/>
        <v>ASHOKLEY</v>
      </c>
      <c r="E14" t="str">
        <f t="shared" si="2"/>
        <v>NSE:ASHOKLEY-EQ</v>
      </c>
      <c r="F14" t="str">
        <f t="shared" si="0"/>
        <v>ASHOKLEY-EQ</v>
      </c>
    </row>
    <row r="15" spans="1:6" x14ac:dyDescent="0.3">
      <c r="A15" t="s">
        <v>50</v>
      </c>
      <c r="C15" s="10" t="s">
        <v>630</v>
      </c>
      <c r="D15" t="str">
        <f t="shared" si="1"/>
        <v>ASIANPAINT</v>
      </c>
      <c r="E15" t="str">
        <f t="shared" si="2"/>
        <v>NSE:ASIANPAINT-EQ</v>
      </c>
      <c r="F15" t="str">
        <f t="shared" si="0"/>
        <v>ASIANPAINT-EQ</v>
      </c>
    </row>
    <row r="16" spans="1:6" x14ac:dyDescent="0.3">
      <c r="A16" t="s">
        <v>52</v>
      </c>
      <c r="C16" s="10" t="s">
        <v>631</v>
      </c>
      <c r="D16" t="str">
        <f t="shared" si="1"/>
        <v>ASTRAL</v>
      </c>
      <c r="E16" t="str">
        <f t="shared" si="2"/>
        <v>NSE:ASTRAL-EQ</v>
      </c>
      <c r="F16" t="str">
        <f t="shared" si="0"/>
        <v>ASTRAL-EQ</v>
      </c>
    </row>
    <row r="17" spans="1:6" x14ac:dyDescent="0.3">
      <c r="A17" t="s">
        <v>54</v>
      </c>
      <c r="C17" s="10" t="s">
        <v>632</v>
      </c>
      <c r="D17" t="str">
        <f t="shared" si="1"/>
        <v>ATUL</v>
      </c>
      <c r="E17" t="str">
        <f t="shared" si="2"/>
        <v>NSE:ATUL-EQ</v>
      </c>
      <c r="F17" t="str">
        <f t="shared" si="0"/>
        <v>ATUL-EQ</v>
      </c>
    </row>
    <row r="18" spans="1:6" x14ac:dyDescent="0.3">
      <c r="A18" t="s">
        <v>56</v>
      </c>
      <c r="C18" s="10" t="s">
        <v>633</v>
      </c>
      <c r="D18" t="str">
        <f t="shared" si="1"/>
        <v>AUBANK</v>
      </c>
      <c r="E18" t="str">
        <f t="shared" si="2"/>
        <v>NSE:AUBANK-EQ</v>
      </c>
      <c r="F18" t="str">
        <f t="shared" si="0"/>
        <v>AUBANK-EQ</v>
      </c>
    </row>
    <row r="19" spans="1:6" x14ac:dyDescent="0.3">
      <c r="A19" t="s">
        <v>58</v>
      </c>
      <c r="C19" s="10" t="s">
        <v>634</v>
      </c>
      <c r="D19" t="str">
        <f t="shared" si="1"/>
        <v>AUROPHARMA</v>
      </c>
      <c r="E19" t="str">
        <f t="shared" si="2"/>
        <v>NSE:AUROPHARMA-EQ</v>
      </c>
      <c r="F19" t="str">
        <f t="shared" si="0"/>
        <v>AUROPHARMA-EQ</v>
      </c>
    </row>
    <row r="20" spans="1:6" x14ac:dyDescent="0.3">
      <c r="A20" t="s">
        <v>60</v>
      </c>
      <c r="C20" s="10" t="s">
        <v>635</v>
      </c>
      <c r="D20" t="str">
        <f t="shared" si="1"/>
        <v>AXISBANK</v>
      </c>
      <c r="E20" t="str">
        <f t="shared" si="2"/>
        <v>NSE:AXISBANK-EQ</v>
      </c>
      <c r="F20" t="str">
        <f t="shared" si="0"/>
        <v>AXISBANK-EQ</v>
      </c>
    </row>
    <row r="21" spans="1:6" x14ac:dyDescent="0.3">
      <c r="A21" t="s">
        <v>62</v>
      </c>
      <c r="C21" s="10" t="s">
        <v>636</v>
      </c>
      <c r="D21" t="str">
        <f t="shared" si="1"/>
        <v>BAJAJ-AUTO</v>
      </c>
      <c r="E21" t="str">
        <f t="shared" si="2"/>
        <v>NSE:BAJAJ-AUTO-EQ</v>
      </c>
      <c r="F21" t="str">
        <f t="shared" si="0"/>
        <v>BAJAJ-AUTO-EQ</v>
      </c>
    </row>
    <row r="22" spans="1:6" x14ac:dyDescent="0.3">
      <c r="A22" t="s">
        <v>64</v>
      </c>
      <c r="C22" s="10" t="s">
        <v>637</v>
      </c>
      <c r="D22" t="str">
        <f t="shared" si="1"/>
        <v>BAJAJFINSV</v>
      </c>
      <c r="E22" t="str">
        <f t="shared" si="2"/>
        <v>NSE:BAJAJFINSV-EQ</v>
      </c>
      <c r="F22" t="str">
        <f t="shared" si="0"/>
        <v>BAJAJFINSV-EQ</v>
      </c>
    </row>
    <row r="23" spans="1:6" x14ac:dyDescent="0.3">
      <c r="A23" t="s">
        <v>66</v>
      </c>
      <c r="C23" s="10" t="s">
        <v>638</v>
      </c>
      <c r="D23" t="str">
        <f t="shared" si="1"/>
        <v>BAJFINANCE</v>
      </c>
      <c r="E23" t="str">
        <f t="shared" si="2"/>
        <v>NSE:BAJFINANCE-EQ</v>
      </c>
      <c r="F23" t="str">
        <f t="shared" si="0"/>
        <v>BAJFINANCE-EQ</v>
      </c>
    </row>
    <row r="24" spans="1:6" x14ac:dyDescent="0.3">
      <c r="A24" t="s">
        <v>68</v>
      </c>
      <c r="C24" s="10" t="s">
        <v>639</v>
      </c>
      <c r="D24" t="str">
        <f t="shared" si="1"/>
        <v>BALKRISIND</v>
      </c>
      <c r="E24" t="str">
        <f t="shared" si="2"/>
        <v>NSE:BALKRISIND-EQ</v>
      </c>
      <c r="F24" t="str">
        <f t="shared" si="0"/>
        <v>BALKRISIND-EQ</v>
      </c>
    </row>
    <row r="25" spans="1:6" x14ac:dyDescent="0.3">
      <c r="A25" t="s">
        <v>70</v>
      </c>
      <c r="C25" s="10" t="s">
        <v>640</v>
      </c>
      <c r="D25" t="str">
        <f t="shared" si="1"/>
        <v>BALRAMCHIN</v>
      </c>
      <c r="E25" t="str">
        <f t="shared" si="2"/>
        <v>NSE:BALRAMCHIN-EQ</v>
      </c>
      <c r="F25" t="str">
        <f t="shared" si="0"/>
        <v>BALRAMCHIN-EQ</v>
      </c>
    </row>
    <row r="26" spans="1:6" x14ac:dyDescent="0.3">
      <c r="A26" t="s">
        <v>72</v>
      </c>
      <c r="C26" s="10" t="s">
        <v>641</v>
      </c>
      <c r="D26" t="str">
        <f t="shared" si="1"/>
        <v>BANDHANBNK</v>
      </c>
      <c r="E26" t="str">
        <f t="shared" si="2"/>
        <v>NSE:BANDHANBNK-EQ</v>
      </c>
      <c r="F26" t="str">
        <f t="shared" si="0"/>
        <v>BANDHANBNK-EQ</v>
      </c>
    </row>
    <row r="27" spans="1:6" x14ac:dyDescent="0.3">
      <c r="A27" t="s">
        <v>74</v>
      </c>
      <c r="C27" s="10" t="s">
        <v>642</v>
      </c>
      <c r="D27" t="str">
        <f t="shared" si="1"/>
        <v>BANKBARODA</v>
      </c>
      <c r="E27" t="str">
        <f t="shared" si="2"/>
        <v>NSE:BANKBARODA-EQ</v>
      </c>
      <c r="F27" t="str">
        <f t="shared" si="0"/>
        <v>BANKBARODA-EQ</v>
      </c>
    </row>
    <row r="28" spans="1:6" x14ac:dyDescent="0.3">
      <c r="A28" t="s">
        <v>76</v>
      </c>
      <c r="C28" s="10" t="s">
        <v>643</v>
      </c>
      <c r="D28" t="str">
        <f t="shared" si="1"/>
        <v>BATAINDIA</v>
      </c>
      <c r="E28" t="str">
        <f t="shared" si="2"/>
        <v>NSE:BATAINDIA-EQ</v>
      </c>
      <c r="F28" t="str">
        <f t="shared" si="0"/>
        <v>BATAINDIA-EQ</v>
      </c>
    </row>
    <row r="29" spans="1:6" x14ac:dyDescent="0.3">
      <c r="A29" t="s">
        <v>78</v>
      </c>
      <c r="C29" s="10" t="s">
        <v>644</v>
      </c>
      <c r="D29" t="str">
        <f t="shared" si="1"/>
        <v>BEL</v>
      </c>
      <c r="E29" t="str">
        <f t="shared" si="2"/>
        <v>NSE:BEL-EQ</v>
      </c>
      <c r="F29" t="str">
        <f t="shared" si="0"/>
        <v>BEL-EQ</v>
      </c>
    </row>
    <row r="30" spans="1:6" x14ac:dyDescent="0.3">
      <c r="A30" t="s">
        <v>80</v>
      </c>
      <c r="C30" s="10" t="s">
        <v>645</v>
      </c>
      <c r="D30" t="str">
        <f t="shared" si="1"/>
        <v>BERGEPAINT</v>
      </c>
      <c r="E30" t="str">
        <f t="shared" si="2"/>
        <v>NSE:BERGEPAINT-EQ</v>
      </c>
      <c r="F30" t="str">
        <f t="shared" si="0"/>
        <v>BERGEPAINT-EQ</v>
      </c>
    </row>
    <row r="31" spans="1:6" x14ac:dyDescent="0.3">
      <c r="A31" t="s">
        <v>82</v>
      </c>
      <c r="C31" s="10" t="s">
        <v>646</v>
      </c>
      <c r="D31" t="str">
        <f t="shared" si="1"/>
        <v>BHARATFORG</v>
      </c>
      <c r="E31" t="str">
        <f t="shared" si="2"/>
        <v>NSE:BHARATFORG-EQ</v>
      </c>
      <c r="F31" t="str">
        <f t="shared" si="0"/>
        <v>BHARATFORG-EQ</v>
      </c>
    </row>
    <row r="32" spans="1:6" x14ac:dyDescent="0.3">
      <c r="A32" t="s">
        <v>84</v>
      </c>
      <c r="C32" s="10" t="s">
        <v>647</v>
      </c>
      <c r="D32" t="str">
        <f t="shared" si="1"/>
        <v>BHARTIARTL</v>
      </c>
      <c r="E32" t="str">
        <f t="shared" si="2"/>
        <v>NSE:BHARTIARTL-EQ</v>
      </c>
      <c r="F32" t="str">
        <f t="shared" si="0"/>
        <v>BHARTIARTL-EQ</v>
      </c>
    </row>
    <row r="33" spans="1:6" x14ac:dyDescent="0.3">
      <c r="A33" t="s">
        <v>86</v>
      </c>
      <c r="C33" s="10" t="s">
        <v>648</v>
      </c>
      <c r="D33" t="str">
        <f t="shared" si="1"/>
        <v>BHEL</v>
      </c>
      <c r="E33" t="str">
        <f t="shared" si="2"/>
        <v>NSE:BHEL-EQ</v>
      </c>
      <c r="F33" t="str">
        <f t="shared" si="0"/>
        <v>BHEL-EQ</v>
      </c>
    </row>
    <row r="34" spans="1:6" x14ac:dyDescent="0.3">
      <c r="A34" t="s">
        <v>88</v>
      </c>
      <c r="C34" s="10" t="s">
        <v>649</v>
      </c>
      <c r="D34" t="str">
        <f t="shared" si="1"/>
        <v>BIOCON</v>
      </c>
      <c r="E34" t="str">
        <f t="shared" si="2"/>
        <v>NSE:BIOCON-EQ</v>
      </c>
      <c r="F34" t="str">
        <f t="shared" si="0"/>
        <v>BIOCON-EQ</v>
      </c>
    </row>
    <row r="35" spans="1:6" x14ac:dyDescent="0.3">
      <c r="A35" t="s">
        <v>90</v>
      </c>
      <c r="C35" s="10" t="s">
        <v>650</v>
      </c>
      <c r="D35" t="str">
        <f t="shared" si="1"/>
        <v>BOSCHLTD</v>
      </c>
      <c r="E35" t="str">
        <f t="shared" si="2"/>
        <v>NSE:BOSCHLTD-EQ</v>
      </c>
      <c r="F35" t="str">
        <f t="shared" si="0"/>
        <v>BOSCHLTD-EQ</v>
      </c>
    </row>
    <row r="36" spans="1:6" x14ac:dyDescent="0.3">
      <c r="A36" t="s">
        <v>92</v>
      </c>
      <c r="C36" s="10" t="s">
        <v>651</v>
      </c>
      <c r="D36" t="str">
        <f t="shared" si="1"/>
        <v>BPCL</v>
      </c>
      <c r="E36" t="str">
        <f t="shared" si="2"/>
        <v>NSE:BPCL-EQ</v>
      </c>
      <c r="F36" t="str">
        <f t="shared" si="0"/>
        <v>BPCL-EQ</v>
      </c>
    </row>
    <row r="37" spans="1:6" x14ac:dyDescent="0.3">
      <c r="A37" t="s">
        <v>94</v>
      </c>
      <c r="C37" s="10" t="s">
        <v>652</v>
      </c>
      <c r="D37" t="str">
        <f t="shared" si="1"/>
        <v>BRITANNIA</v>
      </c>
      <c r="E37" t="str">
        <f t="shared" si="2"/>
        <v>NSE:BRITANNIA-EQ</v>
      </c>
      <c r="F37" t="str">
        <f t="shared" si="0"/>
        <v>BRITANNIA-EQ</v>
      </c>
    </row>
    <row r="38" spans="1:6" x14ac:dyDescent="0.3">
      <c r="A38" t="s">
        <v>96</v>
      </c>
      <c r="C38" s="10" t="s">
        <v>653</v>
      </c>
      <c r="D38" t="str">
        <f t="shared" si="1"/>
        <v>BSOFT</v>
      </c>
      <c r="E38" t="str">
        <f t="shared" si="2"/>
        <v>NSE:BSOFT-EQ</v>
      </c>
      <c r="F38" t="str">
        <f t="shared" si="0"/>
        <v>BSOFT-EQ</v>
      </c>
    </row>
    <row r="39" spans="1:6" x14ac:dyDescent="0.3">
      <c r="A39" t="s">
        <v>98</v>
      </c>
      <c r="C39" s="10" t="s">
        <v>654</v>
      </c>
      <c r="D39" t="str">
        <f t="shared" si="1"/>
        <v>CANBK</v>
      </c>
      <c r="E39" t="str">
        <f t="shared" si="2"/>
        <v>NSE:CANBK-EQ</v>
      </c>
      <c r="F39" t="str">
        <f t="shared" si="0"/>
        <v>CANBK-EQ</v>
      </c>
    </row>
    <row r="40" spans="1:6" x14ac:dyDescent="0.3">
      <c r="A40" t="s">
        <v>100</v>
      </c>
      <c r="C40" s="10" t="s">
        <v>655</v>
      </c>
      <c r="D40" t="str">
        <f t="shared" si="1"/>
        <v>CANFINHOME</v>
      </c>
      <c r="E40" t="str">
        <f t="shared" si="2"/>
        <v>NSE:CANFINHOME-EQ</v>
      </c>
      <c r="F40" t="str">
        <f t="shared" si="0"/>
        <v>CANFINHOME-EQ</v>
      </c>
    </row>
    <row r="41" spans="1:6" x14ac:dyDescent="0.3">
      <c r="A41" t="s">
        <v>102</v>
      </c>
      <c r="C41" s="10" t="s">
        <v>656</v>
      </c>
      <c r="D41" t="str">
        <f t="shared" si="1"/>
        <v>CHAMBLFERT</v>
      </c>
      <c r="E41" t="str">
        <f t="shared" si="2"/>
        <v>NSE:CHAMBLFERT-EQ</v>
      </c>
      <c r="F41" t="str">
        <f t="shared" si="0"/>
        <v>CHAMBLFERT-EQ</v>
      </c>
    </row>
    <row r="42" spans="1:6" x14ac:dyDescent="0.3">
      <c r="A42" t="s">
        <v>104</v>
      </c>
      <c r="C42" s="10" t="s">
        <v>657</v>
      </c>
      <c r="D42" t="str">
        <f t="shared" si="1"/>
        <v>CHOLAFIN</v>
      </c>
      <c r="E42" t="str">
        <f t="shared" si="2"/>
        <v>NSE:CHOLAFIN-EQ</v>
      </c>
      <c r="F42" t="str">
        <f t="shared" si="0"/>
        <v>CHOLAFIN-EQ</v>
      </c>
    </row>
    <row r="43" spans="1:6" x14ac:dyDescent="0.3">
      <c r="A43" t="s">
        <v>106</v>
      </c>
      <c r="C43" s="10" t="s">
        <v>658</v>
      </c>
      <c r="D43" t="str">
        <f t="shared" si="1"/>
        <v>CIPLA</v>
      </c>
      <c r="E43" t="str">
        <f t="shared" si="2"/>
        <v>NSE:CIPLA-EQ</v>
      </c>
      <c r="F43" t="str">
        <f t="shared" si="0"/>
        <v>CIPLA-EQ</v>
      </c>
    </row>
    <row r="44" spans="1:6" x14ac:dyDescent="0.3">
      <c r="A44" t="s">
        <v>108</v>
      </c>
      <c r="C44" s="10" t="s">
        <v>659</v>
      </c>
      <c r="D44" t="str">
        <f t="shared" si="1"/>
        <v>COALINDIA</v>
      </c>
      <c r="E44" t="str">
        <f t="shared" si="2"/>
        <v>NSE:COALINDIA-EQ</v>
      </c>
      <c r="F44" t="str">
        <f t="shared" si="0"/>
        <v>COALINDIA-EQ</v>
      </c>
    </row>
    <row r="45" spans="1:6" x14ac:dyDescent="0.3">
      <c r="A45" t="s">
        <v>110</v>
      </c>
      <c r="C45" s="10" t="s">
        <v>660</v>
      </c>
      <c r="D45" t="str">
        <f t="shared" si="1"/>
        <v>COFORGE</v>
      </c>
      <c r="E45" t="str">
        <f t="shared" si="2"/>
        <v>NSE:COFORGE-EQ</v>
      </c>
      <c r="F45" t="str">
        <f t="shared" si="0"/>
        <v>COFORGE-EQ</v>
      </c>
    </row>
    <row r="46" spans="1:6" x14ac:dyDescent="0.3">
      <c r="A46" t="s">
        <v>112</v>
      </c>
      <c r="C46" s="10" t="s">
        <v>661</v>
      </c>
      <c r="D46" t="str">
        <f t="shared" si="1"/>
        <v>COLPAL</v>
      </c>
      <c r="E46" t="str">
        <f t="shared" si="2"/>
        <v>NSE:COLPAL-EQ</v>
      </c>
      <c r="F46" t="str">
        <f t="shared" si="0"/>
        <v>COLPAL-EQ</v>
      </c>
    </row>
    <row r="47" spans="1:6" x14ac:dyDescent="0.3">
      <c r="A47" t="s">
        <v>114</v>
      </c>
      <c r="C47" s="10" t="s">
        <v>662</v>
      </c>
      <c r="D47" t="str">
        <f t="shared" si="1"/>
        <v>CONCOR</v>
      </c>
      <c r="E47" t="str">
        <f t="shared" si="2"/>
        <v>NSE:CONCOR-EQ</v>
      </c>
      <c r="F47" t="str">
        <f t="shared" si="0"/>
        <v>CONCOR-EQ</v>
      </c>
    </row>
    <row r="48" spans="1:6" x14ac:dyDescent="0.3">
      <c r="A48" t="s">
        <v>116</v>
      </c>
      <c r="C48" s="10" t="s">
        <v>663</v>
      </c>
      <c r="D48" t="str">
        <f t="shared" si="1"/>
        <v>COROMANDEL</v>
      </c>
      <c r="E48" t="str">
        <f t="shared" si="2"/>
        <v>NSE:COROMANDEL-EQ</v>
      </c>
      <c r="F48" t="str">
        <f t="shared" si="0"/>
        <v>COROMANDEL-EQ</v>
      </c>
    </row>
    <row r="49" spans="1:6" x14ac:dyDescent="0.3">
      <c r="A49" t="s">
        <v>118</v>
      </c>
      <c r="C49" s="10" t="s">
        <v>664</v>
      </c>
      <c r="D49" t="str">
        <f t="shared" si="1"/>
        <v>CROMPTON</v>
      </c>
      <c r="E49" t="str">
        <f t="shared" si="2"/>
        <v>NSE:CROMPTON-EQ</v>
      </c>
      <c r="F49" t="str">
        <f t="shared" si="0"/>
        <v>CROMPTON-EQ</v>
      </c>
    </row>
    <row r="50" spans="1:6" x14ac:dyDescent="0.3">
      <c r="A50" t="s">
        <v>120</v>
      </c>
      <c r="C50" s="10" t="s">
        <v>665</v>
      </c>
      <c r="D50" t="str">
        <f t="shared" si="1"/>
        <v>CUB</v>
      </c>
      <c r="E50" t="str">
        <f t="shared" si="2"/>
        <v>NSE:CUB-EQ</v>
      </c>
      <c r="F50" t="str">
        <f t="shared" si="0"/>
        <v>CUB-EQ</v>
      </c>
    </row>
    <row r="51" spans="1:6" x14ac:dyDescent="0.3">
      <c r="A51" t="s">
        <v>122</v>
      </c>
      <c r="C51" s="10" t="s">
        <v>666</v>
      </c>
      <c r="D51" t="str">
        <f t="shared" si="1"/>
        <v>CUMMINSIND</v>
      </c>
      <c r="E51" t="str">
        <f t="shared" si="2"/>
        <v>NSE:CUMMINSIND-EQ</v>
      </c>
      <c r="F51" t="str">
        <f t="shared" si="0"/>
        <v>CUMMINSIND-EQ</v>
      </c>
    </row>
    <row r="52" spans="1:6" x14ac:dyDescent="0.3">
      <c r="A52" t="s">
        <v>124</v>
      </c>
      <c r="C52" s="10" t="s">
        <v>667</v>
      </c>
      <c r="D52" t="str">
        <f t="shared" si="1"/>
        <v>DABUR</v>
      </c>
      <c r="E52" t="str">
        <f t="shared" si="2"/>
        <v>NSE:DABUR-EQ</v>
      </c>
      <c r="F52" t="str">
        <f t="shared" si="0"/>
        <v>DABUR-EQ</v>
      </c>
    </row>
    <row r="53" spans="1:6" x14ac:dyDescent="0.3">
      <c r="A53" t="s">
        <v>126</v>
      </c>
      <c r="C53" s="10" t="s">
        <v>668</v>
      </c>
      <c r="D53" t="str">
        <f t="shared" si="1"/>
        <v>DALBHARAT</v>
      </c>
      <c r="E53" t="str">
        <f t="shared" si="2"/>
        <v>NSE:DALBHARAT-EQ</v>
      </c>
      <c r="F53" t="str">
        <f t="shared" si="0"/>
        <v>DALBHARAT-EQ</v>
      </c>
    </row>
    <row r="54" spans="1:6" x14ac:dyDescent="0.3">
      <c r="A54" t="s">
        <v>128</v>
      </c>
      <c r="C54" s="10" t="s">
        <v>669</v>
      </c>
      <c r="D54" t="str">
        <f t="shared" si="1"/>
        <v>DEEPAKNTR</v>
      </c>
      <c r="E54" t="str">
        <f t="shared" si="2"/>
        <v>NSE:DEEPAKNTR-EQ</v>
      </c>
      <c r="F54" t="str">
        <f t="shared" si="0"/>
        <v>DEEPAKNTR-EQ</v>
      </c>
    </row>
    <row r="55" spans="1:6" x14ac:dyDescent="0.3">
      <c r="A55" t="s">
        <v>800</v>
      </c>
      <c r="C55" s="10" t="s">
        <v>801</v>
      </c>
      <c r="D55" t="str">
        <f t="shared" si="1"/>
        <v>DELTACORP</v>
      </c>
      <c r="E55" t="str">
        <f t="shared" si="2"/>
        <v>NSE:DELTACORP-EQ</v>
      </c>
      <c r="F55" t="str">
        <f t="shared" si="0"/>
        <v>DELTACORP-EQ</v>
      </c>
    </row>
    <row r="56" spans="1:6" x14ac:dyDescent="0.3">
      <c r="A56" t="s">
        <v>130</v>
      </c>
      <c r="C56" s="10" t="s">
        <v>670</v>
      </c>
      <c r="D56" t="str">
        <f t="shared" si="1"/>
        <v>DIVISLAB</v>
      </c>
      <c r="E56" t="str">
        <f t="shared" si="2"/>
        <v>NSE:DIVISLAB-EQ</v>
      </c>
      <c r="F56" t="str">
        <f t="shared" si="0"/>
        <v>DIVISLAB-EQ</v>
      </c>
    </row>
    <row r="57" spans="1:6" x14ac:dyDescent="0.3">
      <c r="A57" t="s">
        <v>132</v>
      </c>
      <c r="C57" s="10" t="s">
        <v>671</v>
      </c>
      <c r="D57" t="str">
        <f t="shared" si="1"/>
        <v>DIXON</v>
      </c>
      <c r="E57" t="str">
        <f t="shared" si="2"/>
        <v>NSE:DIXON-EQ</v>
      </c>
      <c r="F57" t="str">
        <f t="shared" si="0"/>
        <v>DIXON-EQ</v>
      </c>
    </row>
    <row r="58" spans="1:6" x14ac:dyDescent="0.3">
      <c r="A58" t="s">
        <v>134</v>
      </c>
      <c r="C58" s="10" t="s">
        <v>672</v>
      </c>
      <c r="D58" t="str">
        <f t="shared" si="1"/>
        <v>DLF</v>
      </c>
      <c r="E58" t="str">
        <f t="shared" si="2"/>
        <v>NSE:DLF-EQ</v>
      </c>
      <c r="F58" t="str">
        <f t="shared" si="0"/>
        <v>DLF-EQ</v>
      </c>
    </row>
    <row r="59" spans="1:6" x14ac:dyDescent="0.3">
      <c r="A59" t="s">
        <v>136</v>
      </c>
      <c r="C59" s="10" t="s">
        <v>673</v>
      </c>
      <c r="D59" t="str">
        <f t="shared" si="1"/>
        <v>DRREDDY</v>
      </c>
      <c r="E59" t="str">
        <f t="shared" si="2"/>
        <v>NSE:DRREDDY-EQ</v>
      </c>
      <c r="F59" t="str">
        <f t="shared" si="0"/>
        <v>DRREDDY-EQ</v>
      </c>
    </row>
    <row r="60" spans="1:6" x14ac:dyDescent="0.3">
      <c r="A60" t="s">
        <v>138</v>
      </c>
      <c r="C60" s="10" t="s">
        <v>674</v>
      </c>
      <c r="D60" t="str">
        <f t="shared" si="1"/>
        <v>EICHERMOT</v>
      </c>
      <c r="E60" t="str">
        <f t="shared" si="2"/>
        <v>NSE:EICHERMOT-EQ</v>
      </c>
      <c r="F60" t="str">
        <f t="shared" si="0"/>
        <v>EICHERMOT-EQ</v>
      </c>
    </row>
    <row r="61" spans="1:6" x14ac:dyDescent="0.3">
      <c r="A61" t="s">
        <v>140</v>
      </c>
      <c r="C61" s="10" t="s">
        <v>675</v>
      </c>
      <c r="D61" t="str">
        <f t="shared" si="1"/>
        <v>ESCORTS</v>
      </c>
      <c r="E61" t="str">
        <f t="shared" si="2"/>
        <v>NSE:ESCORTS-EQ</v>
      </c>
      <c r="F61" t="str">
        <f t="shared" si="0"/>
        <v>ESCORTS-EQ</v>
      </c>
    </row>
    <row r="62" spans="1:6" x14ac:dyDescent="0.3">
      <c r="A62" t="s">
        <v>142</v>
      </c>
      <c r="C62" s="10" t="s">
        <v>676</v>
      </c>
      <c r="D62" t="str">
        <f t="shared" si="1"/>
        <v>EXIDEIND</v>
      </c>
      <c r="E62" t="str">
        <f t="shared" si="2"/>
        <v>NSE:EXIDEIND-EQ</v>
      </c>
      <c r="F62" t="str">
        <f t="shared" si="0"/>
        <v>EXIDEIND-EQ</v>
      </c>
    </row>
    <row r="63" spans="1:6" x14ac:dyDescent="0.3">
      <c r="A63" t="s">
        <v>144</v>
      </c>
      <c r="C63" s="10" t="s">
        <v>677</v>
      </c>
      <c r="D63" t="str">
        <f t="shared" si="1"/>
        <v>FEDERALBNK</v>
      </c>
      <c r="E63" t="str">
        <f t="shared" si="2"/>
        <v>NSE:FEDERALBNK-EQ</v>
      </c>
      <c r="F63" t="str">
        <f t="shared" si="0"/>
        <v>FEDERALBNK-EQ</v>
      </c>
    </row>
    <row r="64" spans="1:6" x14ac:dyDescent="0.3">
      <c r="A64" t="s">
        <v>146</v>
      </c>
      <c r="C64" s="10" t="s">
        <v>678</v>
      </c>
      <c r="D64" t="str">
        <f t="shared" si="1"/>
        <v>GAIL</v>
      </c>
      <c r="E64" t="str">
        <f t="shared" si="2"/>
        <v>NSE:GAIL-EQ</v>
      </c>
      <c r="F64" t="str">
        <f t="shared" si="0"/>
        <v>GAIL-EQ</v>
      </c>
    </row>
    <row r="65" spans="1:6" x14ac:dyDescent="0.3">
      <c r="A65" t="s">
        <v>148</v>
      </c>
      <c r="C65" s="10" t="s">
        <v>679</v>
      </c>
      <c r="D65" t="str">
        <f t="shared" si="1"/>
        <v>GLENMARK</v>
      </c>
      <c r="E65" t="str">
        <f t="shared" si="2"/>
        <v>NSE:GLENMARK-EQ</v>
      </c>
      <c r="F65" t="str">
        <f t="shared" si="0"/>
        <v>GLENMARK-EQ</v>
      </c>
    </row>
    <row r="66" spans="1:6" x14ac:dyDescent="0.3">
      <c r="A66" t="s">
        <v>150</v>
      </c>
      <c r="C66" s="10" t="s">
        <v>680</v>
      </c>
      <c r="D66" t="str">
        <f t="shared" si="1"/>
        <v>GMRINFRA</v>
      </c>
      <c r="E66" t="str">
        <f t="shared" si="2"/>
        <v>NSE:GMRINFRA-EQ</v>
      </c>
      <c r="F66" t="str">
        <f t="shared" ref="F66:F129" si="3">""&amp;D66&amp;"-EQ"</f>
        <v>GMRINFRA-EQ</v>
      </c>
    </row>
    <row r="67" spans="1:6" x14ac:dyDescent="0.3">
      <c r="A67" t="s">
        <v>152</v>
      </c>
      <c r="C67" s="10" t="s">
        <v>681</v>
      </c>
      <c r="D67" t="str">
        <f t="shared" ref="D67:D130" si="4">LEFT(C67, LEN(C67) - 3)</f>
        <v>GNFC</v>
      </c>
      <c r="E67" t="str">
        <f t="shared" ref="E67:E130" si="5">"NSE:"&amp;""&amp;D67&amp;"-EQ"</f>
        <v>NSE:GNFC-EQ</v>
      </c>
      <c r="F67" t="str">
        <f t="shared" si="3"/>
        <v>GNFC-EQ</v>
      </c>
    </row>
    <row r="68" spans="1:6" x14ac:dyDescent="0.3">
      <c r="A68" t="s">
        <v>154</v>
      </c>
      <c r="C68" s="10" t="s">
        <v>682</v>
      </c>
      <c r="D68" t="str">
        <f t="shared" si="4"/>
        <v>GODREJCP</v>
      </c>
      <c r="E68" t="str">
        <f t="shared" si="5"/>
        <v>NSE:GODREJCP-EQ</v>
      </c>
      <c r="F68" t="str">
        <f t="shared" si="3"/>
        <v>GODREJCP-EQ</v>
      </c>
    </row>
    <row r="69" spans="1:6" x14ac:dyDescent="0.3">
      <c r="A69" t="s">
        <v>156</v>
      </c>
      <c r="C69" s="10" t="s">
        <v>683</v>
      </c>
      <c r="D69" t="str">
        <f t="shared" si="4"/>
        <v>GODREJPROP</v>
      </c>
      <c r="E69" t="str">
        <f t="shared" si="5"/>
        <v>NSE:GODREJPROP-EQ</v>
      </c>
      <c r="F69" t="str">
        <f t="shared" si="3"/>
        <v>GODREJPROP-EQ</v>
      </c>
    </row>
    <row r="70" spans="1:6" x14ac:dyDescent="0.3">
      <c r="A70" t="s">
        <v>158</v>
      </c>
      <c r="C70" s="10" t="s">
        <v>684</v>
      </c>
      <c r="D70" t="str">
        <f t="shared" si="4"/>
        <v>GRANULES</v>
      </c>
      <c r="E70" t="str">
        <f t="shared" si="5"/>
        <v>NSE:GRANULES-EQ</v>
      </c>
      <c r="F70" t="str">
        <f t="shared" si="3"/>
        <v>GRANULES-EQ</v>
      </c>
    </row>
    <row r="71" spans="1:6" x14ac:dyDescent="0.3">
      <c r="A71" t="s">
        <v>160</v>
      </c>
      <c r="C71" s="10" t="s">
        <v>685</v>
      </c>
      <c r="D71" t="str">
        <f t="shared" si="4"/>
        <v>GRASIM</v>
      </c>
      <c r="E71" t="str">
        <f t="shared" si="5"/>
        <v>NSE:GRASIM-EQ</v>
      </c>
      <c r="F71" t="str">
        <f t="shared" si="3"/>
        <v>GRASIM-EQ</v>
      </c>
    </row>
    <row r="72" spans="1:6" x14ac:dyDescent="0.3">
      <c r="A72" t="s">
        <v>162</v>
      </c>
      <c r="C72" s="10" t="s">
        <v>686</v>
      </c>
      <c r="D72" t="str">
        <f t="shared" si="4"/>
        <v>GUJGASLTD</v>
      </c>
      <c r="E72" t="str">
        <f t="shared" si="5"/>
        <v>NSE:GUJGASLTD-EQ</v>
      </c>
      <c r="F72" t="str">
        <f t="shared" si="3"/>
        <v>GUJGASLTD-EQ</v>
      </c>
    </row>
    <row r="73" spans="1:6" x14ac:dyDescent="0.3">
      <c r="A73" t="s">
        <v>164</v>
      </c>
      <c r="C73" s="10" t="s">
        <v>687</v>
      </c>
      <c r="D73" t="str">
        <f t="shared" si="4"/>
        <v>HAL</v>
      </c>
      <c r="E73" t="str">
        <f t="shared" si="5"/>
        <v>NSE:HAL-EQ</v>
      </c>
      <c r="F73" t="str">
        <f t="shared" si="3"/>
        <v>HAL-EQ</v>
      </c>
    </row>
    <row r="74" spans="1:6" x14ac:dyDescent="0.3">
      <c r="A74" t="s">
        <v>166</v>
      </c>
      <c r="C74" s="10" t="s">
        <v>688</v>
      </c>
      <c r="D74" t="str">
        <f t="shared" si="4"/>
        <v>HAVELLS</v>
      </c>
      <c r="E74" t="str">
        <f t="shared" si="5"/>
        <v>NSE:HAVELLS-EQ</v>
      </c>
      <c r="F74" t="str">
        <f t="shared" si="3"/>
        <v>HAVELLS-EQ</v>
      </c>
    </row>
    <row r="75" spans="1:6" x14ac:dyDescent="0.3">
      <c r="A75" t="s">
        <v>168</v>
      </c>
      <c r="C75" s="10" t="s">
        <v>689</v>
      </c>
      <c r="D75" t="str">
        <f t="shared" si="4"/>
        <v>HCLTECH</v>
      </c>
      <c r="E75" t="str">
        <f t="shared" si="5"/>
        <v>NSE:HCLTECH-EQ</v>
      </c>
      <c r="F75" t="str">
        <f t="shared" si="3"/>
        <v>HCLTECH-EQ</v>
      </c>
    </row>
    <row r="76" spans="1:6" x14ac:dyDescent="0.3">
      <c r="A76" t="s">
        <v>802</v>
      </c>
      <c r="C76" s="10" t="s">
        <v>803</v>
      </c>
      <c r="D76" t="str">
        <f t="shared" si="4"/>
        <v>HDFC</v>
      </c>
      <c r="E76" t="str">
        <f t="shared" si="5"/>
        <v>NSE:HDFC-EQ</v>
      </c>
      <c r="F76" t="str">
        <f t="shared" si="3"/>
        <v>HDFC-EQ</v>
      </c>
    </row>
    <row r="77" spans="1:6" x14ac:dyDescent="0.3">
      <c r="A77" t="s">
        <v>170</v>
      </c>
      <c r="C77" s="10" t="s">
        <v>690</v>
      </c>
      <c r="D77" t="str">
        <f t="shared" si="4"/>
        <v>HDFCAMC</v>
      </c>
      <c r="E77" t="str">
        <f t="shared" si="5"/>
        <v>NSE:HDFCAMC-EQ</v>
      </c>
      <c r="F77" t="str">
        <f t="shared" si="3"/>
        <v>HDFCAMC-EQ</v>
      </c>
    </row>
    <row r="78" spans="1:6" x14ac:dyDescent="0.3">
      <c r="A78" t="s">
        <v>172</v>
      </c>
      <c r="C78" s="10" t="s">
        <v>691</v>
      </c>
      <c r="D78" t="str">
        <f t="shared" si="4"/>
        <v>HDFCBANK</v>
      </c>
      <c r="E78" t="str">
        <f t="shared" si="5"/>
        <v>NSE:HDFCBANK-EQ</v>
      </c>
      <c r="F78" t="str">
        <f t="shared" si="3"/>
        <v>HDFCBANK-EQ</v>
      </c>
    </row>
    <row r="79" spans="1:6" x14ac:dyDescent="0.3">
      <c r="A79" t="s">
        <v>174</v>
      </c>
      <c r="C79" s="10" t="s">
        <v>692</v>
      </c>
      <c r="D79" t="str">
        <f t="shared" si="4"/>
        <v>HDFCLIFE</v>
      </c>
      <c r="E79" t="str">
        <f t="shared" si="5"/>
        <v>NSE:HDFCLIFE-EQ</v>
      </c>
      <c r="F79" t="str">
        <f t="shared" si="3"/>
        <v>HDFCLIFE-EQ</v>
      </c>
    </row>
    <row r="80" spans="1:6" x14ac:dyDescent="0.3">
      <c r="A80" t="s">
        <v>176</v>
      </c>
      <c r="C80" s="10" t="s">
        <v>693</v>
      </c>
      <c r="D80" t="str">
        <f t="shared" si="4"/>
        <v>HEROMOTOCO</v>
      </c>
      <c r="E80" t="str">
        <f t="shared" si="5"/>
        <v>NSE:HEROMOTOCO-EQ</v>
      </c>
      <c r="F80" t="str">
        <f t="shared" si="3"/>
        <v>HEROMOTOCO-EQ</v>
      </c>
    </row>
    <row r="81" spans="1:6" x14ac:dyDescent="0.3">
      <c r="A81" t="s">
        <v>178</v>
      </c>
      <c r="C81" s="10" t="s">
        <v>694</v>
      </c>
      <c r="D81" t="str">
        <f t="shared" si="4"/>
        <v>HINDALCO</v>
      </c>
      <c r="E81" t="str">
        <f t="shared" si="5"/>
        <v>NSE:HINDALCO-EQ</v>
      </c>
      <c r="F81" t="str">
        <f t="shared" si="3"/>
        <v>HINDALCO-EQ</v>
      </c>
    </row>
    <row r="82" spans="1:6" x14ac:dyDescent="0.3">
      <c r="A82" t="s">
        <v>180</v>
      </c>
      <c r="C82" s="10" t="s">
        <v>695</v>
      </c>
      <c r="D82" t="str">
        <f t="shared" si="4"/>
        <v>HINDCOPPER</v>
      </c>
      <c r="E82" t="str">
        <f t="shared" si="5"/>
        <v>NSE:HINDCOPPER-EQ</v>
      </c>
      <c r="F82" t="str">
        <f t="shared" si="3"/>
        <v>HINDCOPPER-EQ</v>
      </c>
    </row>
    <row r="83" spans="1:6" x14ac:dyDescent="0.3">
      <c r="A83" t="s">
        <v>182</v>
      </c>
      <c r="C83" s="10" t="s">
        <v>696</v>
      </c>
      <c r="D83" t="str">
        <f t="shared" si="4"/>
        <v>HINDPETRO</v>
      </c>
      <c r="E83" t="str">
        <f t="shared" si="5"/>
        <v>NSE:HINDPETRO-EQ</v>
      </c>
      <c r="F83" t="str">
        <f t="shared" si="3"/>
        <v>HINDPETRO-EQ</v>
      </c>
    </row>
    <row r="84" spans="1:6" x14ac:dyDescent="0.3">
      <c r="A84" t="s">
        <v>184</v>
      </c>
      <c r="C84" s="10" t="s">
        <v>697</v>
      </c>
      <c r="D84" t="str">
        <f t="shared" si="4"/>
        <v>HINDUNILVR</v>
      </c>
      <c r="E84" t="str">
        <f t="shared" si="5"/>
        <v>NSE:HINDUNILVR-EQ</v>
      </c>
      <c r="F84" t="str">
        <f t="shared" si="3"/>
        <v>HINDUNILVR-EQ</v>
      </c>
    </row>
    <row r="85" spans="1:6" x14ac:dyDescent="0.3">
      <c r="A85" t="s">
        <v>804</v>
      </c>
      <c r="C85" s="10" t="s">
        <v>805</v>
      </c>
      <c r="D85" t="str">
        <f t="shared" si="4"/>
        <v>IBULHSGFIN</v>
      </c>
      <c r="E85" t="str">
        <f t="shared" si="5"/>
        <v>NSE:IBULHSGFIN-EQ</v>
      </c>
      <c r="F85" t="str">
        <f t="shared" si="3"/>
        <v>IBULHSGFIN-EQ</v>
      </c>
    </row>
    <row r="86" spans="1:6" x14ac:dyDescent="0.3">
      <c r="A86" t="s">
        <v>186</v>
      </c>
      <c r="C86" s="10" t="s">
        <v>698</v>
      </c>
      <c r="D86" t="str">
        <f t="shared" si="4"/>
        <v>ICICIBANK</v>
      </c>
      <c r="E86" t="str">
        <f t="shared" si="5"/>
        <v>NSE:ICICIBANK-EQ</v>
      </c>
      <c r="F86" t="str">
        <f t="shared" si="3"/>
        <v>ICICIBANK-EQ</v>
      </c>
    </row>
    <row r="87" spans="1:6" x14ac:dyDescent="0.3">
      <c r="A87" t="s">
        <v>188</v>
      </c>
      <c r="C87" s="10" t="s">
        <v>699</v>
      </c>
      <c r="D87" t="str">
        <f t="shared" si="4"/>
        <v>ICICIGI</v>
      </c>
      <c r="E87" t="str">
        <f t="shared" si="5"/>
        <v>NSE:ICICIGI-EQ</v>
      </c>
      <c r="F87" t="str">
        <f t="shared" si="3"/>
        <v>ICICIGI-EQ</v>
      </c>
    </row>
    <row r="88" spans="1:6" x14ac:dyDescent="0.3">
      <c r="A88" t="s">
        <v>190</v>
      </c>
      <c r="C88" s="10" t="s">
        <v>700</v>
      </c>
      <c r="D88" t="str">
        <f t="shared" si="4"/>
        <v>ICICIPRULI</v>
      </c>
      <c r="E88" t="str">
        <f t="shared" si="5"/>
        <v>NSE:ICICIPRULI-EQ</v>
      </c>
      <c r="F88" t="str">
        <f t="shared" si="3"/>
        <v>ICICIPRULI-EQ</v>
      </c>
    </row>
    <row r="89" spans="1:6" x14ac:dyDescent="0.3">
      <c r="A89" t="s">
        <v>192</v>
      </c>
      <c r="C89" s="10" t="s">
        <v>701</v>
      </c>
      <c r="D89" t="str">
        <f t="shared" si="4"/>
        <v>IDEA</v>
      </c>
      <c r="E89" t="str">
        <f t="shared" si="5"/>
        <v>NSE:IDEA-EQ</v>
      </c>
      <c r="F89" t="str">
        <f t="shared" si="3"/>
        <v>IDEA-EQ</v>
      </c>
    </row>
    <row r="90" spans="1:6" x14ac:dyDescent="0.3">
      <c r="A90" t="s">
        <v>194</v>
      </c>
      <c r="C90" s="10" t="s">
        <v>702</v>
      </c>
      <c r="D90" t="str">
        <f t="shared" si="4"/>
        <v>IDFC</v>
      </c>
      <c r="E90" t="str">
        <f t="shared" si="5"/>
        <v>NSE:IDFC-EQ</v>
      </c>
      <c r="F90" t="str">
        <f t="shared" si="3"/>
        <v>IDFC-EQ</v>
      </c>
    </row>
    <row r="91" spans="1:6" x14ac:dyDescent="0.3">
      <c r="A91" t="s">
        <v>196</v>
      </c>
      <c r="C91" s="10" t="s">
        <v>703</v>
      </c>
      <c r="D91" t="str">
        <f t="shared" si="4"/>
        <v>IDFCFIRSTB</v>
      </c>
      <c r="E91" t="str">
        <f t="shared" si="5"/>
        <v>NSE:IDFCFIRSTB-EQ</v>
      </c>
      <c r="F91" t="str">
        <f t="shared" si="3"/>
        <v>IDFCFIRSTB-EQ</v>
      </c>
    </row>
    <row r="92" spans="1:6" x14ac:dyDescent="0.3">
      <c r="A92" t="s">
        <v>198</v>
      </c>
      <c r="C92" s="10" t="s">
        <v>704</v>
      </c>
      <c r="D92" t="str">
        <f t="shared" si="4"/>
        <v>IEX</v>
      </c>
      <c r="E92" t="str">
        <f t="shared" si="5"/>
        <v>NSE:IEX-EQ</v>
      </c>
      <c r="F92" t="str">
        <f t="shared" si="3"/>
        <v>IEX-EQ</v>
      </c>
    </row>
    <row r="93" spans="1:6" x14ac:dyDescent="0.3">
      <c r="A93" t="s">
        <v>200</v>
      </c>
      <c r="C93" s="10" t="s">
        <v>705</v>
      </c>
      <c r="D93" t="str">
        <f t="shared" si="4"/>
        <v>IGL</v>
      </c>
      <c r="E93" t="str">
        <f t="shared" si="5"/>
        <v>NSE:IGL-EQ</v>
      </c>
      <c r="F93" t="str">
        <f t="shared" si="3"/>
        <v>IGL-EQ</v>
      </c>
    </row>
    <row r="94" spans="1:6" x14ac:dyDescent="0.3">
      <c r="A94" t="s">
        <v>202</v>
      </c>
      <c r="C94" s="10" t="s">
        <v>706</v>
      </c>
      <c r="D94" t="str">
        <f t="shared" si="4"/>
        <v>INDHOTEL</v>
      </c>
      <c r="E94" t="str">
        <f t="shared" si="5"/>
        <v>NSE:INDHOTEL-EQ</v>
      </c>
      <c r="F94" t="str">
        <f t="shared" si="3"/>
        <v>INDHOTEL-EQ</v>
      </c>
    </row>
    <row r="95" spans="1:6" x14ac:dyDescent="0.3">
      <c r="A95" t="s">
        <v>204</v>
      </c>
      <c r="C95" s="10" t="s">
        <v>707</v>
      </c>
      <c r="D95" t="str">
        <f t="shared" si="4"/>
        <v>INDIACEM</v>
      </c>
      <c r="E95" t="str">
        <f t="shared" si="5"/>
        <v>NSE:INDIACEM-EQ</v>
      </c>
      <c r="F95" t="str">
        <f t="shared" si="3"/>
        <v>INDIACEM-EQ</v>
      </c>
    </row>
    <row r="96" spans="1:6" x14ac:dyDescent="0.3">
      <c r="A96" t="s">
        <v>206</v>
      </c>
      <c r="C96" s="10" t="s">
        <v>708</v>
      </c>
      <c r="D96" t="str">
        <f t="shared" si="4"/>
        <v>INDIAMART</v>
      </c>
      <c r="E96" t="str">
        <f t="shared" si="5"/>
        <v>NSE:INDIAMART-EQ</v>
      </c>
      <c r="F96" t="str">
        <f t="shared" si="3"/>
        <v>INDIAMART-EQ</v>
      </c>
    </row>
    <row r="97" spans="1:6" x14ac:dyDescent="0.3">
      <c r="A97" t="s">
        <v>208</v>
      </c>
      <c r="C97" s="10" t="s">
        <v>709</v>
      </c>
      <c r="D97" t="str">
        <f t="shared" si="4"/>
        <v>INDIGO</v>
      </c>
      <c r="E97" t="str">
        <f t="shared" si="5"/>
        <v>NSE:INDIGO-EQ</v>
      </c>
      <c r="F97" t="str">
        <f t="shared" si="3"/>
        <v>INDIGO-EQ</v>
      </c>
    </row>
    <row r="98" spans="1:6" x14ac:dyDescent="0.3">
      <c r="A98" t="s">
        <v>210</v>
      </c>
      <c r="C98" s="10" t="s">
        <v>710</v>
      </c>
      <c r="D98" t="str">
        <f t="shared" si="4"/>
        <v>INDUSINDBK</v>
      </c>
      <c r="E98" t="str">
        <f t="shared" si="5"/>
        <v>NSE:INDUSINDBK-EQ</v>
      </c>
      <c r="F98" t="str">
        <f t="shared" si="3"/>
        <v>INDUSINDBK-EQ</v>
      </c>
    </row>
    <row r="99" spans="1:6" x14ac:dyDescent="0.3">
      <c r="A99" t="s">
        <v>212</v>
      </c>
      <c r="C99" s="10" t="s">
        <v>711</v>
      </c>
      <c r="D99" t="str">
        <f t="shared" si="4"/>
        <v>INDUSTOWER</v>
      </c>
      <c r="E99" t="str">
        <f t="shared" si="5"/>
        <v>NSE:INDUSTOWER-EQ</v>
      </c>
      <c r="F99" t="str">
        <f t="shared" si="3"/>
        <v>INDUSTOWER-EQ</v>
      </c>
    </row>
    <row r="100" spans="1:6" x14ac:dyDescent="0.3">
      <c r="A100" t="s">
        <v>214</v>
      </c>
      <c r="C100" s="10" t="s">
        <v>712</v>
      </c>
      <c r="D100" t="str">
        <f t="shared" si="4"/>
        <v>INFY</v>
      </c>
      <c r="E100" t="str">
        <f t="shared" si="5"/>
        <v>NSE:INFY-EQ</v>
      </c>
      <c r="F100" t="str">
        <f t="shared" si="3"/>
        <v>INFY-EQ</v>
      </c>
    </row>
    <row r="101" spans="1:6" x14ac:dyDescent="0.3">
      <c r="A101" t="s">
        <v>806</v>
      </c>
      <c r="C101" s="10" t="s">
        <v>807</v>
      </c>
      <c r="D101" t="str">
        <f t="shared" si="4"/>
        <v>INTELLECT</v>
      </c>
      <c r="E101" t="str">
        <f t="shared" si="5"/>
        <v>NSE:INTELLECT-EQ</v>
      </c>
      <c r="F101" t="str">
        <f t="shared" si="3"/>
        <v>INTELLECT-EQ</v>
      </c>
    </row>
    <row r="102" spans="1:6" x14ac:dyDescent="0.3">
      <c r="A102" t="s">
        <v>216</v>
      </c>
      <c r="C102" s="10" t="s">
        <v>713</v>
      </c>
      <c r="D102" t="str">
        <f t="shared" si="4"/>
        <v>IOC</v>
      </c>
      <c r="E102" t="str">
        <f t="shared" si="5"/>
        <v>NSE:IOC-EQ</v>
      </c>
      <c r="F102" t="str">
        <f t="shared" si="3"/>
        <v>IOC-EQ</v>
      </c>
    </row>
    <row r="103" spans="1:6" x14ac:dyDescent="0.3">
      <c r="A103" t="s">
        <v>218</v>
      </c>
      <c r="C103" s="10" t="s">
        <v>714</v>
      </c>
      <c r="D103" t="str">
        <f t="shared" si="4"/>
        <v>IPCALAB</v>
      </c>
      <c r="E103" t="str">
        <f t="shared" si="5"/>
        <v>NSE:IPCALAB-EQ</v>
      </c>
      <c r="F103" t="str">
        <f t="shared" si="3"/>
        <v>IPCALAB-EQ</v>
      </c>
    </row>
    <row r="104" spans="1:6" x14ac:dyDescent="0.3">
      <c r="A104" t="s">
        <v>220</v>
      </c>
      <c r="C104" s="10" t="s">
        <v>715</v>
      </c>
      <c r="D104" t="str">
        <f t="shared" si="4"/>
        <v>IRCTC</v>
      </c>
      <c r="E104" t="str">
        <f t="shared" si="5"/>
        <v>NSE:IRCTC-EQ</v>
      </c>
      <c r="F104" t="str">
        <f t="shared" si="3"/>
        <v>IRCTC-EQ</v>
      </c>
    </row>
    <row r="105" spans="1:6" x14ac:dyDescent="0.3">
      <c r="A105" t="s">
        <v>222</v>
      </c>
      <c r="C105" s="10" t="s">
        <v>716</v>
      </c>
      <c r="D105" t="str">
        <f t="shared" si="4"/>
        <v>ITC</v>
      </c>
      <c r="E105" t="str">
        <f t="shared" si="5"/>
        <v>NSE:ITC-EQ</v>
      </c>
      <c r="F105" t="str">
        <f t="shared" si="3"/>
        <v>ITC-EQ</v>
      </c>
    </row>
    <row r="106" spans="1:6" x14ac:dyDescent="0.3">
      <c r="A106" t="s">
        <v>224</v>
      </c>
      <c r="C106" s="10" t="s">
        <v>717</v>
      </c>
      <c r="D106" t="str">
        <f t="shared" si="4"/>
        <v>JINDALSTEL</v>
      </c>
      <c r="E106" t="str">
        <f t="shared" si="5"/>
        <v>NSE:JINDALSTEL-EQ</v>
      </c>
      <c r="F106" t="str">
        <f t="shared" si="3"/>
        <v>JINDALSTEL-EQ</v>
      </c>
    </row>
    <row r="107" spans="1:6" x14ac:dyDescent="0.3">
      <c r="A107" t="s">
        <v>226</v>
      </c>
      <c r="C107" s="10" t="s">
        <v>718</v>
      </c>
      <c r="D107" t="str">
        <f t="shared" si="4"/>
        <v>JKCEMENT</v>
      </c>
      <c r="E107" t="str">
        <f t="shared" si="5"/>
        <v>NSE:JKCEMENT-EQ</v>
      </c>
      <c r="F107" t="str">
        <f t="shared" si="3"/>
        <v>JKCEMENT-EQ</v>
      </c>
    </row>
    <row r="108" spans="1:6" x14ac:dyDescent="0.3">
      <c r="A108" t="s">
        <v>228</v>
      </c>
      <c r="C108" s="10" t="s">
        <v>719</v>
      </c>
      <c r="D108" t="str">
        <f t="shared" si="4"/>
        <v>JSWSTEEL</v>
      </c>
      <c r="E108" t="str">
        <f t="shared" si="5"/>
        <v>NSE:JSWSTEEL-EQ</v>
      </c>
      <c r="F108" t="str">
        <f t="shared" si="3"/>
        <v>JSWSTEEL-EQ</v>
      </c>
    </row>
    <row r="109" spans="1:6" x14ac:dyDescent="0.3">
      <c r="A109" t="s">
        <v>230</v>
      </c>
      <c r="C109" s="10" t="s">
        <v>720</v>
      </c>
      <c r="D109" t="str">
        <f t="shared" si="4"/>
        <v>JUBLFOOD</v>
      </c>
      <c r="E109" t="str">
        <f t="shared" si="5"/>
        <v>NSE:JUBLFOOD-EQ</v>
      </c>
      <c r="F109" t="str">
        <f t="shared" si="3"/>
        <v>JUBLFOOD-EQ</v>
      </c>
    </row>
    <row r="110" spans="1:6" x14ac:dyDescent="0.3">
      <c r="A110" t="s">
        <v>232</v>
      </c>
      <c r="C110" s="10" t="s">
        <v>721</v>
      </c>
      <c r="D110" t="str">
        <f t="shared" si="4"/>
        <v>KOTAKBANK</v>
      </c>
      <c r="E110" t="str">
        <f t="shared" si="5"/>
        <v>NSE:KOTAKBANK-EQ</v>
      </c>
      <c r="F110" t="str">
        <f t="shared" si="3"/>
        <v>KOTAKBANK-EQ</v>
      </c>
    </row>
    <row r="111" spans="1:6" x14ac:dyDescent="0.3">
      <c r="A111" t="s">
        <v>604</v>
      </c>
      <c r="C111" s="10" t="s">
        <v>722</v>
      </c>
      <c r="D111" t="str">
        <f t="shared" si="4"/>
        <v>L&amp;TFH</v>
      </c>
      <c r="E111" t="str">
        <f t="shared" si="5"/>
        <v>NSE:L&amp;TFH-EQ</v>
      </c>
      <c r="F111" t="str">
        <f t="shared" si="3"/>
        <v>L&amp;TFH-EQ</v>
      </c>
    </row>
    <row r="112" spans="1:6" x14ac:dyDescent="0.3">
      <c r="A112" t="s">
        <v>235</v>
      </c>
      <c r="C112" s="10" t="s">
        <v>723</v>
      </c>
      <c r="D112" t="str">
        <f t="shared" si="4"/>
        <v>LALPATHLAB</v>
      </c>
      <c r="E112" t="str">
        <f t="shared" si="5"/>
        <v>NSE:LALPATHLAB-EQ</v>
      </c>
      <c r="F112" t="str">
        <f t="shared" si="3"/>
        <v>LALPATHLAB-EQ</v>
      </c>
    </row>
    <row r="113" spans="1:6" x14ac:dyDescent="0.3">
      <c r="A113" t="s">
        <v>237</v>
      </c>
      <c r="C113" s="10" t="s">
        <v>724</v>
      </c>
      <c r="D113" t="str">
        <f t="shared" si="4"/>
        <v>LAURUSLABS</v>
      </c>
      <c r="E113" t="str">
        <f t="shared" si="5"/>
        <v>NSE:LAURUSLABS-EQ</v>
      </c>
      <c r="F113" t="str">
        <f t="shared" si="3"/>
        <v>LAURUSLABS-EQ</v>
      </c>
    </row>
    <row r="114" spans="1:6" x14ac:dyDescent="0.3">
      <c r="A114" t="s">
        <v>239</v>
      </c>
      <c r="C114" s="10" t="s">
        <v>725</v>
      </c>
      <c r="D114" t="str">
        <f t="shared" si="4"/>
        <v>LICHSGFIN</v>
      </c>
      <c r="E114" t="str">
        <f t="shared" si="5"/>
        <v>NSE:LICHSGFIN-EQ</v>
      </c>
      <c r="F114" t="str">
        <f t="shared" si="3"/>
        <v>LICHSGFIN-EQ</v>
      </c>
    </row>
    <row r="115" spans="1:6" x14ac:dyDescent="0.3">
      <c r="A115" t="s">
        <v>241</v>
      </c>
      <c r="C115" s="10" t="s">
        <v>726</v>
      </c>
      <c r="D115" t="str">
        <f t="shared" si="4"/>
        <v>LT</v>
      </c>
      <c r="E115" t="str">
        <f t="shared" si="5"/>
        <v>NSE:LT-EQ</v>
      </c>
      <c r="F115" t="str">
        <f t="shared" si="3"/>
        <v>LT-EQ</v>
      </c>
    </row>
    <row r="116" spans="1:6" x14ac:dyDescent="0.3">
      <c r="A116" t="s">
        <v>243</v>
      </c>
      <c r="C116" s="10" t="s">
        <v>727</v>
      </c>
      <c r="D116" t="str">
        <f t="shared" si="4"/>
        <v>LTIM</v>
      </c>
      <c r="E116" t="str">
        <f t="shared" si="5"/>
        <v>NSE:LTIM-EQ</v>
      </c>
      <c r="F116" t="str">
        <f t="shared" si="3"/>
        <v>LTIM-EQ</v>
      </c>
    </row>
    <row r="117" spans="1:6" x14ac:dyDescent="0.3">
      <c r="A117" t="s">
        <v>245</v>
      </c>
      <c r="C117" s="10" t="s">
        <v>728</v>
      </c>
      <c r="D117" t="str">
        <f t="shared" si="4"/>
        <v>LTTS</v>
      </c>
      <c r="E117" t="str">
        <f t="shared" si="5"/>
        <v>NSE:LTTS-EQ</v>
      </c>
      <c r="F117" t="str">
        <f t="shared" si="3"/>
        <v>LTTS-EQ</v>
      </c>
    </row>
    <row r="118" spans="1:6" x14ac:dyDescent="0.3">
      <c r="A118" t="s">
        <v>247</v>
      </c>
      <c r="C118" s="10" t="s">
        <v>729</v>
      </c>
      <c r="D118" t="str">
        <f t="shared" si="4"/>
        <v>LUPIN</v>
      </c>
      <c r="E118" t="str">
        <f t="shared" si="5"/>
        <v>NSE:LUPIN-EQ</v>
      </c>
      <c r="F118" t="str">
        <f t="shared" si="3"/>
        <v>LUPIN-EQ</v>
      </c>
    </row>
    <row r="119" spans="1:6" x14ac:dyDescent="0.3">
      <c r="A119" t="s">
        <v>605</v>
      </c>
      <c r="C119" s="10" t="s">
        <v>730</v>
      </c>
      <c r="D119" t="str">
        <f t="shared" si="4"/>
        <v>M&amp;M</v>
      </c>
      <c r="E119" t="str">
        <f t="shared" si="5"/>
        <v>NSE:M&amp;M-EQ</v>
      </c>
      <c r="F119" t="str">
        <f t="shared" si="3"/>
        <v>M&amp;M-EQ</v>
      </c>
    </row>
    <row r="120" spans="1:6" x14ac:dyDescent="0.3">
      <c r="A120" t="s">
        <v>607</v>
      </c>
      <c r="C120" s="10" t="s">
        <v>731</v>
      </c>
      <c r="D120" t="str">
        <f t="shared" si="4"/>
        <v>M&amp;MFIN</v>
      </c>
      <c r="E120" t="str">
        <f t="shared" si="5"/>
        <v>NSE:M&amp;MFIN-EQ</v>
      </c>
      <c r="F120" t="str">
        <f t="shared" si="3"/>
        <v>M&amp;MFIN-EQ</v>
      </c>
    </row>
    <row r="121" spans="1:6" x14ac:dyDescent="0.3">
      <c r="A121" t="s">
        <v>251</v>
      </c>
      <c r="C121" s="10" t="s">
        <v>732</v>
      </c>
      <c r="D121" t="str">
        <f t="shared" si="4"/>
        <v>MANAPPURAM</v>
      </c>
      <c r="E121" t="str">
        <f t="shared" si="5"/>
        <v>NSE:MANAPPURAM-EQ</v>
      </c>
      <c r="F121" t="str">
        <f t="shared" si="3"/>
        <v>MANAPPURAM-EQ</v>
      </c>
    </row>
    <row r="122" spans="1:6" x14ac:dyDescent="0.3">
      <c r="A122" t="s">
        <v>253</v>
      </c>
      <c r="C122" s="10" t="s">
        <v>733</v>
      </c>
      <c r="D122" t="str">
        <f t="shared" si="4"/>
        <v>MARICO</v>
      </c>
      <c r="E122" t="str">
        <f t="shared" si="5"/>
        <v>NSE:MARICO-EQ</v>
      </c>
      <c r="F122" t="str">
        <f t="shared" si="3"/>
        <v>MARICO-EQ</v>
      </c>
    </row>
    <row r="123" spans="1:6" x14ac:dyDescent="0.3">
      <c r="A123" t="s">
        <v>255</v>
      </c>
      <c r="C123" s="10" t="s">
        <v>734</v>
      </c>
      <c r="D123" t="str">
        <f t="shared" si="4"/>
        <v>MARUTI</v>
      </c>
      <c r="E123" t="str">
        <f t="shared" si="5"/>
        <v>NSE:MARUTI-EQ</v>
      </c>
      <c r="F123" t="str">
        <f t="shared" si="3"/>
        <v>MARUTI-EQ</v>
      </c>
    </row>
    <row r="124" spans="1:6" x14ac:dyDescent="0.3">
      <c r="A124" t="s">
        <v>608</v>
      </c>
      <c r="C124" s="10" t="s">
        <v>735</v>
      </c>
      <c r="D124" t="str">
        <f t="shared" si="4"/>
        <v>MCDOWELL-N</v>
      </c>
      <c r="E124" t="str">
        <f t="shared" si="5"/>
        <v>NSE:MCDOWELL-N-EQ</v>
      </c>
      <c r="F124" t="str">
        <f t="shared" si="3"/>
        <v>MCDOWELL-N-EQ</v>
      </c>
    </row>
    <row r="125" spans="1:6" x14ac:dyDescent="0.3">
      <c r="A125" t="s">
        <v>258</v>
      </c>
      <c r="C125" s="10" t="s">
        <v>736</v>
      </c>
      <c r="D125" t="str">
        <f t="shared" si="4"/>
        <v>MCX</v>
      </c>
      <c r="E125" t="str">
        <f t="shared" si="5"/>
        <v>NSE:MCX-EQ</v>
      </c>
      <c r="F125" t="str">
        <f t="shared" si="3"/>
        <v>MCX-EQ</v>
      </c>
    </row>
    <row r="126" spans="1:6" x14ac:dyDescent="0.3">
      <c r="A126" t="s">
        <v>260</v>
      </c>
      <c r="C126" s="10" t="s">
        <v>737</v>
      </c>
      <c r="D126" t="str">
        <f t="shared" si="4"/>
        <v>METROPOLIS</v>
      </c>
      <c r="E126" t="str">
        <f t="shared" si="5"/>
        <v>NSE:METROPOLIS-EQ</v>
      </c>
      <c r="F126" t="str">
        <f t="shared" si="3"/>
        <v>METROPOLIS-EQ</v>
      </c>
    </row>
    <row r="127" spans="1:6" x14ac:dyDescent="0.3">
      <c r="A127" t="s">
        <v>262</v>
      </c>
      <c r="C127" s="10" t="s">
        <v>738</v>
      </c>
      <c r="D127" t="str">
        <f t="shared" si="4"/>
        <v>MFSL</v>
      </c>
      <c r="E127" t="str">
        <f t="shared" si="5"/>
        <v>NSE:MFSL-EQ</v>
      </c>
      <c r="F127" t="str">
        <f t="shared" si="3"/>
        <v>MFSL-EQ</v>
      </c>
    </row>
    <row r="128" spans="1:6" x14ac:dyDescent="0.3">
      <c r="A128" t="s">
        <v>264</v>
      </c>
      <c r="C128" s="10" t="s">
        <v>739</v>
      </c>
      <c r="D128" t="str">
        <f t="shared" si="4"/>
        <v>MGL</v>
      </c>
      <c r="E128" t="str">
        <f t="shared" si="5"/>
        <v>NSE:MGL-EQ</v>
      </c>
      <c r="F128" t="str">
        <f t="shared" si="3"/>
        <v>MGL-EQ</v>
      </c>
    </row>
    <row r="129" spans="1:6" x14ac:dyDescent="0.3">
      <c r="A129" t="s">
        <v>266</v>
      </c>
      <c r="C129" s="10" t="s">
        <v>740</v>
      </c>
      <c r="D129" t="str">
        <f t="shared" si="4"/>
        <v>MOTHERSON</v>
      </c>
      <c r="E129" t="str">
        <f t="shared" si="5"/>
        <v>NSE:MOTHERSON-EQ</v>
      </c>
      <c r="F129" t="str">
        <f t="shared" si="3"/>
        <v>MOTHERSON-EQ</v>
      </c>
    </row>
    <row r="130" spans="1:6" x14ac:dyDescent="0.3">
      <c r="A130" t="s">
        <v>268</v>
      </c>
      <c r="C130" s="10" t="s">
        <v>741</v>
      </c>
      <c r="D130" t="str">
        <f t="shared" si="4"/>
        <v>MPHASIS</v>
      </c>
      <c r="E130" t="str">
        <f t="shared" si="5"/>
        <v>NSE:MPHASIS-EQ</v>
      </c>
      <c r="F130" t="str">
        <f t="shared" ref="F130:F187" si="6">""&amp;D130&amp;"-EQ"</f>
        <v>MPHASIS-EQ</v>
      </c>
    </row>
    <row r="131" spans="1:6" x14ac:dyDescent="0.3">
      <c r="A131" t="s">
        <v>270</v>
      </c>
      <c r="C131" s="10" t="s">
        <v>742</v>
      </c>
      <c r="D131" t="str">
        <f t="shared" ref="D131:D187" si="7">LEFT(C131, LEN(C131) - 3)</f>
        <v>MRF</v>
      </c>
      <c r="E131" t="str">
        <f t="shared" ref="E131:E187" si="8">"NSE:"&amp;""&amp;D131&amp;"-EQ"</f>
        <v>NSE:MRF-EQ</v>
      </c>
      <c r="F131" t="str">
        <f t="shared" si="6"/>
        <v>MRF-EQ</v>
      </c>
    </row>
    <row r="132" spans="1:6" x14ac:dyDescent="0.3">
      <c r="A132" t="s">
        <v>272</v>
      </c>
      <c r="C132" s="10" t="s">
        <v>743</v>
      </c>
      <c r="D132" t="str">
        <f t="shared" si="7"/>
        <v>MUTHOOTFIN</v>
      </c>
      <c r="E132" t="str">
        <f t="shared" si="8"/>
        <v>NSE:MUTHOOTFIN-EQ</v>
      </c>
      <c r="F132" t="str">
        <f t="shared" si="6"/>
        <v>MUTHOOTFIN-EQ</v>
      </c>
    </row>
    <row r="133" spans="1:6" x14ac:dyDescent="0.3">
      <c r="A133" t="s">
        <v>274</v>
      </c>
      <c r="C133" s="10" t="s">
        <v>744</v>
      </c>
      <c r="D133" t="str">
        <f t="shared" si="7"/>
        <v>NATIONALUM</v>
      </c>
      <c r="E133" t="str">
        <f t="shared" si="8"/>
        <v>NSE:NATIONALUM-EQ</v>
      </c>
      <c r="F133" t="str">
        <f t="shared" si="6"/>
        <v>NATIONALUM-EQ</v>
      </c>
    </row>
    <row r="134" spans="1:6" x14ac:dyDescent="0.3">
      <c r="A134" t="s">
        <v>276</v>
      </c>
      <c r="C134" s="10" t="s">
        <v>745</v>
      </c>
      <c r="D134" t="str">
        <f t="shared" si="7"/>
        <v>NAUKRI</v>
      </c>
      <c r="E134" t="str">
        <f t="shared" si="8"/>
        <v>NSE:NAUKRI-EQ</v>
      </c>
      <c r="F134" t="str">
        <f t="shared" si="6"/>
        <v>NAUKRI-EQ</v>
      </c>
    </row>
    <row r="135" spans="1:6" x14ac:dyDescent="0.3">
      <c r="A135" t="s">
        <v>278</v>
      </c>
      <c r="C135" s="10" t="s">
        <v>746</v>
      </c>
      <c r="D135" t="str">
        <f t="shared" si="7"/>
        <v>NAVINFLUOR</v>
      </c>
      <c r="E135" t="str">
        <f t="shared" si="8"/>
        <v>NSE:NAVINFLUOR-EQ</v>
      </c>
      <c r="F135" t="str">
        <f t="shared" si="6"/>
        <v>NAVINFLUOR-EQ</v>
      </c>
    </row>
    <row r="136" spans="1:6" x14ac:dyDescent="0.3">
      <c r="A136" t="s">
        <v>280</v>
      </c>
      <c r="C136" s="10" t="s">
        <v>747</v>
      </c>
      <c r="D136" t="str">
        <f t="shared" si="7"/>
        <v>NESTLEIND</v>
      </c>
      <c r="E136" t="str">
        <f t="shared" si="8"/>
        <v>NSE:NESTLEIND-EQ</v>
      </c>
      <c r="F136" t="str">
        <f t="shared" si="6"/>
        <v>NESTLEIND-EQ</v>
      </c>
    </row>
    <row r="137" spans="1:6" x14ac:dyDescent="0.3">
      <c r="A137" t="s">
        <v>282</v>
      </c>
      <c r="C137" s="10" t="s">
        <v>748</v>
      </c>
      <c r="D137" t="str">
        <f t="shared" si="7"/>
        <v>NMDC</v>
      </c>
      <c r="E137" t="str">
        <f t="shared" si="8"/>
        <v>NSE:NMDC-EQ</v>
      </c>
      <c r="F137" t="str">
        <f t="shared" si="6"/>
        <v>NMDC-EQ</v>
      </c>
    </row>
    <row r="138" spans="1:6" x14ac:dyDescent="0.3">
      <c r="A138" t="s">
        <v>284</v>
      </c>
      <c r="C138" s="10" t="s">
        <v>749</v>
      </c>
      <c r="D138" t="str">
        <f t="shared" si="7"/>
        <v>NTPC</v>
      </c>
      <c r="E138" t="str">
        <f t="shared" si="8"/>
        <v>NSE:NTPC-EQ</v>
      </c>
      <c r="F138" t="str">
        <f t="shared" si="6"/>
        <v>NTPC-EQ</v>
      </c>
    </row>
    <row r="139" spans="1:6" x14ac:dyDescent="0.3">
      <c r="A139" t="s">
        <v>286</v>
      </c>
      <c r="C139" s="10" t="s">
        <v>750</v>
      </c>
      <c r="D139" t="str">
        <f t="shared" si="7"/>
        <v>OBEROIRLTY</v>
      </c>
      <c r="E139" t="str">
        <f t="shared" si="8"/>
        <v>NSE:OBEROIRLTY-EQ</v>
      </c>
      <c r="F139" t="str">
        <f t="shared" si="6"/>
        <v>OBEROIRLTY-EQ</v>
      </c>
    </row>
    <row r="140" spans="1:6" x14ac:dyDescent="0.3">
      <c r="A140" t="s">
        <v>288</v>
      </c>
      <c r="C140" s="10" t="s">
        <v>751</v>
      </c>
      <c r="D140" t="str">
        <f t="shared" si="7"/>
        <v>OFSS</v>
      </c>
      <c r="E140" t="str">
        <f t="shared" si="8"/>
        <v>NSE:OFSS-EQ</v>
      </c>
      <c r="F140" t="str">
        <f t="shared" si="6"/>
        <v>OFSS-EQ</v>
      </c>
    </row>
    <row r="141" spans="1:6" x14ac:dyDescent="0.3">
      <c r="A141" t="s">
        <v>290</v>
      </c>
      <c r="C141" s="10" t="s">
        <v>752</v>
      </c>
      <c r="D141" t="str">
        <f t="shared" si="7"/>
        <v>ONGC</v>
      </c>
      <c r="E141" t="str">
        <f t="shared" si="8"/>
        <v>NSE:ONGC-EQ</v>
      </c>
      <c r="F141" t="str">
        <f t="shared" si="6"/>
        <v>ONGC-EQ</v>
      </c>
    </row>
    <row r="142" spans="1:6" x14ac:dyDescent="0.3">
      <c r="A142" t="s">
        <v>292</v>
      </c>
      <c r="C142" s="10" t="s">
        <v>753</v>
      </c>
      <c r="D142" t="str">
        <f t="shared" si="7"/>
        <v>PAGEIND</v>
      </c>
      <c r="E142" t="str">
        <f t="shared" si="8"/>
        <v>NSE:PAGEIND-EQ</v>
      </c>
      <c r="F142" t="str">
        <f t="shared" si="6"/>
        <v>PAGEIND-EQ</v>
      </c>
    </row>
    <row r="143" spans="1:6" x14ac:dyDescent="0.3">
      <c r="A143" t="s">
        <v>294</v>
      </c>
      <c r="C143" s="10" t="s">
        <v>754</v>
      </c>
      <c r="D143" t="str">
        <f t="shared" si="7"/>
        <v>PEL</v>
      </c>
      <c r="E143" t="str">
        <f t="shared" si="8"/>
        <v>NSE:PEL-EQ</v>
      </c>
      <c r="F143" t="str">
        <f t="shared" si="6"/>
        <v>PEL-EQ</v>
      </c>
    </row>
    <row r="144" spans="1:6" x14ac:dyDescent="0.3">
      <c r="A144" t="s">
        <v>296</v>
      </c>
      <c r="C144" s="10" t="s">
        <v>755</v>
      </c>
      <c r="D144" t="str">
        <f t="shared" si="7"/>
        <v>PERSISTENT</v>
      </c>
      <c r="E144" t="str">
        <f t="shared" si="8"/>
        <v>NSE:PERSISTENT-EQ</v>
      </c>
      <c r="F144" t="str">
        <f t="shared" si="6"/>
        <v>PERSISTENT-EQ</v>
      </c>
    </row>
    <row r="145" spans="1:6" x14ac:dyDescent="0.3">
      <c r="A145" t="s">
        <v>298</v>
      </c>
      <c r="C145" s="10" t="s">
        <v>756</v>
      </c>
      <c r="D145" t="str">
        <f t="shared" si="7"/>
        <v>PETRONET</v>
      </c>
      <c r="E145" t="str">
        <f t="shared" si="8"/>
        <v>NSE:PETRONET-EQ</v>
      </c>
      <c r="F145" t="str">
        <f t="shared" si="6"/>
        <v>PETRONET-EQ</v>
      </c>
    </row>
    <row r="146" spans="1:6" x14ac:dyDescent="0.3">
      <c r="A146" t="s">
        <v>300</v>
      </c>
      <c r="C146" s="10" t="s">
        <v>757</v>
      </c>
      <c r="D146" t="str">
        <f t="shared" si="7"/>
        <v>PFC</v>
      </c>
      <c r="E146" t="str">
        <f t="shared" si="8"/>
        <v>NSE:PFC-EQ</v>
      </c>
      <c r="F146" t="str">
        <f t="shared" si="6"/>
        <v>PFC-EQ</v>
      </c>
    </row>
    <row r="147" spans="1:6" x14ac:dyDescent="0.3">
      <c r="A147" t="s">
        <v>302</v>
      </c>
      <c r="C147" s="10" t="s">
        <v>758</v>
      </c>
      <c r="D147" t="str">
        <f t="shared" si="7"/>
        <v>PIDILITIND</v>
      </c>
      <c r="E147" t="str">
        <f t="shared" si="8"/>
        <v>NSE:PIDILITIND-EQ</v>
      </c>
      <c r="F147" t="str">
        <f t="shared" si="6"/>
        <v>PIDILITIND-EQ</v>
      </c>
    </row>
    <row r="148" spans="1:6" x14ac:dyDescent="0.3">
      <c r="A148" t="s">
        <v>304</v>
      </c>
      <c r="C148" s="10" t="s">
        <v>759</v>
      </c>
      <c r="D148" t="str">
        <f t="shared" si="7"/>
        <v>PIIND</v>
      </c>
      <c r="E148" t="str">
        <f t="shared" si="8"/>
        <v>NSE:PIIND-EQ</v>
      </c>
      <c r="F148" t="str">
        <f t="shared" si="6"/>
        <v>PIIND-EQ</v>
      </c>
    </row>
    <row r="149" spans="1:6" x14ac:dyDescent="0.3">
      <c r="A149" t="s">
        <v>306</v>
      </c>
      <c r="C149" s="10" t="s">
        <v>760</v>
      </c>
      <c r="D149" t="str">
        <f t="shared" si="7"/>
        <v>PNB</v>
      </c>
      <c r="E149" t="str">
        <f t="shared" si="8"/>
        <v>NSE:PNB-EQ</v>
      </c>
      <c r="F149" t="str">
        <f t="shared" si="6"/>
        <v>PNB-EQ</v>
      </c>
    </row>
    <row r="150" spans="1:6" x14ac:dyDescent="0.3">
      <c r="A150" t="s">
        <v>308</v>
      </c>
      <c r="C150" s="10" t="s">
        <v>761</v>
      </c>
      <c r="D150" t="str">
        <f t="shared" si="7"/>
        <v>POLYCAB</v>
      </c>
      <c r="E150" t="str">
        <f t="shared" si="8"/>
        <v>NSE:POLYCAB-EQ</v>
      </c>
      <c r="F150" t="str">
        <f t="shared" si="6"/>
        <v>POLYCAB-EQ</v>
      </c>
    </row>
    <row r="151" spans="1:6" x14ac:dyDescent="0.3">
      <c r="A151" t="s">
        <v>310</v>
      </c>
      <c r="C151" s="10" t="s">
        <v>762</v>
      </c>
      <c r="D151" t="str">
        <f t="shared" si="7"/>
        <v>POWERGRID</v>
      </c>
      <c r="E151" t="str">
        <f t="shared" si="8"/>
        <v>NSE:POWERGRID-EQ</v>
      </c>
      <c r="F151" t="str">
        <f t="shared" si="6"/>
        <v>POWERGRID-EQ</v>
      </c>
    </row>
    <row r="152" spans="1:6" x14ac:dyDescent="0.3">
      <c r="A152" t="s">
        <v>312</v>
      </c>
      <c r="C152" s="10" t="s">
        <v>763</v>
      </c>
      <c r="D152" t="str">
        <f t="shared" si="7"/>
        <v>PVRINOX</v>
      </c>
      <c r="E152" t="str">
        <f t="shared" si="8"/>
        <v>NSE:PVRINOX-EQ</v>
      </c>
      <c r="F152" t="str">
        <f t="shared" si="6"/>
        <v>PVRINOX-EQ</v>
      </c>
    </row>
    <row r="153" spans="1:6" x14ac:dyDescent="0.3">
      <c r="A153" t="s">
        <v>314</v>
      </c>
      <c r="C153" s="10" t="s">
        <v>764</v>
      </c>
      <c r="D153" t="str">
        <f t="shared" si="7"/>
        <v>RAMCOCEM</v>
      </c>
      <c r="E153" t="str">
        <f t="shared" si="8"/>
        <v>NSE:RAMCOCEM-EQ</v>
      </c>
      <c r="F153" t="str">
        <f t="shared" si="6"/>
        <v>RAMCOCEM-EQ</v>
      </c>
    </row>
    <row r="154" spans="1:6" x14ac:dyDescent="0.3">
      <c r="A154" t="s">
        <v>316</v>
      </c>
      <c r="C154" s="10" t="s">
        <v>765</v>
      </c>
      <c r="D154" t="str">
        <f t="shared" si="7"/>
        <v>RBLBANK</v>
      </c>
      <c r="E154" t="str">
        <f t="shared" si="8"/>
        <v>NSE:RBLBANK-EQ</v>
      </c>
      <c r="F154" t="str">
        <f t="shared" si="6"/>
        <v>RBLBANK-EQ</v>
      </c>
    </row>
    <row r="155" spans="1:6" x14ac:dyDescent="0.3">
      <c r="A155" t="s">
        <v>318</v>
      </c>
      <c r="C155" s="10" t="s">
        <v>766</v>
      </c>
      <c r="D155" t="str">
        <f t="shared" si="7"/>
        <v>RECLTD</v>
      </c>
      <c r="E155" t="str">
        <f t="shared" si="8"/>
        <v>NSE:RECLTD-EQ</v>
      </c>
      <c r="F155" t="str">
        <f t="shared" si="6"/>
        <v>RECLTD-EQ</v>
      </c>
    </row>
    <row r="156" spans="1:6" x14ac:dyDescent="0.3">
      <c r="A156" t="s">
        <v>320</v>
      </c>
      <c r="C156" s="10" t="s">
        <v>767</v>
      </c>
      <c r="D156" t="str">
        <f t="shared" si="7"/>
        <v>RELIANCE</v>
      </c>
      <c r="E156" t="str">
        <f t="shared" si="8"/>
        <v>NSE:RELIANCE-EQ</v>
      </c>
      <c r="F156" t="str">
        <f t="shared" si="6"/>
        <v>RELIANCE-EQ</v>
      </c>
    </row>
    <row r="157" spans="1:6" x14ac:dyDescent="0.3">
      <c r="A157" t="s">
        <v>322</v>
      </c>
      <c r="C157" s="10" t="s">
        <v>768</v>
      </c>
      <c r="D157" t="str">
        <f t="shared" si="7"/>
        <v>SAIL</v>
      </c>
      <c r="E157" t="str">
        <f t="shared" si="8"/>
        <v>NSE:SAIL-EQ</v>
      </c>
      <c r="F157" t="str">
        <f t="shared" si="6"/>
        <v>SAIL-EQ</v>
      </c>
    </row>
    <row r="158" spans="1:6" x14ac:dyDescent="0.3">
      <c r="A158" t="s">
        <v>324</v>
      </c>
      <c r="C158" s="10" t="s">
        <v>769</v>
      </c>
      <c r="D158" t="str">
        <f t="shared" si="7"/>
        <v>SBICARD</v>
      </c>
      <c r="E158" t="str">
        <f t="shared" si="8"/>
        <v>NSE:SBICARD-EQ</v>
      </c>
      <c r="F158" t="str">
        <f t="shared" si="6"/>
        <v>SBICARD-EQ</v>
      </c>
    </row>
    <row r="159" spans="1:6" x14ac:dyDescent="0.3">
      <c r="A159" t="s">
        <v>326</v>
      </c>
      <c r="C159" s="10" t="s">
        <v>770</v>
      </c>
      <c r="D159" t="str">
        <f t="shared" si="7"/>
        <v>SBILIFE</v>
      </c>
      <c r="E159" t="str">
        <f t="shared" si="8"/>
        <v>NSE:SBILIFE-EQ</v>
      </c>
      <c r="F159" t="str">
        <f t="shared" si="6"/>
        <v>SBILIFE-EQ</v>
      </c>
    </row>
    <row r="160" spans="1:6" x14ac:dyDescent="0.3">
      <c r="A160" t="s">
        <v>328</v>
      </c>
      <c r="C160" s="10" t="s">
        <v>771</v>
      </c>
      <c r="D160" t="str">
        <f t="shared" si="7"/>
        <v>SBIN</v>
      </c>
      <c r="E160" t="str">
        <f t="shared" si="8"/>
        <v>NSE:SBIN-EQ</v>
      </c>
      <c r="F160" t="str">
        <f t="shared" si="6"/>
        <v>SBIN-EQ</v>
      </c>
    </row>
    <row r="161" spans="1:6" x14ac:dyDescent="0.3">
      <c r="A161" t="s">
        <v>330</v>
      </c>
      <c r="C161" s="10" t="s">
        <v>772</v>
      </c>
      <c r="D161" t="str">
        <f t="shared" si="7"/>
        <v>SHREECEM</v>
      </c>
      <c r="E161" t="str">
        <f t="shared" si="8"/>
        <v>NSE:SHREECEM-EQ</v>
      </c>
      <c r="F161" t="str">
        <f t="shared" si="6"/>
        <v>SHREECEM-EQ</v>
      </c>
    </row>
    <row r="162" spans="1:6" x14ac:dyDescent="0.3">
      <c r="A162" t="s">
        <v>332</v>
      </c>
      <c r="C162" s="10" t="s">
        <v>773</v>
      </c>
      <c r="D162" t="str">
        <f t="shared" si="7"/>
        <v>SHRIRAMFIN</v>
      </c>
      <c r="E162" t="str">
        <f t="shared" si="8"/>
        <v>NSE:SHRIRAMFIN-EQ</v>
      </c>
      <c r="F162" t="str">
        <f t="shared" si="6"/>
        <v>SHRIRAMFIN-EQ</v>
      </c>
    </row>
    <row r="163" spans="1:6" x14ac:dyDescent="0.3">
      <c r="A163" t="s">
        <v>334</v>
      </c>
      <c r="C163" s="10" t="s">
        <v>774</v>
      </c>
      <c r="D163" t="str">
        <f t="shared" si="7"/>
        <v>SIEMENS</v>
      </c>
      <c r="E163" t="str">
        <f t="shared" si="8"/>
        <v>NSE:SIEMENS-EQ</v>
      </c>
      <c r="F163" t="str">
        <f t="shared" si="6"/>
        <v>SIEMENS-EQ</v>
      </c>
    </row>
    <row r="164" spans="1:6" x14ac:dyDescent="0.3">
      <c r="A164" t="s">
        <v>336</v>
      </c>
      <c r="C164" s="10" t="s">
        <v>775</v>
      </c>
      <c r="D164" t="str">
        <f t="shared" si="7"/>
        <v>SRF</v>
      </c>
      <c r="E164" t="str">
        <f t="shared" si="8"/>
        <v>NSE:SRF-EQ</v>
      </c>
      <c r="F164" t="str">
        <f t="shared" si="6"/>
        <v>SRF-EQ</v>
      </c>
    </row>
    <row r="165" spans="1:6" x14ac:dyDescent="0.3">
      <c r="A165" t="s">
        <v>338</v>
      </c>
      <c r="C165" s="10" t="s">
        <v>776</v>
      </c>
      <c r="D165" t="str">
        <f t="shared" si="7"/>
        <v>SUNPHARMA</v>
      </c>
      <c r="E165" t="str">
        <f t="shared" si="8"/>
        <v>NSE:SUNPHARMA-EQ</v>
      </c>
      <c r="F165" t="str">
        <f t="shared" si="6"/>
        <v>SUNPHARMA-EQ</v>
      </c>
    </row>
    <row r="166" spans="1:6" x14ac:dyDescent="0.3">
      <c r="A166" t="s">
        <v>340</v>
      </c>
      <c r="C166" s="10" t="s">
        <v>777</v>
      </c>
      <c r="D166" t="str">
        <f t="shared" si="7"/>
        <v>SUNTV</v>
      </c>
      <c r="E166" t="str">
        <f t="shared" si="8"/>
        <v>NSE:SUNTV-EQ</v>
      </c>
      <c r="F166" t="str">
        <f t="shared" si="6"/>
        <v>SUNTV-EQ</v>
      </c>
    </row>
    <row r="167" spans="1:6" x14ac:dyDescent="0.3">
      <c r="A167" t="s">
        <v>342</v>
      </c>
      <c r="C167" s="10" t="s">
        <v>778</v>
      </c>
      <c r="D167" t="str">
        <f t="shared" si="7"/>
        <v>SYNGENE</v>
      </c>
      <c r="E167" t="str">
        <f t="shared" si="8"/>
        <v>NSE:SYNGENE-EQ</v>
      </c>
      <c r="F167" t="str">
        <f t="shared" si="6"/>
        <v>SYNGENE-EQ</v>
      </c>
    </row>
    <row r="168" spans="1:6" x14ac:dyDescent="0.3">
      <c r="A168" t="s">
        <v>344</v>
      </c>
      <c r="C168" s="10" t="s">
        <v>779</v>
      </c>
      <c r="D168" t="str">
        <f t="shared" si="7"/>
        <v>TATACHEM</v>
      </c>
      <c r="E168" t="str">
        <f t="shared" si="8"/>
        <v>NSE:TATACHEM-EQ</v>
      </c>
      <c r="F168" t="str">
        <f t="shared" si="6"/>
        <v>TATACHEM-EQ</v>
      </c>
    </row>
    <row r="169" spans="1:6" x14ac:dyDescent="0.3">
      <c r="A169" t="s">
        <v>346</v>
      </c>
      <c r="C169" s="10" t="s">
        <v>780</v>
      </c>
      <c r="D169" t="str">
        <f t="shared" si="7"/>
        <v>TATACOMM</v>
      </c>
      <c r="E169" t="str">
        <f t="shared" si="8"/>
        <v>NSE:TATACOMM-EQ</v>
      </c>
      <c r="F169" t="str">
        <f t="shared" si="6"/>
        <v>TATACOMM-EQ</v>
      </c>
    </row>
    <row r="170" spans="1:6" x14ac:dyDescent="0.3">
      <c r="A170" t="s">
        <v>348</v>
      </c>
      <c r="C170" s="10" t="s">
        <v>781</v>
      </c>
      <c r="D170" t="str">
        <f t="shared" si="7"/>
        <v>TATACONSUM</v>
      </c>
      <c r="E170" t="str">
        <f t="shared" si="8"/>
        <v>NSE:TATACONSUM-EQ</v>
      </c>
      <c r="F170" t="str">
        <f t="shared" si="6"/>
        <v>TATACONSUM-EQ</v>
      </c>
    </row>
    <row r="171" spans="1:6" x14ac:dyDescent="0.3">
      <c r="A171" t="s">
        <v>350</v>
      </c>
      <c r="C171" s="10" t="s">
        <v>782</v>
      </c>
      <c r="D171" t="str">
        <f t="shared" si="7"/>
        <v>TATAMOTORS</v>
      </c>
      <c r="E171" t="str">
        <f t="shared" si="8"/>
        <v>NSE:TATAMOTORS-EQ</v>
      </c>
      <c r="F171" t="str">
        <f t="shared" si="6"/>
        <v>TATAMOTORS-EQ</v>
      </c>
    </row>
    <row r="172" spans="1:6" x14ac:dyDescent="0.3">
      <c r="A172" t="s">
        <v>352</v>
      </c>
      <c r="C172" s="10" t="s">
        <v>783</v>
      </c>
      <c r="D172" t="str">
        <f t="shared" si="7"/>
        <v>TATAPOWER</v>
      </c>
      <c r="E172" t="str">
        <f t="shared" si="8"/>
        <v>NSE:TATAPOWER-EQ</v>
      </c>
      <c r="F172" t="str">
        <f t="shared" si="6"/>
        <v>TATAPOWER-EQ</v>
      </c>
    </row>
    <row r="173" spans="1:6" x14ac:dyDescent="0.3">
      <c r="A173" t="s">
        <v>354</v>
      </c>
      <c r="C173" s="10" t="s">
        <v>784</v>
      </c>
      <c r="D173" t="str">
        <f t="shared" si="7"/>
        <v>TATASTEEL</v>
      </c>
      <c r="E173" t="str">
        <f t="shared" si="8"/>
        <v>NSE:TATASTEEL-EQ</v>
      </c>
      <c r="F173" t="str">
        <f t="shared" si="6"/>
        <v>TATASTEEL-EQ</v>
      </c>
    </row>
    <row r="174" spans="1:6" x14ac:dyDescent="0.3">
      <c r="A174" t="s">
        <v>356</v>
      </c>
      <c r="C174" s="10" t="s">
        <v>785</v>
      </c>
      <c r="D174" t="str">
        <f t="shared" si="7"/>
        <v>TCS</v>
      </c>
      <c r="E174" t="str">
        <f t="shared" si="8"/>
        <v>NSE:TCS-EQ</v>
      </c>
      <c r="F174" t="str">
        <f t="shared" si="6"/>
        <v>TCS-EQ</v>
      </c>
    </row>
    <row r="175" spans="1:6" x14ac:dyDescent="0.3">
      <c r="A175" t="s">
        <v>358</v>
      </c>
      <c r="C175" s="10" t="s">
        <v>786</v>
      </c>
      <c r="D175" t="str">
        <f t="shared" si="7"/>
        <v>TECHM</v>
      </c>
      <c r="E175" t="str">
        <f t="shared" si="8"/>
        <v>NSE:TECHM-EQ</v>
      </c>
      <c r="F175" t="str">
        <f t="shared" si="6"/>
        <v>TECHM-EQ</v>
      </c>
    </row>
    <row r="176" spans="1:6" x14ac:dyDescent="0.3">
      <c r="A176" t="s">
        <v>360</v>
      </c>
      <c r="C176" s="10" t="s">
        <v>787</v>
      </c>
      <c r="D176" t="str">
        <f t="shared" si="7"/>
        <v>TITAN</v>
      </c>
      <c r="E176" t="str">
        <f t="shared" si="8"/>
        <v>NSE:TITAN-EQ</v>
      </c>
      <c r="F176" t="str">
        <f t="shared" si="6"/>
        <v>TITAN-EQ</v>
      </c>
    </row>
    <row r="177" spans="1:6" x14ac:dyDescent="0.3">
      <c r="A177" t="s">
        <v>362</v>
      </c>
      <c r="C177" s="10" t="s">
        <v>788</v>
      </c>
      <c r="D177" t="str">
        <f t="shared" si="7"/>
        <v>TORNTPHARM</v>
      </c>
      <c r="E177" t="str">
        <f t="shared" si="8"/>
        <v>NSE:TORNTPHARM-EQ</v>
      </c>
      <c r="F177" t="str">
        <f t="shared" si="6"/>
        <v>TORNTPHARM-EQ</v>
      </c>
    </row>
    <row r="178" spans="1:6" x14ac:dyDescent="0.3">
      <c r="A178" t="s">
        <v>364</v>
      </c>
      <c r="C178" s="10" t="s">
        <v>789</v>
      </c>
      <c r="D178" t="str">
        <f t="shared" si="7"/>
        <v>TRENT</v>
      </c>
      <c r="E178" t="str">
        <f t="shared" si="8"/>
        <v>NSE:TRENT-EQ</v>
      </c>
      <c r="F178" t="str">
        <f t="shared" si="6"/>
        <v>TRENT-EQ</v>
      </c>
    </row>
    <row r="179" spans="1:6" x14ac:dyDescent="0.3">
      <c r="A179" t="s">
        <v>366</v>
      </c>
      <c r="C179" s="10" t="s">
        <v>790</v>
      </c>
      <c r="D179" t="str">
        <f t="shared" si="7"/>
        <v>TVSMOTOR</v>
      </c>
      <c r="E179" t="str">
        <f t="shared" si="8"/>
        <v>NSE:TVSMOTOR-EQ</v>
      </c>
      <c r="F179" t="str">
        <f t="shared" si="6"/>
        <v>TVSMOTOR-EQ</v>
      </c>
    </row>
    <row r="180" spans="1:6" x14ac:dyDescent="0.3">
      <c r="A180" t="s">
        <v>368</v>
      </c>
      <c r="C180" s="10" t="s">
        <v>791</v>
      </c>
      <c r="D180" t="str">
        <f t="shared" si="7"/>
        <v>UBL</v>
      </c>
      <c r="E180" t="str">
        <f t="shared" si="8"/>
        <v>NSE:UBL-EQ</v>
      </c>
      <c r="F180" t="str">
        <f t="shared" si="6"/>
        <v>UBL-EQ</v>
      </c>
    </row>
    <row r="181" spans="1:6" x14ac:dyDescent="0.3">
      <c r="A181" t="s">
        <v>370</v>
      </c>
      <c r="C181" s="10" t="s">
        <v>792</v>
      </c>
      <c r="D181" t="str">
        <f t="shared" si="7"/>
        <v>ULTRACEMCO</v>
      </c>
      <c r="E181" t="str">
        <f t="shared" si="8"/>
        <v>NSE:ULTRACEMCO-EQ</v>
      </c>
      <c r="F181" t="str">
        <f t="shared" si="6"/>
        <v>ULTRACEMCO-EQ</v>
      </c>
    </row>
    <row r="182" spans="1:6" x14ac:dyDescent="0.3">
      <c r="A182" t="s">
        <v>372</v>
      </c>
      <c r="C182" s="10" t="s">
        <v>793</v>
      </c>
      <c r="D182" t="str">
        <f t="shared" si="7"/>
        <v>UPL</v>
      </c>
      <c r="E182" t="str">
        <f t="shared" si="8"/>
        <v>NSE:UPL-EQ</v>
      </c>
      <c r="F182" t="str">
        <f t="shared" si="6"/>
        <v>UPL-EQ</v>
      </c>
    </row>
    <row r="183" spans="1:6" x14ac:dyDescent="0.3">
      <c r="A183" t="s">
        <v>374</v>
      </c>
      <c r="C183" s="10" t="s">
        <v>794</v>
      </c>
      <c r="D183" t="str">
        <f t="shared" si="7"/>
        <v>VEDL</v>
      </c>
      <c r="E183" t="str">
        <f t="shared" si="8"/>
        <v>NSE:VEDL-EQ</v>
      </c>
      <c r="F183" t="str">
        <f t="shared" si="6"/>
        <v>VEDL-EQ</v>
      </c>
    </row>
    <row r="184" spans="1:6" x14ac:dyDescent="0.3">
      <c r="A184" t="s">
        <v>376</v>
      </c>
      <c r="C184" s="10" t="s">
        <v>795</v>
      </c>
      <c r="D184" t="str">
        <f t="shared" si="7"/>
        <v>VOLTAS</v>
      </c>
      <c r="E184" t="str">
        <f t="shared" si="8"/>
        <v>NSE:VOLTAS-EQ</v>
      </c>
      <c r="F184" t="str">
        <f t="shared" si="6"/>
        <v>VOLTAS-EQ</v>
      </c>
    </row>
    <row r="185" spans="1:6" x14ac:dyDescent="0.3">
      <c r="A185" t="s">
        <v>378</v>
      </c>
      <c r="C185" s="10" t="s">
        <v>796</v>
      </c>
      <c r="D185" t="str">
        <f t="shared" si="7"/>
        <v>WIPRO</v>
      </c>
      <c r="E185" t="str">
        <f t="shared" si="8"/>
        <v>NSE:WIPRO-EQ</v>
      </c>
      <c r="F185" t="str">
        <f t="shared" si="6"/>
        <v>WIPRO-EQ</v>
      </c>
    </row>
    <row r="186" spans="1:6" x14ac:dyDescent="0.3">
      <c r="A186" t="s">
        <v>380</v>
      </c>
      <c r="C186" s="10" t="s">
        <v>797</v>
      </c>
      <c r="D186" t="str">
        <f t="shared" si="7"/>
        <v>ZEEL</v>
      </c>
      <c r="E186" t="str">
        <f t="shared" si="8"/>
        <v>NSE:ZEEL-EQ</v>
      </c>
      <c r="F186" t="str">
        <f t="shared" si="6"/>
        <v>ZEEL-EQ</v>
      </c>
    </row>
    <row r="187" spans="1:6" x14ac:dyDescent="0.3">
      <c r="A187" t="s">
        <v>382</v>
      </c>
      <c r="C187" s="10" t="s">
        <v>798</v>
      </c>
      <c r="D187" t="str">
        <f t="shared" si="7"/>
        <v>ZYDUSLIFE</v>
      </c>
      <c r="E187" t="str">
        <f t="shared" si="8"/>
        <v>NSE:ZYDUSLIFE-EQ</v>
      </c>
      <c r="F187" t="str">
        <f t="shared" si="6"/>
        <v>ZYDUSLIFE-EQ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5801-6396-4272-99DA-700DC1E4A4BF}">
  <sheetPr codeName="Sheet6">
    <tabColor rgb="FFFF0000"/>
  </sheetPr>
  <dimension ref="A1:L2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9" sqref="J19"/>
    </sheetView>
  </sheetViews>
  <sheetFormatPr defaultRowHeight="14.4" x14ac:dyDescent="0.3"/>
  <cols>
    <col min="1" max="1" width="15" style="13" customWidth="1"/>
    <col min="2" max="2" width="10.109375" style="13" bestFit="1" customWidth="1"/>
    <col min="3" max="3" width="10.33203125" style="13" customWidth="1"/>
    <col min="4" max="4" width="8.33203125" style="13" customWidth="1"/>
    <col min="5" max="5" width="11.5546875" style="13" customWidth="1"/>
    <col min="6" max="6" width="10.6640625" style="13" customWidth="1"/>
    <col min="7" max="7" width="9" style="13" customWidth="1"/>
    <col min="8" max="8" width="7.109375" style="13" customWidth="1"/>
    <col min="9" max="9" width="2.109375" style="13" customWidth="1"/>
    <col min="10" max="10" width="17.88671875" style="5" customWidth="1"/>
    <col min="11" max="11" width="4.6640625" customWidth="1"/>
    <col min="12" max="12" width="18.5546875" customWidth="1"/>
    <col min="13" max="13" width="18.33203125" bestFit="1" customWidth="1"/>
  </cols>
  <sheetData>
    <row r="1" spans="1:12" x14ac:dyDescent="0.3">
      <c r="A1" t="s">
        <v>592</v>
      </c>
      <c r="B1" s="13" t="s">
        <v>593</v>
      </c>
      <c r="C1" s="13" t="s">
        <v>594</v>
      </c>
      <c r="D1" s="13" t="s">
        <v>595</v>
      </c>
      <c r="E1" s="13" t="s">
        <v>596</v>
      </c>
      <c r="F1" s="13" t="s">
        <v>597</v>
      </c>
      <c r="G1" s="13" t="s">
        <v>598</v>
      </c>
      <c r="H1" t="s">
        <v>599</v>
      </c>
      <c r="J1" s="13" t="s">
        <v>600</v>
      </c>
      <c r="L1" s="13" t="s">
        <v>601</v>
      </c>
    </row>
    <row r="2" spans="1:12" ht="21" x14ac:dyDescent="0.3">
      <c r="A2" t="s">
        <v>839</v>
      </c>
      <c r="B2" s="13" t="s">
        <v>840</v>
      </c>
      <c r="C2" s="13">
        <v>1089.2</v>
      </c>
      <c r="D2" s="13">
        <v>2.1399999999999997</v>
      </c>
      <c r="E2" s="13">
        <v>46.62</v>
      </c>
      <c r="F2" s="13">
        <v>111</v>
      </c>
      <c r="G2" s="13">
        <v>2</v>
      </c>
      <c r="H2">
        <v>2.75</v>
      </c>
      <c r="J2" s="41" t="s">
        <v>1002</v>
      </c>
      <c r="L2" s="41" t="s">
        <v>602</v>
      </c>
    </row>
    <row r="3" spans="1:12" x14ac:dyDescent="0.3">
      <c r="A3" t="s">
        <v>25</v>
      </c>
      <c r="B3" s="13" t="s">
        <v>26</v>
      </c>
      <c r="C3" s="13">
        <v>7146</v>
      </c>
      <c r="D3" s="13">
        <v>2.0699999999999998</v>
      </c>
      <c r="E3" s="13">
        <v>295.83999999999997</v>
      </c>
      <c r="F3" s="13">
        <v>111</v>
      </c>
      <c r="G3" s="13">
        <v>0</v>
      </c>
      <c r="H3">
        <v>0.42</v>
      </c>
      <c r="J3"/>
    </row>
    <row r="4" spans="1:12" x14ac:dyDescent="0.3">
      <c r="A4" t="s">
        <v>29</v>
      </c>
      <c r="B4" s="13" t="s">
        <v>30</v>
      </c>
      <c r="C4" s="13">
        <v>351.3</v>
      </c>
      <c r="D4" s="13">
        <v>2.12</v>
      </c>
      <c r="E4" s="13">
        <v>14.9</v>
      </c>
      <c r="F4" s="13">
        <v>111</v>
      </c>
      <c r="G4" s="13">
        <v>7</v>
      </c>
      <c r="H4">
        <v>8.5399999999999991</v>
      </c>
    </row>
    <row r="5" spans="1:12" x14ac:dyDescent="0.3">
      <c r="A5" t="s">
        <v>841</v>
      </c>
      <c r="B5" s="13" t="s">
        <v>842</v>
      </c>
      <c r="C5" s="13">
        <v>1530.6</v>
      </c>
      <c r="D5" s="13">
        <v>2.88</v>
      </c>
      <c r="E5" s="13">
        <v>88.16</v>
      </c>
      <c r="F5" s="13">
        <v>111</v>
      </c>
      <c r="G5" s="13">
        <v>1</v>
      </c>
      <c r="H5">
        <v>1.96</v>
      </c>
    </row>
    <row r="6" spans="1:12" x14ac:dyDescent="0.3">
      <c r="A6" t="s">
        <v>36</v>
      </c>
      <c r="B6" s="13" t="s">
        <v>37</v>
      </c>
      <c r="C6" s="13">
        <v>2968.1</v>
      </c>
      <c r="D6" s="13">
        <v>2.54</v>
      </c>
      <c r="E6" s="13">
        <v>150.78</v>
      </c>
      <c r="F6" s="13">
        <v>111</v>
      </c>
      <c r="G6" s="13">
        <v>1</v>
      </c>
      <c r="H6">
        <v>1.01</v>
      </c>
    </row>
    <row r="7" spans="1:12" x14ac:dyDescent="0.3">
      <c r="A7" t="s">
        <v>843</v>
      </c>
      <c r="B7" s="13" t="s">
        <v>844</v>
      </c>
      <c r="C7" s="13">
        <v>1449.4</v>
      </c>
      <c r="D7" s="13">
        <v>3.01</v>
      </c>
      <c r="E7" s="13">
        <v>87.25</v>
      </c>
      <c r="F7" s="13">
        <v>111</v>
      </c>
      <c r="G7" s="13">
        <v>1</v>
      </c>
      <c r="H7">
        <v>2.0699999999999998</v>
      </c>
    </row>
    <row r="8" spans="1:12" x14ac:dyDescent="0.3">
      <c r="A8" t="s">
        <v>38</v>
      </c>
      <c r="B8" s="13" t="s">
        <v>39</v>
      </c>
      <c r="C8" s="13">
        <v>1814.5</v>
      </c>
      <c r="D8" s="13">
        <v>2.06</v>
      </c>
      <c r="E8" s="13">
        <v>74.760000000000005</v>
      </c>
      <c r="F8" s="13">
        <v>111</v>
      </c>
      <c r="G8" s="13">
        <v>1</v>
      </c>
      <c r="H8">
        <v>1.65</v>
      </c>
    </row>
    <row r="9" spans="1:12" x14ac:dyDescent="0.3">
      <c r="A9" t="s">
        <v>845</v>
      </c>
      <c r="B9" s="13" t="s">
        <v>846</v>
      </c>
      <c r="C9" s="13">
        <v>235.93</v>
      </c>
      <c r="D9" s="13">
        <v>2.76</v>
      </c>
      <c r="E9" s="13">
        <v>13.02</v>
      </c>
      <c r="F9" s="13">
        <v>111</v>
      </c>
      <c r="G9" s="13">
        <v>9</v>
      </c>
      <c r="H9">
        <v>12.72</v>
      </c>
    </row>
    <row r="10" spans="1:12" x14ac:dyDescent="0.3">
      <c r="A10" t="s">
        <v>40</v>
      </c>
      <c r="B10" s="13" t="s">
        <v>41</v>
      </c>
      <c r="C10" s="13">
        <v>5239</v>
      </c>
      <c r="D10" s="13">
        <v>1.51</v>
      </c>
      <c r="E10" s="13">
        <v>158.22</v>
      </c>
      <c r="F10" s="13">
        <v>111</v>
      </c>
      <c r="G10" s="13">
        <v>1</v>
      </c>
      <c r="H10">
        <v>0.56999999999999995</v>
      </c>
    </row>
    <row r="11" spans="1:12" x14ac:dyDescent="0.3">
      <c r="A11" t="s">
        <v>847</v>
      </c>
      <c r="B11" s="13" t="s">
        <v>848</v>
      </c>
      <c r="C11" s="13">
        <v>7591.5</v>
      </c>
      <c r="D11" s="13">
        <v>3.01</v>
      </c>
      <c r="E11" s="13">
        <v>457.01</v>
      </c>
      <c r="F11" s="13">
        <v>111</v>
      </c>
      <c r="G11" s="13">
        <v>0</v>
      </c>
      <c r="H11">
        <v>0.4</v>
      </c>
    </row>
    <row r="12" spans="1:12" x14ac:dyDescent="0.3">
      <c r="A12" t="s">
        <v>42</v>
      </c>
      <c r="B12" s="13" t="s">
        <v>43</v>
      </c>
      <c r="C12" s="13">
        <v>439.35</v>
      </c>
      <c r="D12" s="13">
        <v>1.8900000000000001</v>
      </c>
      <c r="E12" s="13">
        <v>16.61</v>
      </c>
      <c r="F12" s="13">
        <v>111</v>
      </c>
      <c r="G12" s="13">
        <v>7</v>
      </c>
      <c r="H12">
        <v>6.83</v>
      </c>
    </row>
    <row r="13" spans="1:12" x14ac:dyDescent="0.3">
      <c r="A13" t="s">
        <v>849</v>
      </c>
      <c r="B13" s="13" t="s">
        <v>850</v>
      </c>
      <c r="C13" s="13">
        <v>342.65</v>
      </c>
      <c r="D13" s="13">
        <v>2.93</v>
      </c>
      <c r="E13" s="13">
        <v>20.079999999999998</v>
      </c>
      <c r="F13" s="13">
        <v>111</v>
      </c>
      <c r="G13" s="13">
        <v>6</v>
      </c>
      <c r="H13">
        <v>8.76</v>
      </c>
    </row>
    <row r="14" spans="1:12" x14ac:dyDescent="0.3">
      <c r="A14" t="s">
        <v>851</v>
      </c>
      <c r="B14" s="13" t="s">
        <v>852</v>
      </c>
      <c r="C14" s="13">
        <v>1769.2</v>
      </c>
      <c r="D14" s="13">
        <v>1.87</v>
      </c>
      <c r="E14" s="13">
        <v>66.17</v>
      </c>
      <c r="F14" s="13">
        <v>111</v>
      </c>
      <c r="G14" s="13">
        <v>2</v>
      </c>
      <c r="H14">
        <v>1.7</v>
      </c>
    </row>
    <row r="15" spans="1:12" x14ac:dyDescent="0.3">
      <c r="A15" t="s">
        <v>44</v>
      </c>
      <c r="B15" s="13" t="s">
        <v>45</v>
      </c>
      <c r="C15" s="13">
        <v>8089.5</v>
      </c>
      <c r="D15" s="13">
        <v>1.3</v>
      </c>
      <c r="E15" s="13">
        <v>210.33</v>
      </c>
      <c r="F15" s="13">
        <v>111</v>
      </c>
      <c r="G15" s="13">
        <v>1</v>
      </c>
      <c r="H15">
        <v>0.37</v>
      </c>
    </row>
    <row r="16" spans="1:12" x14ac:dyDescent="0.3">
      <c r="A16" t="s">
        <v>48</v>
      </c>
      <c r="B16" s="13" t="s">
        <v>49</v>
      </c>
      <c r="C16" s="13">
        <v>149.05000000000001</v>
      </c>
      <c r="D16" s="13">
        <v>2.25</v>
      </c>
      <c r="E16" s="13">
        <v>6.71</v>
      </c>
      <c r="F16" s="13">
        <v>111</v>
      </c>
      <c r="G16" s="13">
        <v>17</v>
      </c>
      <c r="H16">
        <v>20.13</v>
      </c>
    </row>
    <row r="17" spans="1:8" x14ac:dyDescent="0.3">
      <c r="A17" t="s">
        <v>50</v>
      </c>
      <c r="B17" s="13" t="s">
        <v>51</v>
      </c>
      <c r="C17" s="13">
        <v>2660.7</v>
      </c>
      <c r="D17" s="13">
        <v>1.53</v>
      </c>
      <c r="E17" s="13">
        <v>81.42</v>
      </c>
      <c r="F17" s="13">
        <v>111</v>
      </c>
      <c r="G17" s="13">
        <v>1</v>
      </c>
      <c r="H17">
        <v>1.1299999999999999</v>
      </c>
    </row>
    <row r="18" spans="1:8" x14ac:dyDescent="0.3">
      <c r="A18" t="s">
        <v>52</v>
      </c>
      <c r="B18" s="13" t="s">
        <v>53</v>
      </c>
      <c r="C18" s="13">
        <v>1526.7</v>
      </c>
      <c r="D18" s="13">
        <v>1.9</v>
      </c>
      <c r="E18" s="13">
        <v>58.01</v>
      </c>
      <c r="F18" s="13">
        <v>111</v>
      </c>
      <c r="G18" s="13">
        <v>2</v>
      </c>
      <c r="H18">
        <v>1.97</v>
      </c>
    </row>
    <row r="19" spans="1:8" x14ac:dyDescent="0.3">
      <c r="A19" t="s">
        <v>56</v>
      </c>
      <c r="B19" s="13" t="s">
        <v>57</v>
      </c>
      <c r="C19" s="13">
        <v>976.45</v>
      </c>
      <c r="D19" s="13">
        <v>1.95</v>
      </c>
      <c r="E19" s="13">
        <v>38.08</v>
      </c>
      <c r="F19" s="13">
        <v>111</v>
      </c>
      <c r="G19" s="13">
        <v>3</v>
      </c>
      <c r="H19">
        <v>3.07</v>
      </c>
    </row>
    <row r="20" spans="1:8" x14ac:dyDescent="0.3">
      <c r="A20" t="s">
        <v>58</v>
      </c>
      <c r="B20" s="13" t="s">
        <v>59</v>
      </c>
      <c r="C20" s="13">
        <v>1429.2</v>
      </c>
      <c r="D20" s="13">
        <v>1.7399999999999998</v>
      </c>
      <c r="E20" s="13">
        <v>49.74</v>
      </c>
      <c r="F20" s="13">
        <v>111</v>
      </c>
      <c r="G20" s="13">
        <v>2</v>
      </c>
      <c r="H20">
        <v>2.1</v>
      </c>
    </row>
    <row r="21" spans="1:8" x14ac:dyDescent="0.3">
      <c r="A21" t="s">
        <v>60</v>
      </c>
      <c r="B21" s="13" t="s">
        <v>61</v>
      </c>
      <c r="C21" s="13">
        <v>1251.0999999999999</v>
      </c>
      <c r="D21" s="13">
        <v>1.55</v>
      </c>
      <c r="E21" s="13">
        <v>38.78</v>
      </c>
      <c r="F21" s="13">
        <v>111</v>
      </c>
      <c r="G21" s="13">
        <v>3</v>
      </c>
      <c r="H21">
        <v>2.4</v>
      </c>
    </row>
    <row r="22" spans="1:8" x14ac:dyDescent="0.3">
      <c r="A22" t="s">
        <v>62</v>
      </c>
      <c r="B22" s="13" t="s">
        <v>603</v>
      </c>
      <c r="C22" s="13">
        <v>10281</v>
      </c>
      <c r="D22" s="13">
        <v>1.5699999999999998</v>
      </c>
      <c r="E22" s="13">
        <v>322.82</v>
      </c>
      <c r="F22" s="13">
        <v>111</v>
      </c>
      <c r="G22" s="13">
        <v>0</v>
      </c>
      <c r="H22">
        <v>0.28999999999999998</v>
      </c>
    </row>
    <row r="23" spans="1:8" x14ac:dyDescent="0.3">
      <c r="A23" t="s">
        <v>64</v>
      </c>
      <c r="B23" s="13" t="s">
        <v>65</v>
      </c>
      <c r="C23" s="13">
        <v>1741.4</v>
      </c>
      <c r="D23" s="13">
        <v>1.54</v>
      </c>
      <c r="E23" s="13">
        <v>53.64</v>
      </c>
      <c r="F23" s="13">
        <v>111</v>
      </c>
      <c r="G23" s="13">
        <v>2</v>
      </c>
      <c r="H23">
        <v>1.72</v>
      </c>
    </row>
    <row r="24" spans="1:8" x14ac:dyDescent="0.3">
      <c r="A24" t="s">
        <v>853</v>
      </c>
      <c r="B24" s="13" t="s">
        <v>854</v>
      </c>
      <c r="C24" s="13">
        <v>10240</v>
      </c>
      <c r="D24" s="13">
        <v>1.95</v>
      </c>
      <c r="E24" s="13">
        <v>399.36</v>
      </c>
      <c r="F24" s="13">
        <v>111</v>
      </c>
      <c r="G24" s="13">
        <v>0</v>
      </c>
      <c r="H24">
        <v>0.28999999999999998</v>
      </c>
    </row>
    <row r="25" spans="1:8" x14ac:dyDescent="0.3">
      <c r="A25" t="s">
        <v>66</v>
      </c>
      <c r="B25" s="13" t="s">
        <v>67</v>
      </c>
      <c r="C25" s="13">
        <v>881.95</v>
      </c>
      <c r="D25" s="13">
        <v>1.8399999999999999</v>
      </c>
      <c r="E25" s="13">
        <v>32.46</v>
      </c>
      <c r="F25" s="13">
        <v>111</v>
      </c>
      <c r="G25" s="13">
        <v>3</v>
      </c>
      <c r="H25">
        <v>3.4</v>
      </c>
    </row>
    <row r="26" spans="1:8" x14ac:dyDescent="0.3">
      <c r="A26" t="s">
        <v>72</v>
      </c>
      <c r="B26" s="13" t="s">
        <v>73</v>
      </c>
      <c r="C26" s="13">
        <v>206.33</v>
      </c>
      <c r="D26" s="13">
        <v>2.4299999999999997</v>
      </c>
      <c r="E26" s="13">
        <v>10.029999999999999</v>
      </c>
      <c r="F26" s="13">
        <v>111</v>
      </c>
      <c r="G26" s="13">
        <v>11</v>
      </c>
      <c r="H26">
        <v>14.54</v>
      </c>
    </row>
    <row r="27" spans="1:8" x14ac:dyDescent="0.3">
      <c r="A27" t="s">
        <v>74</v>
      </c>
      <c r="B27" s="13" t="s">
        <v>75</v>
      </c>
      <c r="C27" s="13">
        <v>265.8</v>
      </c>
      <c r="D27" s="13">
        <v>1.87</v>
      </c>
      <c r="E27" s="13">
        <v>9.94</v>
      </c>
      <c r="F27" s="13">
        <v>111</v>
      </c>
      <c r="G27" s="13">
        <v>11</v>
      </c>
      <c r="H27">
        <v>11.29</v>
      </c>
    </row>
    <row r="28" spans="1:8" x14ac:dyDescent="0.3">
      <c r="A28" t="s">
        <v>855</v>
      </c>
      <c r="B28" s="13" t="s">
        <v>856</v>
      </c>
      <c r="C28" s="13">
        <v>137.29</v>
      </c>
      <c r="D28" s="13">
        <v>2.19</v>
      </c>
      <c r="E28" s="13">
        <v>6.01</v>
      </c>
      <c r="F28" s="13">
        <v>111</v>
      </c>
      <c r="G28" s="13">
        <v>18</v>
      </c>
      <c r="H28">
        <v>21.85</v>
      </c>
    </row>
    <row r="29" spans="1:8" x14ac:dyDescent="0.3">
      <c r="A29" t="s">
        <v>857</v>
      </c>
      <c r="B29" s="13" t="s">
        <v>858</v>
      </c>
      <c r="C29" s="13">
        <v>1206.0999999999999</v>
      </c>
      <c r="D29" s="13">
        <v>2.69</v>
      </c>
      <c r="E29" s="13">
        <v>64.89</v>
      </c>
      <c r="F29" s="13">
        <v>111</v>
      </c>
      <c r="G29" s="13">
        <v>2</v>
      </c>
      <c r="H29">
        <v>2.4900000000000002</v>
      </c>
    </row>
    <row r="30" spans="1:8" x14ac:dyDescent="0.3">
      <c r="A30" t="s">
        <v>78</v>
      </c>
      <c r="B30" s="13" t="s">
        <v>79</v>
      </c>
      <c r="C30" s="13">
        <v>407.85</v>
      </c>
      <c r="D30" s="13">
        <v>1.87</v>
      </c>
      <c r="E30" s="13">
        <v>15.25</v>
      </c>
      <c r="F30" s="13">
        <v>111</v>
      </c>
      <c r="G30" s="13">
        <v>7</v>
      </c>
      <c r="H30">
        <v>7.36</v>
      </c>
    </row>
    <row r="31" spans="1:8" x14ac:dyDescent="0.3">
      <c r="A31" t="s">
        <v>82</v>
      </c>
      <c r="B31" s="13" t="s">
        <v>83</v>
      </c>
      <c r="C31" s="13">
        <v>1902.9</v>
      </c>
      <c r="D31" s="13">
        <v>2.0299999999999998</v>
      </c>
      <c r="E31" s="13">
        <v>77.260000000000005</v>
      </c>
      <c r="F31" s="13">
        <v>111</v>
      </c>
      <c r="G31" s="13">
        <v>1</v>
      </c>
      <c r="H31">
        <v>1.58</v>
      </c>
    </row>
    <row r="32" spans="1:8" x14ac:dyDescent="0.3">
      <c r="A32" t="s">
        <v>84</v>
      </c>
      <c r="B32" s="13" t="s">
        <v>85</v>
      </c>
      <c r="C32" s="13">
        <v>1814.2</v>
      </c>
      <c r="D32" s="13">
        <v>1.34</v>
      </c>
      <c r="E32" s="13">
        <v>48.62</v>
      </c>
      <c r="F32" s="13">
        <v>111</v>
      </c>
      <c r="G32" s="13">
        <v>2</v>
      </c>
      <c r="H32">
        <v>1.65</v>
      </c>
    </row>
    <row r="33" spans="1:8" x14ac:dyDescent="0.3">
      <c r="A33" t="s">
        <v>86</v>
      </c>
      <c r="B33" s="13" t="s">
        <v>87</v>
      </c>
      <c r="C33" s="13">
        <v>410.75</v>
      </c>
      <c r="D33" s="13">
        <v>2.4699999999999998</v>
      </c>
      <c r="E33" s="13">
        <v>20.29</v>
      </c>
      <c r="F33" s="13">
        <v>111</v>
      </c>
      <c r="G33" s="13">
        <v>5</v>
      </c>
      <c r="H33">
        <v>7.3</v>
      </c>
    </row>
    <row r="34" spans="1:8" x14ac:dyDescent="0.3">
      <c r="A34" t="s">
        <v>88</v>
      </c>
      <c r="B34" s="13" t="s">
        <v>89</v>
      </c>
      <c r="C34" s="13">
        <v>416.8</v>
      </c>
      <c r="D34" s="13">
        <v>1.8599999999999999</v>
      </c>
      <c r="E34" s="13">
        <v>15.5</v>
      </c>
      <c r="F34" s="13">
        <v>111</v>
      </c>
      <c r="G34" s="13">
        <v>7</v>
      </c>
      <c r="H34">
        <v>7.2</v>
      </c>
    </row>
    <row r="35" spans="1:8" x14ac:dyDescent="0.3">
      <c r="A35" t="s">
        <v>859</v>
      </c>
      <c r="B35" s="13" t="s">
        <v>860</v>
      </c>
      <c r="C35" s="13">
        <v>1579.6</v>
      </c>
      <c r="D35" s="13">
        <v>2.1999999999999997</v>
      </c>
      <c r="E35" s="13">
        <v>69.5</v>
      </c>
      <c r="F35" s="13">
        <v>111</v>
      </c>
      <c r="G35" s="13">
        <v>2</v>
      </c>
      <c r="H35">
        <v>1.9</v>
      </c>
    </row>
    <row r="36" spans="1:8" x14ac:dyDescent="0.3">
      <c r="A36" t="s">
        <v>90</v>
      </c>
      <c r="B36" s="13" t="s">
        <v>91</v>
      </c>
      <c r="C36" s="13">
        <v>37220</v>
      </c>
      <c r="D36" s="13">
        <v>1.82</v>
      </c>
      <c r="E36" s="13">
        <v>1354.81</v>
      </c>
      <c r="F36" s="13">
        <v>111</v>
      </c>
      <c r="G36" s="13">
        <v>0</v>
      </c>
      <c r="H36">
        <v>0.08</v>
      </c>
    </row>
    <row r="37" spans="1:8" x14ac:dyDescent="0.3">
      <c r="A37" t="s">
        <v>92</v>
      </c>
      <c r="B37" s="13" t="s">
        <v>93</v>
      </c>
      <c r="C37" s="13">
        <v>294.39999999999998</v>
      </c>
      <c r="D37" s="13">
        <v>1.97</v>
      </c>
      <c r="E37" s="13">
        <v>11.6</v>
      </c>
      <c r="F37" s="13">
        <v>111</v>
      </c>
      <c r="G37" s="13">
        <v>10</v>
      </c>
      <c r="H37">
        <v>10.19</v>
      </c>
    </row>
    <row r="38" spans="1:8" x14ac:dyDescent="0.3">
      <c r="A38" t="s">
        <v>94</v>
      </c>
      <c r="B38" s="13" t="s">
        <v>95</v>
      </c>
      <c r="C38" s="13">
        <v>5117</v>
      </c>
      <c r="D38" s="13">
        <v>1.32</v>
      </c>
      <c r="E38" s="13">
        <v>135.09</v>
      </c>
      <c r="F38" s="13">
        <v>111</v>
      </c>
      <c r="G38" s="13">
        <v>1</v>
      </c>
      <c r="H38">
        <v>0.59</v>
      </c>
    </row>
    <row r="39" spans="1:8" x14ac:dyDescent="0.3">
      <c r="A39" t="s">
        <v>861</v>
      </c>
      <c r="B39" s="13" t="s">
        <v>862</v>
      </c>
      <c r="C39" s="13">
        <v>3931.9</v>
      </c>
      <c r="D39" s="13">
        <v>2.97</v>
      </c>
      <c r="E39" s="13">
        <v>233.55</v>
      </c>
      <c r="F39" s="13">
        <v>111</v>
      </c>
      <c r="G39" s="13">
        <v>0</v>
      </c>
      <c r="H39">
        <v>0.76</v>
      </c>
    </row>
    <row r="40" spans="1:8" x14ac:dyDescent="0.3">
      <c r="A40" t="s">
        <v>863</v>
      </c>
      <c r="B40" s="13" t="s">
        <v>864</v>
      </c>
      <c r="C40" s="13">
        <v>772.7</v>
      </c>
      <c r="D40" s="13">
        <v>2.12</v>
      </c>
      <c r="E40" s="13">
        <v>32.76</v>
      </c>
      <c r="F40" s="13">
        <v>111</v>
      </c>
      <c r="G40" s="13">
        <v>3</v>
      </c>
      <c r="H40">
        <v>3.88</v>
      </c>
    </row>
    <row r="41" spans="1:8" x14ac:dyDescent="0.3">
      <c r="A41" t="s">
        <v>98</v>
      </c>
      <c r="B41" s="13" t="s">
        <v>99</v>
      </c>
      <c r="C41" s="13">
        <v>129.08000000000001</v>
      </c>
      <c r="D41" s="13">
        <v>2.0099999999999998</v>
      </c>
      <c r="E41" s="13">
        <v>5.19</v>
      </c>
      <c r="F41" s="13">
        <v>111</v>
      </c>
      <c r="G41" s="13">
        <v>21</v>
      </c>
      <c r="H41">
        <v>23.24</v>
      </c>
    </row>
    <row r="42" spans="1:8" x14ac:dyDescent="0.3">
      <c r="A42" t="s">
        <v>865</v>
      </c>
      <c r="B42" s="13" t="s">
        <v>866</v>
      </c>
      <c r="C42" s="13">
        <v>1226.8</v>
      </c>
      <c r="D42" s="13">
        <v>2.2999999999999998</v>
      </c>
      <c r="E42" s="13">
        <v>56.43</v>
      </c>
      <c r="F42" s="13">
        <v>111</v>
      </c>
      <c r="G42" s="13">
        <v>2</v>
      </c>
      <c r="H42">
        <v>2.4500000000000002</v>
      </c>
    </row>
    <row r="43" spans="1:8" x14ac:dyDescent="0.3">
      <c r="A43" t="s">
        <v>867</v>
      </c>
      <c r="B43" s="13" t="s">
        <v>868</v>
      </c>
      <c r="C43" s="13">
        <v>907.7</v>
      </c>
      <c r="D43" s="13">
        <v>2.23</v>
      </c>
      <c r="E43" s="13">
        <v>40.479999999999997</v>
      </c>
      <c r="F43" s="13">
        <v>111</v>
      </c>
      <c r="G43" s="13">
        <v>3</v>
      </c>
      <c r="H43">
        <v>3.31</v>
      </c>
    </row>
    <row r="44" spans="1:8" x14ac:dyDescent="0.3">
      <c r="A44" t="s">
        <v>104</v>
      </c>
      <c r="B44" s="13" t="s">
        <v>105</v>
      </c>
      <c r="C44" s="13">
        <v>1482.8</v>
      </c>
      <c r="D44" s="13">
        <v>2.13</v>
      </c>
      <c r="E44" s="13">
        <v>63.17</v>
      </c>
      <c r="F44" s="13">
        <v>111</v>
      </c>
      <c r="G44" s="13">
        <v>2</v>
      </c>
      <c r="H44">
        <v>2.02</v>
      </c>
    </row>
    <row r="45" spans="1:8" x14ac:dyDescent="0.3">
      <c r="A45" t="s">
        <v>106</v>
      </c>
      <c r="B45" s="13" t="s">
        <v>107</v>
      </c>
      <c r="C45" s="13">
        <v>1379.3</v>
      </c>
      <c r="D45" s="13">
        <v>1.4500000000000002</v>
      </c>
      <c r="E45" s="13">
        <v>40</v>
      </c>
      <c r="F45" s="13">
        <v>111</v>
      </c>
      <c r="G45" s="13">
        <v>3</v>
      </c>
      <c r="H45">
        <v>2.1800000000000002</v>
      </c>
    </row>
    <row r="46" spans="1:8" x14ac:dyDescent="0.3">
      <c r="A46" t="s">
        <v>108</v>
      </c>
      <c r="B46" s="13" t="s">
        <v>109</v>
      </c>
      <c r="C46" s="13">
        <v>472.15</v>
      </c>
      <c r="D46" s="13">
        <v>1.58</v>
      </c>
      <c r="E46" s="13">
        <v>14.92</v>
      </c>
      <c r="F46" s="13">
        <v>111</v>
      </c>
      <c r="G46" s="13">
        <v>7</v>
      </c>
      <c r="H46">
        <v>6.35</v>
      </c>
    </row>
    <row r="47" spans="1:8" x14ac:dyDescent="0.3">
      <c r="A47" t="s">
        <v>869</v>
      </c>
      <c r="B47" s="13" t="s">
        <v>870</v>
      </c>
      <c r="C47" s="13">
        <v>1467.5</v>
      </c>
      <c r="D47" s="13">
        <v>2.8400000000000003</v>
      </c>
      <c r="E47" s="13">
        <v>83.35</v>
      </c>
      <c r="F47" s="13">
        <v>111</v>
      </c>
      <c r="G47" s="13">
        <v>1</v>
      </c>
      <c r="H47">
        <v>2.04</v>
      </c>
    </row>
    <row r="48" spans="1:8" x14ac:dyDescent="0.3">
      <c r="A48" t="s">
        <v>110</v>
      </c>
      <c r="B48" s="13" t="s">
        <v>111</v>
      </c>
      <c r="C48" s="13">
        <v>1519.4</v>
      </c>
      <c r="D48" s="13">
        <v>2.4299999999999997</v>
      </c>
      <c r="E48" s="13">
        <v>73.84</v>
      </c>
      <c r="F48" s="13">
        <v>111</v>
      </c>
      <c r="G48" s="13">
        <v>2</v>
      </c>
      <c r="H48">
        <v>1.97</v>
      </c>
    </row>
    <row r="49" spans="1:8" x14ac:dyDescent="0.3">
      <c r="A49" t="s">
        <v>112</v>
      </c>
      <c r="B49" s="13" t="s">
        <v>113</v>
      </c>
      <c r="C49" s="13">
        <v>1998.8</v>
      </c>
      <c r="D49" s="13">
        <v>1.5599999999999998</v>
      </c>
      <c r="E49" s="13">
        <v>62.36</v>
      </c>
      <c r="F49" s="13">
        <v>111</v>
      </c>
      <c r="G49" s="13">
        <v>2</v>
      </c>
      <c r="H49">
        <v>1.5</v>
      </c>
    </row>
    <row r="50" spans="1:8" x14ac:dyDescent="0.3">
      <c r="A50" t="s">
        <v>114</v>
      </c>
      <c r="B50" s="13" t="s">
        <v>115</v>
      </c>
      <c r="C50" s="13">
        <v>459.45</v>
      </c>
      <c r="D50" s="13">
        <v>1.82</v>
      </c>
      <c r="E50" s="13">
        <v>16.72</v>
      </c>
      <c r="F50" s="13">
        <v>111</v>
      </c>
      <c r="G50" s="13">
        <v>7</v>
      </c>
      <c r="H50">
        <v>6.53</v>
      </c>
    </row>
    <row r="51" spans="1:8" x14ac:dyDescent="0.3">
      <c r="A51" t="s">
        <v>118</v>
      </c>
      <c r="B51" s="13" t="s">
        <v>119</v>
      </c>
      <c r="C51" s="13">
        <v>273.45</v>
      </c>
      <c r="D51" s="13">
        <v>1.87</v>
      </c>
      <c r="E51" s="13">
        <v>10.23</v>
      </c>
      <c r="F51" s="13">
        <v>111</v>
      </c>
      <c r="G51" s="13">
        <v>11</v>
      </c>
      <c r="H51">
        <v>10.97</v>
      </c>
    </row>
    <row r="52" spans="1:8" x14ac:dyDescent="0.3">
      <c r="A52" t="s">
        <v>122</v>
      </c>
      <c r="B52" s="13" t="s">
        <v>123</v>
      </c>
      <c r="C52" s="13">
        <v>5708</v>
      </c>
      <c r="D52" s="13">
        <v>1.9900000000000002</v>
      </c>
      <c r="E52" s="13">
        <v>227.18</v>
      </c>
      <c r="F52" s="13">
        <v>111</v>
      </c>
      <c r="G52" s="13">
        <v>0</v>
      </c>
      <c r="H52">
        <v>0.53</v>
      </c>
    </row>
    <row r="53" spans="1:8" x14ac:dyDescent="0.3">
      <c r="A53" t="s">
        <v>124</v>
      </c>
      <c r="B53" s="13" t="s">
        <v>125</v>
      </c>
      <c r="C53" s="13">
        <v>425.5</v>
      </c>
      <c r="D53" s="13">
        <v>1.48</v>
      </c>
      <c r="E53" s="13">
        <v>12.59</v>
      </c>
      <c r="F53" s="13">
        <v>111</v>
      </c>
      <c r="G53" s="13">
        <v>9</v>
      </c>
      <c r="H53">
        <v>7.05</v>
      </c>
    </row>
    <row r="54" spans="1:8" x14ac:dyDescent="0.3">
      <c r="A54" t="s">
        <v>126</v>
      </c>
      <c r="B54" s="13" t="s">
        <v>127</v>
      </c>
      <c r="C54" s="13">
        <v>1749.7</v>
      </c>
      <c r="D54" s="13">
        <v>1.82</v>
      </c>
      <c r="E54" s="13">
        <v>63.69</v>
      </c>
      <c r="F54" s="13">
        <v>111</v>
      </c>
      <c r="G54" s="13">
        <v>2</v>
      </c>
      <c r="H54">
        <v>1.71</v>
      </c>
    </row>
    <row r="55" spans="1:8" x14ac:dyDescent="0.3">
      <c r="A55" t="s">
        <v>871</v>
      </c>
      <c r="B55" s="13" t="s">
        <v>872</v>
      </c>
      <c r="C55" s="13">
        <v>437.95</v>
      </c>
      <c r="D55" s="13">
        <v>2.02</v>
      </c>
      <c r="E55" s="13">
        <v>17.690000000000001</v>
      </c>
      <c r="F55" s="13">
        <v>111</v>
      </c>
      <c r="G55" s="13">
        <v>6</v>
      </c>
      <c r="H55">
        <v>6.85</v>
      </c>
    </row>
    <row r="56" spans="1:8" x14ac:dyDescent="0.3">
      <c r="A56" t="s">
        <v>130</v>
      </c>
      <c r="B56" s="13" t="s">
        <v>131</v>
      </c>
      <c r="C56" s="13">
        <v>6533</v>
      </c>
      <c r="D56" s="13">
        <v>1.51</v>
      </c>
      <c r="E56" s="13">
        <v>197.3</v>
      </c>
      <c r="F56" s="13">
        <v>111</v>
      </c>
      <c r="G56" s="13">
        <v>1</v>
      </c>
      <c r="H56">
        <v>0.46</v>
      </c>
    </row>
    <row r="57" spans="1:8" x14ac:dyDescent="0.3">
      <c r="A57" t="s">
        <v>132</v>
      </c>
      <c r="B57" s="13" t="s">
        <v>133</v>
      </c>
      <c r="C57" s="13">
        <v>11603</v>
      </c>
      <c r="D57" s="13">
        <v>2.58</v>
      </c>
      <c r="E57" s="13">
        <v>598.71</v>
      </c>
      <c r="F57" s="13">
        <v>111</v>
      </c>
      <c r="G57" s="13">
        <v>0</v>
      </c>
      <c r="H57">
        <v>0.26</v>
      </c>
    </row>
    <row r="58" spans="1:8" x14ac:dyDescent="0.3">
      <c r="A58" t="s">
        <v>134</v>
      </c>
      <c r="B58" s="13" t="s">
        <v>135</v>
      </c>
      <c r="C58" s="13">
        <v>591.85</v>
      </c>
      <c r="D58" s="13">
        <v>1.95</v>
      </c>
      <c r="E58" s="13">
        <v>23.08</v>
      </c>
      <c r="F58" s="13">
        <v>111</v>
      </c>
      <c r="G58" s="13">
        <v>5</v>
      </c>
      <c r="H58">
        <v>5.07</v>
      </c>
    </row>
    <row r="59" spans="1:8" x14ac:dyDescent="0.3">
      <c r="A59" t="s">
        <v>873</v>
      </c>
      <c r="B59" s="13" t="s">
        <v>874</v>
      </c>
      <c r="C59" s="13">
        <v>4057</v>
      </c>
      <c r="D59" s="13">
        <v>1.67</v>
      </c>
      <c r="E59" s="13">
        <v>135.5</v>
      </c>
      <c r="F59" s="13">
        <v>111</v>
      </c>
      <c r="G59" s="13">
        <v>1</v>
      </c>
      <c r="H59">
        <v>0.74</v>
      </c>
    </row>
    <row r="60" spans="1:8" x14ac:dyDescent="0.3">
      <c r="A60" t="s">
        <v>136</v>
      </c>
      <c r="B60" s="13" t="s">
        <v>137</v>
      </c>
      <c r="C60" s="13">
        <v>1274</v>
      </c>
      <c r="D60" s="13">
        <v>1.49</v>
      </c>
      <c r="E60" s="13">
        <v>37.97</v>
      </c>
      <c r="F60" s="13">
        <v>111</v>
      </c>
      <c r="G60" s="13">
        <v>3</v>
      </c>
      <c r="H60">
        <v>2.35</v>
      </c>
    </row>
    <row r="61" spans="1:8" x14ac:dyDescent="0.3">
      <c r="A61" t="s">
        <v>138</v>
      </c>
      <c r="B61" s="13" t="s">
        <v>139</v>
      </c>
      <c r="C61" s="13">
        <v>7141.5</v>
      </c>
      <c r="D61" s="13">
        <v>1.76</v>
      </c>
      <c r="E61" s="13">
        <v>251.38</v>
      </c>
      <c r="F61" s="13">
        <v>111</v>
      </c>
      <c r="G61" s="13">
        <v>0</v>
      </c>
      <c r="H61">
        <v>0.42</v>
      </c>
    </row>
    <row r="62" spans="1:8" x14ac:dyDescent="0.3">
      <c r="A62" t="s">
        <v>875</v>
      </c>
      <c r="B62" s="13" t="s">
        <v>876</v>
      </c>
      <c r="C62" s="13">
        <v>250.75</v>
      </c>
      <c r="D62" s="13">
        <v>2.35</v>
      </c>
      <c r="E62" s="13">
        <v>11.79</v>
      </c>
      <c r="F62" s="13">
        <v>111</v>
      </c>
      <c r="G62" s="13">
        <v>9</v>
      </c>
      <c r="H62">
        <v>11.96</v>
      </c>
    </row>
    <row r="63" spans="1:8" x14ac:dyDescent="0.3">
      <c r="A63" t="s">
        <v>142</v>
      </c>
      <c r="B63" s="13" t="s">
        <v>143</v>
      </c>
      <c r="C63" s="13">
        <v>406.25</v>
      </c>
      <c r="D63" s="13">
        <v>1.94</v>
      </c>
      <c r="E63" s="13">
        <v>15.76</v>
      </c>
      <c r="F63" s="13">
        <v>111</v>
      </c>
      <c r="G63" s="13">
        <v>7</v>
      </c>
      <c r="H63">
        <v>7.38</v>
      </c>
    </row>
    <row r="64" spans="1:8" x14ac:dyDescent="0.3">
      <c r="A64" t="s">
        <v>144</v>
      </c>
      <c r="B64" s="13" t="s">
        <v>145</v>
      </c>
      <c r="C64" s="13">
        <v>293.05</v>
      </c>
      <c r="D64" s="13">
        <v>1.63</v>
      </c>
      <c r="E64" s="13">
        <v>9.5500000000000007</v>
      </c>
      <c r="F64" s="13">
        <v>111</v>
      </c>
      <c r="G64" s="13">
        <v>12</v>
      </c>
      <c r="H64">
        <v>10.24</v>
      </c>
    </row>
    <row r="65" spans="1:8" x14ac:dyDescent="0.3">
      <c r="A65" t="s">
        <v>877</v>
      </c>
      <c r="B65" s="13" t="s">
        <v>878</v>
      </c>
      <c r="C65" s="13">
        <v>17833</v>
      </c>
      <c r="D65" s="13">
        <v>3.32</v>
      </c>
      <c r="E65" s="13">
        <v>1184.1099999999999</v>
      </c>
      <c r="F65" s="13">
        <v>111</v>
      </c>
      <c r="G65" s="13">
        <v>0</v>
      </c>
      <c r="H65">
        <v>0.17</v>
      </c>
    </row>
    <row r="66" spans="1:8" x14ac:dyDescent="0.3">
      <c r="A66" t="s">
        <v>879</v>
      </c>
      <c r="B66" s="13" t="s">
        <v>880</v>
      </c>
      <c r="C66" s="13">
        <v>929.4</v>
      </c>
      <c r="D66" s="13">
        <v>1.81</v>
      </c>
      <c r="E66" s="13">
        <v>33.64</v>
      </c>
      <c r="F66" s="13">
        <v>111</v>
      </c>
      <c r="G66" s="13">
        <v>3</v>
      </c>
      <c r="H66">
        <v>3.23</v>
      </c>
    </row>
    <row r="67" spans="1:8" x14ac:dyDescent="0.3">
      <c r="A67" t="s">
        <v>146</v>
      </c>
      <c r="B67" s="13" t="s">
        <v>147</v>
      </c>
      <c r="C67" s="13">
        <v>164.83</v>
      </c>
      <c r="D67" s="13">
        <v>1.83</v>
      </c>
      <c r="E67" s="13">
        <v>6.03</v>
      </c>
      <c r="F67" s="13">
        <v>111</v>
      </c>
      <c r="G67" s="13">
        <v>18</v>
      </c>
      <c r="H67">
        <v>18.2</v>
      </c>
    </row>
    <row r="68" spans="1:8" x14ac:dyDescent="0.3">
      <c r="A68" t="s">
        <v>148</v>
      </c>
      <c r="B68" s="13" t="s">
        <v>149</v>
      </c>
      <c r="C68" s="13">
        <v>2184.6</v>
      </c>
      <c r="D68" s="13">
        <v>1.95</v>
      </c>
      <c r="E68" s="13">
        <v>85.2</v>
      </c>
      <c r="F68" s="13">
        <v>111</v>
      </c>
      <c r="G68" s="13">
        <v>1</v>
      </c>
      <c r="H68">
        <v>1.37</v>
      </c>
    </row>
    <row r="69" spans="1:8" x14ac:dyDescent="0.3">
      <c r="A69" t="s">
        <v>881</v>
      </c>
      <c r="B69" s="13" t="s">
        <v>882</v>
      </c>
      <c r="C69" s="13">
        <v>98.13</v>
      </c>
      <c r="D69" s="13">
        <v>2.1</v>
      </c>
      <c r="E69" s="13">
        <v>4.12</v>
      </c>
      <c r="F69" s="13">
        <v>111</v>
      </c>
      <c r="G69" s="13">
        <v>27</v>
      </c>
      <c r="H69">
        <v>30.57</v>
      </c>
    </row>
    <row r="70" spans="1:8" x14ac:dyDescent="0.3">
      <c r="A70" t="s">
        <v>883</v>
      </c>
      <c r="B70" s="13" t="s">
        <v>884</v>
      </c>
      <c r="C70" s="13">
        <v>2274.5</v>
      </c>
      <c r="D70" s="13">
        <v>3.5700000000000003</v>
      </c>
      <c r="E70" s="13">
        <v>162.4</v>
      </c>
      <c r="F70" s="13">
        <v>111</v>
      </c>
      <c r="G70" s="13">
        <v>1</v>
      </c>
      <c r="H70">
        <v>1.32</v>
      </c>
    </row>
    <row r="71" spans="1:8" x14ac:dyDescent="0.3">
      <c r="A71" t="s">
        <v>154</v>
      </c>
      <c r="B71" s="13" t="s">
        <v>155</v>
      </c>
      <c r="C71" s="13">
        <v>999.1</v>
      </c>
      <c r="D71" s="13">
        <v>1.63</v>
      </c>
      <c r="E71" s="13">
        <v>32.57</v>
      </c>
      <c r="F71" s="13">
        <v>111</v>
      </c>
      <c r="G71" s="13">
        <v>3</v>
      </c>
      <c r="H71">
        <v>3</v>
      </c>
    </row>
    <row r="72" spans="1:8" x14ac:dyDescent="0.3">
      <c r="A72" t="s">
        <v>156</v>
      </c>
      <c r="B72" s="13" t="s">
        <v>157</v>
      </c>
      <c r="C72" s="13">
        <v>1720.5</v>
      </c>
      <c r="D72" s="13">
        <v>2.36</v>
      </c>
      <c r="E72" s="13">
        <v>81.209999999999994</v>
      </c>
      <c r="F72" s="13">
        <v>111</v>
      </c>
      <c r="G72" s="13">
        <v>1</v>
      </c>
      <c r="H72">
        <v>1.74</v>
      </c>
    </row>
    <row r="73" spans="1:8" x14ac:dyDescent="0.3">
      <c r="A73" t="s">
        <v>160</v>
      </c>
      <c r="B73" s="13" t="s">
        <v>161</v>
      </c>
      <c r="C73" s="13">
        <v>3097.6</v>
      </c>
      <c r="D73" s="13">
        <v>1.49</v>
      </c>
      <c r="E73" s="13">
        <v>92.31</v>
      </c>
      <c r="F73" s="13">
        <v>111</v>
      </c>
      <c r="G73" s="13">
        <v>1</v>
      </c>
      <c r="H73">
        <v>0.97</v>
      </c>
    </row>
    <row r="74" spans="1:8" x14ac:dyDescent="0.3">
      <c r="A74" t="s">
        <v>885</v>
      </c>
      <c r="B74" s="13" t="s">
        <v>886</v>
      </c>
      <c r="C74" s="13">
        <v>4781</v>
      </c>
      <c r="D74" s="13">
        <v>2.8000000000000003</v>
      </c>
      <c r="E74" s="13">
        <v>267.74</v>
      </c>
      <c r="F74" s="13">
        <v>111</v>
      </c>
      <c r="G74" s="13">
        <v>0</v>
      </c>
      <c r="H74">
        <v>0.63</v>
      </c>
    </row>
    <row r="75" spans="1:8" x14ac:dyDescent="0.3">
      <c r="A75" t="s">
        <v>164</v>
      </c>
      <c r="B75" s="13" t="s">
        <v>165</v>
      </c>
      <c r="C75" s="13">
        <v>4278.5</v>
      </c>
      <c r="D75" s="13">
        <v>2.0099999999999998</v>
      </c>
      <c r="E75" s="13">
        <v>172</v>
      </c>
      <c r="F75" s="13">
        <v>111</v>
      </c>
      <c r="G75" s="13">
        <v>1</v>
      </c>
      <c r="H75">
        <v>0.7</v>
      </c>
    </row>
    <row r="76" spans="1:8" x14ac:dyDescent="0.3">
      <c r="A76" t="s">
        <v>166</v>
      </c>
      <c r="B76" s="13" t="s">
        <v>167</v>
      </c>
      <c r="C76" s="13">
        <v>1174.5999999999999</v>
      </c>
      <c r="D76" s="13">
        <v>1.59</v>
      </c>
      <c r="E76" s="13">
        <v>37.35</v>
      </c>
      <c r="F76" s="13">
        <v>111</v>
      </c>
      <c r="G76" s="13">
        <v>3</v>
      </c>
      <c r="H76">
        <v>2.5499999999999998</v>
      </c>
    </row>
    <row r="77" spans="1:8" x14ac:dyDescent="0.3">
      <c r="A77" t="s">
        <v>168</v>
      </c>
      <c r="B77" s="13" t="s">
        <v>169</v>
      </c>
      <c r="C77" s="13">
        <v>1243.5</v>
      </c>
      <c r="D77" s="13">
        <v>1.71</v>
      </c>
      <c r="E77" s="13">
        <v>42.53</v>
      </c>
      <c r="F77" s="13">
        <v>111</v>
      </c>
      <c r="G77" s="13">
        <v>3</v>
      </c>
      <c r="H77">
        <v>2.41</v>
      </c>
    </row>
    <row r="78" spans="1:8" x14ac:dyDescent="0.3">
      <c r="A78" t="s">
        <v>170</v>
      </c>
      <c r="B78" s="13" t="s">
        <v>171</v>
      </c>
      <c r="C78" s="13">
        <v>2583.5</v>
      </c>
      <c r="D78" s="13">
        <v>2.02</v>
      </c>
      <c r="E78" s="13">
        <v>104.37</v>
      </c>
      <c r="F78" s="13">
        <v>111</v>
      </c>
      <c r="G78" s="13">
        <v>1</v>
      </c>
      <c r="H78">
        <v>1.1599999999999999</v>
      </c>
    </row>
    <row r="79" spans="1:8" x14ac:dyDescent="0.3">
      <c r="A79" t="s">
        <v>172</v>
      </c>
      <c r="B79" s="13" t="s">
        <v>173</v>
      </c>
      <c r="C79" s="13">
        <v>748.25</v>
      </c>
      <c r="D79" s="13">
        <v>1.35</v>
      </c>
      <c r="E79" s="13">
        <v>20.2</v>
      </c>
      <c r="F79" s="13">
        <v>111</v>
      </c>
      <c r="G79" s="13">
        <v>5</v>
      </c>
      <c r="H79">
        <v>4.01</v>
      </c>
    </row>
    <row r="80" spans="1:8" x14ac:dyDescent="0.3">
      <c r="A80" t="s">
        <v>174</v>
      </c>
      <c r="B80" s="13" t="s">
        <v>175</v>
      </c>
      <c r="C80" s="13">
        <v>579.9</v>
      </c>
      <c r="D80" s="13">
        <v>1.4500000000000002</v>
      </c>
      <c r="E80" s="13">
        <v>16.82</v>
      </c>
      <c r="F80" s="13">
        <v>111</v>
      </c>
      <c r="G80" s="13">
        <v>7</v>
      </c>
      <c r="H80">
        <v>5.17</v>
      </c>
    </row>
    <row r="81" spans="1:8" x14ac:dyDescent="0.3">
      <c r="A81" t="s">
        <v>176</v>
      </c>
      <c r="B81" s="13" t="s">
        <v>177</v>
      </c>
      <c r="C81" s="13">
        <v>4875</v>
      </c>
      <c r="D81" s="13">
        <v>1.73</v>
      </c>
      <c r="E81" s="13">
        <v>168.68</v>
      </c>
      <c r="F81" s="13">
        <v>111</v>
      </c>
      <c r="G81" s="13">
        <v>1</v>
      </c>
      <c r="H81">
        <v>0.62</v>
      </c>
    </row>
    <row r="82" spans="1:8" x14ac:dyDescent="0.3">
      <c r="A82" t="s">
        <v>178</v>
      </c>
      <c r="B82" s="13" t="s">
        <v>179</v>
      </c>
      <c r="C82" s="13">
        <v>1146.3</v>
      </c>
      <c r="D82" s="13">
        <v>1.91</v>
      </c>
      <c r="E82" s="13">
        <v>43.79</v>
      </c>
      <c r="F82" s="13">
        <v>111</v>
      </c>
      <c r="G82" s="13">
        <v>3</v>
      </c>
      <c r="H82">
        <v>2.62</v>
      </c>
    </row>
    <row r="83" spans="1:8" x14ac:dyDescent="0.3">
      <c r="A83" t="s">
        <v>182</v>
      </c>
      <c r="B83" s="13" t="s">
        <v>183</v>
      </c>
      <c r="C83" s="13">
        <v>383.75</v>
      </c>
      <c r="D83" s="13">
        <v>2.34</v>
      </c>
      <c r="E83" s="13">
        <v>17.96</v>
      </c>
      <c r="F83" s="13">
        <v>111</v>
      </c>
      <c r="G83" s="13">
        <v>6</v>
      </c>
      <c r="H83">
        <v>7.82</v>
      </c>
    </row>
    <row r="84" spans="1:8" x14ac:dyDescent="0.3">
      <c r="A84" t="s">
        <v>184</v>
      </c>
      <c r="B84" s="13" t="s">
        <v>185</v>
      </c>
      <c r="C84" s="13">
        <v>2093.8000000000002</v>
      </c>
      <c r="D84" s="13">
        <v>1.3</v>
      </c>
      <c r="E84" s="13">
        <v>54.44</v>
      </c>
      <c r="F84" s="13">
        <v>111</v>
      </c>
      <c r="G84" s="13">
        <v>2</v>
      </c>
      <c r="H84">
        <v>1.43</v>
      </c>
    </row>
    <row r="85" spans="1:8" x14ac:dyDescent="0.3">
      <c r="A85" t="s">
        <v>887</v>
      </c>
      <c r="B85" s="13" t="s">
        <v>888</v>
      </c>
      <c r="C85" s="13">
        <v>625.1</v>
      </c>
      <c r="D85" s="13">
        <v>2.5700000000000003</v>
      </c>
      <c r="E85" s="13">
        <v>32.130000000000003</v>
      </c>
      <c r="F85" s="13">
        <v>111</v>
      </c>
      <c r="G85" s="13">
        <v>3</v>
      </c>
      <c r="H85">
        <v>4.8</v>
      </c>
    </row>
    <row r="86" spans="1:8" x14ac:dyDescent="0.3">
      <c r="A86" t="s">
        <v>889</v>
      </c>
      <c r="B86" s="13" t="s">
        <v>890</v>
      </c>
      <c r="C86" s="13">
        <v>1871.8</v>
      </c>
      <c r="D86" s="13">
        <v>1.7399999999999998</v>
      </c>
      <c r="E86" s="13">
        <v>65.14</v>
      </c>
      <c r="F86" s="13">
        <v>111</v>
      </c>
      <c r="G86" s="13">
        <v>2</v>
      </c>
      <c r="H86">
        <v>1.6</v>
      </c>
    </row>
    <row r="87" spans="1:8" x14ac:dyDescent="0.3">
      <c r="A87" t="s">
        <v>186</v>
      </c>
      <c r="B87" s="13" t="s">
        <v>187</v>
      </c>
      <c r="C87" s="13">
        <v>1226.5999999999999</v>
      </c>
      <c r="D87" s="13">
        <v>1.25</v>
      </c>
      <c r="E87" s="13">
        <v>30.66</v>
      </c>
      <c r="F87" s="13">
        <v>111</v>
      </c>
      <c r="G87" s="13">
        <v>4</v>
      </c>
      <c r="H87">
        <v>2.4500000000000002</v>
      </c>
    </row>
    <row r="88" spans="1:8" x14ac:dyDescent="0.3">
      <c r="A88" t="s">
        <v>188</v>
      </c>
      <c r="B88" s="13" t="s">
        <v>189</v>
      </c>
      <c r="C88" s="13">
        <v>1746.5</v>
      </c>
      <c r="D88" s="13">
        <v>1.43</v>
      </c>
      <c r="E88" s="13">
        <v>49.95</v>
      </c>
      <c r="F88" s="13">
        <v>111</v>
      </c>
      <c r="G88" s="13">
        <v>2</v>
      </c>
      <c r="H88">
        <v>1.72</v>
      </c>
    </row>
    <row r="89" spans="1:8" x14ac:dyDescent="0.3">
      <c r="A89" t="s">
        <v>190</v>
      </c>
      <c r="B89" s="13" t="s">
        <v>191</v>
      </c>
      <c r="C89" s="13">
        <v>482.45</v>
      </c>
      <c r="D89" s="13">
        <v>1.59</v>
      </c>
      <c r="E89" s="13">
        <v>15.34</v>
      </c>
      <c r="F89" s="13">
        <v>111</v>
      </c>
      <c r="G89" s="13">
        <v>7</v>
      </c>
      <c r="H89">
        <v>6.22</v>
      </c>
    </row>
    <row r="90" spans="1:8" x14ac:dyDescent="0.3">
      <c r="A90" t="s">
        <v>192</v>
      </c>
      <c r="B90" s="13" t="s">
        <v>193</v>
      </c>
      <c r="C90" s="13">
        <v>14.16</v>
      </c>
      <c r="D90" s="13">
        <v>3.2800000000000002</v>
      </c>
      <c r="E90" s="13">
        <v>0.93</v>
      </c>
      <c r="F90" s="13">
        <v>111</v>
      </c>
      <c r="G90" s="13">
        <v>119</v>
      </c>
      <c r="H90">
        <v>211.86</v>
      </c>
    </row>
    <row r="91" spans="1:8" x14ac:dyDescent="0.3">
      <c r="A91" t="s">
        <v>196</v>
      </c>
      <c r="B91" s="13" t="s">
        <v>197</v>
      </c>
      <c r="C91" s="13">
        <v>71.59</v>
      </c>
      <c r="D91" s="13">
        <v>2.08</v>
      </c>
      <c r="E91" s="13">
        <v>2.98</v>
      </c>
      <c r="F91" s="13">
        <v>111</v>
      </c>
      <c r="G91" s="13">
        <v>37</v>
      </c>
      <c r="H91">
        <v>41.91</v>
      </c>
    </row>
    <row r="92" spans="1:8" x14ac:dyDescent="0.3">
      <c r="A92" t="s">
        <v>198</v>
      </c>
      <c r="B92" s="13" t="s">
        <v>199</v>
      </c>
      <c r="C92" s="13">
        <v>125.25</v>
      </c>
      <c r="D92" s="13">
        <v>2.62</v>
      </c>
      <c r="E92" s="13">
        <v>6.56</v>
      </c>
      <c r="F92" s="13">
        <v>111</v>
      </c>
      <c r="G92" s="13">
        <v>17</v>
      </c>
      <c r="H92">
        <v>23.95</v>
      </c>
    </row>
    <row r="93" spans="1:8" x14ac:dyDescent="0.3">
      <c r="A93" t="s">
        <v>202</v>
      </c>
      <c r="B93" s="13" t="s">
        <v>203</v>
      </c>
      <c r="C93" s="13">
        <v>661.65</v>
      </c>
      <c r="D93" s="13">
        <v>1.81</v>
      </c>
      <c r="E93" s="13">
        <v>23.95</v>
      </c>
      <c r="F93" s="13">
        <v>111</v>
      </c>
      <c r="G93" s="13">
        <v>5</v>
      </c>
      <c r="H93">
        <v>4.53</v>
      </c>
    </row>
    <row r="94" spans="1:8" x14ac:dyDescent="0.3">
      <c r="A94" t="s">
        <v>891</v>
      </c>
      <c r="B94" s="13" t="s">
        <v>892</v>
      </c>
      <c r="C94" s="13">
        <v>825.55</v>
      </c>
      <c r="D94" s="13">
        <v>2.12</v>
      </c>
      <c r="E94" s="13">
        <v>35</v>
      </c>
      <c r="F94" s="13">
        <v>111</v>
      </c>
      <c r="G94" s="13">
        <v>3</v>
      </c>
      <c r="H94">
        <v>3.63</v>
      </c>
    </row>
    <row r="95" spans="1:8" x14ac:dyDescent="0.3">
      <c r="A95" t="s">
        <v>208</v>
      </c>
      <c r="B95" s="13" t="s">
        <v>209</v>
      </c>
      <c r="C95" s="13">
        <v>4466.1000000000004</v>
      </c>
      <c r="D95" s="13">
        <v>2.11</v>
      </c>
      <c r="E95" s="13">
        <v>188.47</v>
      </c>
      <c r="F95" s="13">
        <v>111</v>
      </c>
      <c r="G95" s="13">
        <v>1</v>
      </c>
      <c r="H95">
        <v>0.67</v>
      </c>
    </row>
    <row r="96" spans="1:8" x14ac:dyDescent="0.3">
      <c r="A96" t="s">
        <v>210</v>
      </c>
      <c r="B96" s="13" t="s">
        <v>211</v>
      </c>
      <c r="C96" s="13">
        <v>912.5</v>
      </c>
      <c r="D96" s="13">
        <v>2.23</v>
      </c>
      <c r="E96" s="13">
        <v>40.700000000000003</v>
      </c>
      <c r="F96" s="13">
        <v>111</v>
      </c>
      <c r="G96" s="13">
        <v>3</v>
      </c>
      <c r="H96">
        <v>3.29</v>
      </c>
    </row>
    <row r="97" spans="1:8" x14ac:dyDescent="0.3">
      <c r="A97" t="s">
        <v>212</v>
      </c>
      <c r="B97" s="13" t="s">
        <v>213</v>
      </c>
      <c r="C97" s="13">
        <v>429.15</v>
      </c>
      <c r="D97" s="13">
        <v>1.92</v>
      </c>
      <c r="E97" s="13">
        <v>16.48</v>
      </c>
      <c r="F97" s="13">
        <v>111</v>
      </c>
      <c r="G97" s="13">
        <v>7</v>
      </c>
      <c r="H97">
        <v>6.99</v>
      </c>
    </row>
    <row r="98" spans="1:8" x14ac:dyDescent="0.3">
      <c r="A98" t="s">
        <v>214</v>
      </c>
      <c r="B98" s="13" t="s">
        <v>215</v>
      </c>
      <c r="C98" s="13">
        <v>1270.8</v>
      </c>
      <c r="D98" s="13">
        <v>1.71</v>
      </c>
      <c r="E98" s="13">
        <v>43.46</v>
      </c>
      <c r="F98" s="13">
        <v>111</v>
      </c>
      <c r="G98" s="13">
        <v>3</v>
      </c>
      <c r="H98">
        <v>2.36</v>
      </c>
    </row>
    <row r="99" spans="1:8" x14ac:dyDescent="0.3">
      <c r="A99" t="s">
        <v>893</v>
      </c>
      <c r="B99" s="13" t="s">
        <v>894</v>
      </c>
      <c r="C99" s="13">
        <v>84.28</v>
      </c>
      <c r="D99" s="13">
        <v>2.85</v>
      </c>
      <c r="E99" s="13">
        <v>4.8</v>
      </c>
      <c r="F99" s="13">
        <v>111</v>
      </c>
      <c r="G99" s="13">
        <v>23</v>
      </c>
      <c r="H99">
        <v>35.6</v>
      </c>
    </row>
    <row r="100" spans="1:8" x14ac:dyDescent="0.3">
      <c r="A100" t="s">
        <v>216</v>
      </c>
      <c r="B100" s="13" t="s">
        <v>217</v>
      </c>
      <c r="C100" s="13">
        <v>138.83000000000001</v>
      </c>
      <c r="D100" s="13">
        <v>1.79</v>
      </c>
      <c r="E100" s="13">
        <v>4.97</v>
      </c>
      <c r="F100" s="13">
        <v>111</v>
      </c>
      <c r="G100" s="13">
        <v>22</v>
      </c>
      <c r="H100">
        <v>21.61</v>
      </c>
    </row>
    <row r="101" spans="1:8" x14ac:dyDescent="0.3">
      <c r="A101" t="s">
        <v>895</v>
      </c>
      <c r="B101" s="13" t="s">
        <v>896</v>
      </c>
      <c r="C101" s="13">
        <v>124.93</v>
      </c>
      <c r="D101" s="13">
        <v>2.41</v>
      </c>
      <c r="E101" s="13">
        <v>6.02</v>
      </c>
      <c r="F101" s="13">
        <v>111</v>
      </c>
      <c r="G101" s="13">
        <v>18</v>
      </c>
      <c r="H101">
        <v>24.01</v>
      </c>
    </row>
    <row r="102" spans="1:8" x14ac:dyDescent="0.3">
      <c r="A102" t="s">
        <v>897</v>
      </c>
      <c r="B102" s="13" t="s">
        <v>898</v>
      </c>
      <c r="C102" s="13">
        <v>96.67</v>
      </c>
      <c r="D102" s="13">
        <v>2.23</v>
      </c>
      <c r="E102" s="13">
        <v>4.3099999999999996</v>
      </c>
      <c r="F102" s="13">
        <v>111</v>
      </c>
      <c r="G102" s="13">
        <v>26</v>
      </c>
      <c r="H102">
        <v>31.03</v>
      </c>
    </row>
    <row r="103" spans="1:8" x14ac:dyDescent="0.3">
      <c r="A103" t="s">
        <v>222</v>
      </c>
      <c r="B103" s="13" t="s">
        <v>223</v>
      </c>
      <c r="C103" s="13">
        <v>283.25</v>
      </c>
      <c r="D103" s="13">
        <v>1.28</v>
      </c>
      <c r="E103" s="13">
        <v>7.25</v>
      </c>
      <c r="F103" s="13">
        <v>111</v>
      </c>
      <c r="G103" s="13">
        <v>15</v>
      </c>
      <c r="H103">
        <v>10.59</v>
      </c>
    </row>
    <row r="104" spans="1:8" x14ac:dyDescent="0.3">
      <c r="A104" t="s">
        <v>224</v>
      </c>
      <c r="B104" s="13" t="s">
        <v>225</v>
      </c>
      <c r="C104" s="13">
        <v>1203.4000000000001</v>
      </c>
      <c r="D104" s="13">
        <v>1.92</v>
      </c>
      <c r="E104" s="13">
        <v>46.21</v>
      </c>
      <c r="F104" s="13">
        <v>111</v>
      </c>
      <c r="G104" s="13">
        <v>2</v>
      </c>
      <c r="H104">
        <v>2.4900000000000002</v>
      </c>
    </row>
    <row r="105" spans="1:8" x14ac:dyDescent="0.3">
      <c r="A105" t="s">
        <v>899</v>
      </c>
      <c r="B105" s="13" t="s">
        <v>900</v>
      </c>
      <c r="C105" s="13">
        <v>237.65</v>
      </c>
      <c r="D105" s="13">
        <v>1.91</v>
      </c>
      <c r="E105" s="13">
        <v>9.08</v>
      </c>
      <c r="F105" s="13">
        <v>111</v>
      </c>
      <c r="G105" s="13">
        <v>12</v>
      </c>
      <c r="H105">
        <v>12.62</v>
      </c>
    </row>
    <row r="106" spans="1:8" x14ac:dyDescent="0.3">
      <c r="A106" t="s">
        <v>901</v>
      </c>
      <c r="B106" s="13" t="s">
        <v>902</v>
      </c>
      <c r="C106" s="13">
        <v>588.54999999999995</v>
      </c>
      <c r="D106" s="13">
        <v>2.2599999999999998</v>
      </c>
      <c r="E106" s="13">
        <v>26.6</v>
      </c>
      <c r="F106" s="13">
        <v>111</v>
      </c>
      <c r="G106" s="13">
        <v>4</v>
      </c>
      <c r="H106">
        <v>5.0999999999999996</v>
      </c>
    </row>
    <row r="107" spans="1:8" x14ac:dyDescent="0.3">
      <c r="A107" t="s">
        <v>228</v>
      </c>
      <c r="B107" s="13" t="s">
        <v>229</v>
      </c>
      <c r="C107" s="13">
        <v>1310.8</v>
      </c>
      <c r="D107" s="13">
        <v>1.6099999999999999</v>
      </c>
      <c r="E107" s="13">
        <v>42.21</v>
      </c>
      <c r="F107" s="13">
        <v>111</v>
      </c>
      <c r="G107" s="13">
        <v>3</v>
      </c>
      <c r="H107">
        <v>2.29</v>
      </c>
    </row>
    <row r="108" spans="1:8" x14ac:dyDescent="0.3">
      <c r="A108" t="s">
        <v>230</v>
      </c>
      <c r="B108" s="13" t="s">
        <v>231</v>
      </c>
      <c r="C108" s="13">
        <v>430.7</v>
      </c>
      <c r="D108" s="13">
        <v>2.0500000000000003</v>
      </c>
      <c r="E108" s="13">
        <v>17.66</v>
      </c>
      <c r="F108" s="13">
        <v>111</v>
      </c>
      <c r="G108" s="13">
        <v>6</v>
      </c>
      <c r="H108">
        <v>6.97</v>
      </c>
    </row>
    <row r="109" spans="1:8" x14ac:dyDescent="0.3">
      <c r="A109" t="s">
        <v>903</v>
      </c>
      <c r="B109" s="13" t="s">
        <v>904</v>
      </c>
      <c r="C109" s="13">
        <v>353.1</v>
      </c>
      <c r="D109" s="13">
        <v>2.73</v>
      </c>
      <c r="E109" s="13">
        <v>19.28</v>
      </c>
      <c r="F109" s="13">
        <v>111</v>
      </c>
      <c r="G109" s="13">
        <v>6</v>
      </c>
      <c r="H109">
        <v>8.5</v>
      </c>
    </row>
    <row r="110" spans="1:8" x14ac:dyDescent="0.3">
      <c r="A110" t="s">
        <v>905</v>
      </c>
      <c r="B110" s="13" t="s">
        <v>906</v>
      </c>
      <c r="C110" s="13">
        <v>3169</v>
      </c>
      <c r="D110" s="13">
        <v>3.52</v>
      </c>
      <c r="E110" s="13">
        <v>223.1</v>
      </c>
      <c r="F110" s="13">
        <v>111</v>
      </c>
      <c r="G110" s="13">
        <v>0</v>
      </c>
      <c r="H110">
        <v>0.95</v>
      </c>
    </row>
    <row r="111" spans="1:8" x14ac:dyDescent="0.3">
      <c r="A111" t="s">
        <v>907</v>
      </c>
      <c r="B111" s="13" t="s">
        <v>908</v>
      </c>
      <c r="C111" s="13">
        <v>5261.5</v>
      </c>
      <c r="D111" s="13">
        <v>2.35</v>
      </c>
      <c r="E111" s="13">
        <v>247.29</v>
      </c>
      <c r="F111" s="13">
        <v>111</v>
      </c>
      <c r="G111" s="13">
        <v>0</v>
      </c>
      <c r="H111">
        <v>0.56999999999999995</v>
      </c>
    </row>
    <row r="112" spans="1:8" x14ac:dyDescent="0.3">
      <c r="A112" t="s">
        <v>909</v>
      </c>
      <c r="B112" s="13" t="s">
        <v>910</v>
      </c>
      <c r="C112" s="13">
        <v>858.75</v>
      </c>
      <c r="D112" s="13">
        <v>2.5499999999999998</v>
      </c>
      <c r="E112" s="13">
        <v>43.8</v>
      </c>
      <c r="F112" s="13">
        <v>111</v>
      </c>
      <c r="G112" s="13">
        <v>3</v>
      </c>
      <c r="H112">
        <v>3.49</v>
      </c>
    </row>
    <row r="113" spans="1:8" x14ac:dyDescent="0.3">
      <c r="A113" t="s">
        <v>232</v>
      </c>
      <c r="B113" s="13" t="s">
        <v>233</v>
      </c>
      <c r="C113" s="13">
        <v>379.05</v>
      </c>
      <c r="D113" s="13">
        <v>1.41</v>
      </c>
      <c r="E113" s="13">
        <v>10.69</v>
      </c>
      <c r="F113" s="13">
        <v>111</v>
      </c>
      <c r="G113" s="13">
        <v>10</v>
      </c>
      <c r="H113">
        <v>7.91</v>
      </c>
    </row>
    <row r="114" spans="1:8" x14ac:dyDescent="0.3">
      <c r="A114" t="s">
        <v>911</v>
      </c>
      <c r="B114" s="13" t="s">
        <v>912</v>
      </c>
      <c r="C114" s="13">
        <v>809.25</v>
      </c>
      <c r="D114" s="13">
        <v>2.31</v>
      </c>
      <c r="E114" s="13">
        <v>37.39</v>
      </c>
      <c r="F114" s="13">
        <v>111</v>
      </c>
      <c r="G114" s="13">
        <v>3</v>
      </c>
      <c r="H114">
        <v>3.71</v>
      </c>
    </row>
    <row r="115" spans="1:8" x14ac:dyDescent="0.3">
      <c r="A115" t="s">
        <v>237</v>
      </c>
      <c r="B115" s="13" t="s">
        <v>238</v>
      </c>
      <c r="C115" s="13">
        <v>1382.6</v>
      </c>
      <c r="D115" s="13">
        <v>2.04</v>
      </c>
      <c r="E115" s="13">
        <v>56.41</v>
      </c>
      <c r="F115" s="13">
        <v>111</v>
      </c>
      <c r="G115" s="13">
        <v>2</v>
      </c>
      <c r="H115">
        <v>2.17</v>
      </c>
    </row>
    <row r="116" spans="1:8" x14ac:dyDescent="0.3">
      <c r="A116" t="s">
        <v>239</v>
      </c>
      <c r="B116" s="13" t="s">
        <v>240</v>
      </c>
      <c r="C116" s="13">
        <v>535</v>
      </c>
      <c r="D116" s="13">
        <v>1.79</v>
      </c>
      <c r="E116" s="13">
        <v>19.149999999999999</v>
      </c>
      <c r="F116" s="13">
        <v>111</v>
      </c>
      <c r="G116" s="13">
        <v>6</v>
      </c>
      <c r="H116">
        <v>5.61</v>
      </c>
    </row>
    <row r="117" spans="1:8" x14ac:dyDescent="0.3">
      <c r="A117" t="s">
        <v>913</v>
      </c>
      <c r="B117" s="13" t="s">
        <v>914</v>
      </c>
      <c r="C117" s="13">
        <v>400.7</v>
      </c>
      <c r="D117" s="13">
        <v>1.7000000000000002</v>
      </c>
      <c r="E117" s="13">
        <v>13.62</v>
      </c>
      <c r="F117" s="13">
        <v>111</v>
      </c>
      <c r="G117" s="13">
        <v>8</v>
      </c>
      <c r="H117">
        <v>7.49</v>
      </c>
    </row>
    <row r="118" spans="1:8" x14ac:dyDescent="0.3">
      <c r="A118" t="s">
        <v>915</v>
      </c>
      <c r="B118" s="13" t="s">
        <v>916</v>
      </c>
      <c r="C118" s="13">
        <v>903.8</v>
      </c>
      <c r="D118" s="13">
        <v>2.52</v>
      </c>
      <c r="E118" s="13">
        <v>45.55</v>
      </c>
      <c r="F118" s="13">
        <v>111</v>
      </c>
      <c r="G118" s="13">
        <v>2</v>
      </c>
      <c r="H118">
        <v>3.32</v>
      </c>
    </row>
    <row r="119" spans="1:8" x14ac:dyDescent="0.3">
      <c r="A119" t="s">
        <v>241</v>
      </c>
      <c r="B119" s="13" t="s">
        <v>242</v>
      </c>
      <c r="C119" s="13">
        <v>4000.9</v>
      </c>
      <c r="D119" s="13">
        <v>1.71</v>
      </c>
      <c r="E119" s="13">
        <v>136.83000000000001</v>
      </c>
      <c r="F119" s="13">
        <v>111</v>
      </c>
      <c r="G119" s="13">
        <v>1</v>
      </c>
      <c r="H119">
        <v>0.75</v>
      </c>
    </row>
    <row r="120" spans="1:8" x14ac:dyDescent="0.3">
      <c r="A120" t="s">
        <v>917</v>
      </c>
      <c r="B120" s="13" t="s">
        <v>918</v>
      </c>
      <c r="C120" s="13">
        <v>270.7</v>
      </c>
      <c r="D120" s="13">
        <v>2.15</v>
      </c>
      <c r="E120" s="13">
        <v>11.64</v>
      </c>
      <c r="F120" s="13">
        <v>111</v>
      </c>
      <c r="G120" s="13">
        <v>10</v>
      </c>
      <c r="H120">
        <v>11.08</v>
      </c>
    </row>
    <row r="121" spans="1:8" x14ac:dyDescent="0.3">
      <c r="A121" t="s">
        <v>919</v>
      </c>
      <c r="B121" s="13" t="s">
        <v>920</v>
      </c>
      <c r="C121" s="13">
        <v>4341.7</v>
      </c>
      <c r="D121" s="13">
        <v>1.96</v>
      </c>
      <c r="E121" s="13">
        <v>170.19</v>
      </c>
      <c r="F121" s="13">
        <v>111</v>
      </c>
      <c r="G121" s="13">
        <v>1</v>
      </c>
      <c r="H121">
        <v>0.69</v>
      </c>
    </row>
    <row r="122" spans="1:8" x14ac:dyDescent="0.3">
      <c r="A122" t="s">
        <v>247</v>
      </c>
      <c r="B122" s="13" t="s">
        <v>248</v>
      </c>
      <c r="C122" s="13">
        <v>2249.8000000000002</v>
      </c>
      <c r="D122" s="13">
        <v>1.48</v>
      </c>
      <c r="E122" s="13">
        <v>66.59</v>
      </c>
      <c r="F122" s="13">
        <v>111</v>
      </c>
      <c r="G122" s="13">
        <v>2</v>
      </c>
      <c r="H122">
        <v>1.33</v>
      </c>
    </row>
    <row r="123" spans="1:8" x14ac:dyDescent="0.3">
      <c r="A123" t="s">
        <v>605</v>
      </c>
      <c r="B123" s="13" t="s">
        <v>606</v>
      </c>
      <c r="C123" s="13">
        <v>2998.3</v>
      </c>
      <c r="D123" s="13">
        <v>1.8599999999999999</v>
      </c>
      <c r="E123" s="13">
        <v>111.54</v>
      </c>
      <c r="F123" s="13">
        <v>111</v>
      </c>
      <c r="G123" s="13">
        <v>1</v>
      </c>
      <c r="H123">
        <v>1</v>
      </c>
    </row>
    <row r="124" spans="1:8" x14ac:dyDescent="0.3">
      <c r="A124" t="s">
        <v>251</v>
      </c>
      <c r="B124" s="13" t="s">
        <v>252</v>
      </c>
      <c r="C124" s="13">
        <v>313.55</v>
      </c>
      <c r="D124" s="13">
        <v>2.23</v>
      </c>
      <c r="E124" s="13">
        <v>13.98</v>
      </c>
      <c r="F124" s="13">
        <v>111</v>
      </c>
      <c r="G124" s="13">
        <v>8</v>
      </c>
      <c r="H124">
        <v>9.57</v>
      </c>
    </row>
    <row r="125" spans="1:8" x14ac:dyDescent="0.3">
      <c r="A125" t="s">
        <v>921</v>
      </c>
      <c r="B125" s="13" t="s">
        <v>922</v>
      </c>
      <c r="C125" s="13">
        <v>2299</v>
      </c>
      <c r="D125" s="13">
        <v>1.77</v>
      </c>
      <c r="E125" s="13">
        <v>81.38</v>
      </c>
      <c r="F125" s="13">
        <v>111</v>
      </c>
      <c r="G125" s="13">
        <v>1</v>
      </c>
      <c r="H125">
        <v>1.3</v>
      </c>
    </row>
    <row r="126" spans="1:8" x14ac:dyDescent="0.3">
      <c r="A126" t="s">
        <v>253</v>
      </c>
      <c r="B126" s="13" t="s">
        <v>254</v>
      </c>
      <c r="C126" s="13">
        <v>810.95</v>
      </c>
      <c r="D126" s="13">
        <v>1.27</v>
      </c>
      <c r="E126" s="13">
        <v>20.6</v>
      </c>
      <c r="F126" s="13">
        <v>111</v>
      </c>
      <c r="G126" s="13">
        <v>5</v>
      </c>
      <c r="H126">
        <v>3.7</v>
      </c>
    </row>
    <row r="127" spans="1:8" x14ac:dyDescent="0.3">
      <c r="A127" t="s">
        <v>255</v>
      </c>
      <c r="B127" s="13" t="s">
        <v>256</v>
      </c>
      <c r="C127" s="13">
        <v>13022</v>
      </c>
      <c r="D127" s="13">
        <v>1.49</v>
      </c>
      <c r="E127" s="13">
        <v>388.06</v>
      </c>
      <c r="F127" s="13">
        <v>111</v>
      </c>
      <c r="G127" s="13">
        <v>0</v>
      </c>
      <c r="H127">
        <v>0.23</v>
      </c>
    </row>
    <row r="128" spans="1:8" x14ac:dyDescent="0.3">
      <c r="A128" t="s">
        <v>923</v>
      </c>
      <c r="B128" s="13" t="s">
        <v>924</v>
      </c>
      <c r="C128" s="13">
        <v>948.7</v>
      </c>
      <c r="D128" s="13">
        <v>1.8900000000000001</v>
      </c>
      <c r="E128" s="13">
        <v>35.86</v>
      </c>
      <c r="F128" s="13">
        <v>111</v>
      </c>
      <c r="G128" s="13">
        <v>3</v>
      </c>
      <c r="H128">
        <v>3.16</v>
      </c>
    </row>
    <row r="129" spans="1:8" x14ac:dyDescent="0.3">
      <c r="A129" t="s">
        <v>925</v>
      </c>
      <c r="B129" s="13" t="s">
        <v>926</v>
      </c>
      <c r="C129" s="13">
        <v>2444.9</v>
      </c>
      <c r="D129" s="13">
        <v>2.78</v>
      </c>
      <c r="E129" s="13">
        <v>135.94</v>
      </c>
      <c r="F129" s="13">
        <v>111</v>
      </c>
      <c r="G129" s="13">
        <v>1</v>
      </c>
      <c r="H129">
        <v>1.23</v>
      </c>
    </row>
    <row r="130" spans="1:8" x14ac:dyDescent="0.3">
      <c r="A130" t="s">
        <v>258</v>
      </c>
      <c r="B130" s="13" t="s">
        <v>259</v>
      </c>
      <c r="C130" s="13">
        <v>2878.7</v>
      </c>
      <c r="D130" s="13">
        <v>2.59</v>
      </c>
      <c r="E130" s="13">
        <v>149.12</v>
      </c>
      <c r="F130" s="13">
        <v>111</v>
      </c>
      <c r="G130" s="13">
        <v>1</v>
      </c>
      <c r="H130">
        <v>1.04</v>
      </c>
    </row>
    <row r="131" spans="1:8" x14ac:dyDescent="0.3">
      <c r="A131" t="s">
        <v>262</v>
      </c>
      <c r="B131" s="13" t="s">
        <v>263</v>
      </c>
      <c r="C131" s="13">
        <v>1595.4</v>
      </c>
      <c r="D131" s="13">
        <v>1.7000000000000002</v>
      </c>
      <c r="E131" s="13">
        <v>54.24</v>
      </c>
      <c r="F131" s="13">
        <v>111</v>
      </c>
      <c r="G131" s="13">
        <v>2</v>
      </c>
      <c r="H131">
        <v>1.88</v>
      </c>
    </row>
    <row r="132" spans="1:8" x14ac:dyDescent="0.3">
      <c r="A132" t="s">
        <v>266</v>
      </c>
      <c r="B132" s="13" t="s">
        <v>267</v>
      </c>
      <c r="C132" s="13">
        <v>144.88999999999999</v>
      </c>
      <c r="D132" s="13">
        <v>2.2999999999999998</v>
      </c>
      <c r="E132" s="13">
        <v>6.66</v>
      </c>
      <c r="F132" s="13">
        <v>111</v>
      </c>
      <c r="G132" s="13">
        <v>17</v>
      </c>
      <c r="H132">
        <v>20.71</v>
      </c>
    </row>
    <row r="133" spans="1:8" x14ac:dyDescent="0.3">
      <c r="A133" t="s">
        <v>927</v>
      </c>
      <c r="B133" s="13" t="s">
        <v>928</v>
      </c>
      <c r="C133" s="13">
        <v>865.95</v>
      </c>
      <c r="D133" s="13">
        <v>2.76</v>
      </c>
      <c r="E133" s="13">
        <v>47.8</v>
      </c>
      <c r="F133" s="13">
        <v>111</v>
      </c>
      <c r="G133" s="13">
        <v>2</v>
      </c>
      <c r="H133">
        <v>3.46</v>
      </c>
    </row>
    <row r="134" spans="1:8" x14ac:dyDescent="0.3">
      <c r="A134" t="s">
        <v>268</v>
      </c>
      <c r="B134" s="13" t="s">
        <v>269</v>
      </c>
      <c r="C134" s="13">
        <v>2387.6999999999998</v>
      </c>
      <c r="D134" s="13">
        <v>1.92</v>
      </c>
      <c r="E134" s="13">
        <v>91.69</v>
      </c>
      <c r="F134" s="13">
        <v>111</v>
      </c>
      <c r="G134" s="13">
        <v>1</v>
      </c>
      <c r="H134">
        <v>1.26</v>
      </c>
    </row>
    <row r="135" spans="1:8" x14ac:dyDescent="0.3">
      <c r="A135" t="s">
        <v>272</v>
      </c>
      <c r="B135" s="13" t="s">
        <v>273</v>
      </c>
      <c r="C135" s="13">
        <v>3262.1</v>
      </c>
      <c r="D135" s="13">
        <v>2.27</v>
      </c>
      <c r="E135" s="13">
        <v>148.1</v>
      </c>
      <c r="F135" s="13">
        <v>111</v>
      </c>
      <c r="G135" s="13">
        <v>1</v>
      </c>
      <c r="H135">
        <v>0.92</v>
      </c>
    </row>
    <row r="136" spans="1:8" x14ac:dyDescent="0.3">
      <c r="A136" t="s">
        <v>929</v>
      </c>
      <c r="B136" s="13" t="s">
        <v>930</v>
      </c>
      <c r="C136" s="13">
        <v>1089.9000000000001</v>
      </c>
      <c r="D136" s="13">
        <v>2.5700000000000003</v>
      </c>
      <c r="E136" s="13">
        <v>56.02</v>
      </c>
      <c r="F136" s="13">
        <v>111</v>
      </c>
      <c r="G136" s="13">
        <v>2</v>
      </c>
      <c r="H136">
        <v>2.75</v>
      </c>
    </row>
    <row r="137" spans="1:8" x14ac:dyDescent="0.3">
      <c r="A137" t="s">
        <v>274</v>
      </c>
      <c r="B137" s="13" t="s">
        <v>275</v>
      </c>
      <c r="C137" s="13">
        <v>434.4</v>
      </c>
      <c r="D137" s="13">
        <v>2.67</v>
      </c>
      <c r="E137" s="13">
        <v>23.2</v>
      </c>
      <c r="F137" s="13">
        <v>111</v>
      </c>
      <c r="G137" s="13">
        <v>5</v>
      </c>
      <c r="H137">
        <v>6.91</v>
      </c>
    </row>
    <row r="138" spans="1:8" x14ac:dyDescent="0.3">
      <c r="A138" t="s">
        <v>276</v>
      </c>
      <c r="B138" s="13" t="s">
        <v>277</v>
      </c>
      <c r="C138" s="13">
        <v>1015.7</v>
      </c>
      <c r="D138" s="13">
        <v>1.8900000000000001</v>
      </c>
      <c r="E138" s="13">
        <v>38.39</v>
      </c>
      <c r="F138" s="13">
        <v>111</v>
      </c>
      <c r="G138" s="13">
        <v>3</v>
      </c>
      <c r="H138">
        <v>2.95</v>
      </c>
    </row>
    <row r="139" spans="1:8" x14ac:dyDescent="0.3">
      <c r="A139" t="s">
        <v>931</v>
      </c>
      <c r="B139" s="13" t="s">
        <v>932</v>
      </c>
      <c r="C139" s="13">
        <v>104.11</v>
      </c>
      <c r="D139" s="13">
        <v>2.6</v>
      </c>
      <c r="E139" s="13">
        <v>5.41</v>
      </c>
      <c r="F139" s="13">
        <v>111</v>
      </c>
      <c r="G139" s="13">
        <v>21</v>
      </c>
      <c r="H139">
        <v>28.82</v>
      </c>
    </row>
    <row r="140" spans="1:8" x14ac:dyDescent="0.3">
      <c r="A140" t="s">
        <v>280</v>
      </c>
      <c r="B140" s="13" t="s">
        <v>281</v>
      </c>
      <c r="C140" s="13">
        <v>1398.7</v>
      </c>
      <c r="D140" s="13">
        <v>1.29</v>
      </c>
      <c r="E140" s="13">
        <v>36.090000000000003</v>
      </c>
      <c r="F140" s="13">
        <v>111</v>
      </c>
      <c r="G140" s="13">
        <v>3</v>
      </c>
      <c r="H140">
        <v>2.14</v>
      </c>
    </row>
    <row r="141" spans="1:8" x14ac:dyDescent="0.3">
      <c r="A141" t="s">
        <v>933</v>
      </c>
      <c r="B141" s="13" t="s">
        <v>934</v>
      </c>
      <c r="C141" s="13">
        <v>72.290000000000006</v>
      </c>
      <c r="D141" s="13">
        <v>1.79</v>
      </c>
      <c r="E141" s="13">
        <v>2.59</v>
      </c>
      <c r="F141" s="13">
        <v>111</v>
      </c>
      <c r="G141" s="13">
        <v>43</v>
      </c>
      <c r="H141">
        <v>41.5</v>
      </c>
    </row>
    <row r="142" spans="1:8" x14ac:dyDescent="0.3">
      <c r="A142" t="s">
        <v>282</v>
      </c>
      <c r="B142" s="13" t="s">
        <v>283</v>
      </c>
      <c r="C142" s="13">
        <v>95.31</v>
      </c>
      <c r="D142" s="13">
        <v>2.02</v>
      </c>
      <c r="E142" s="13">
        <v>3.85</v>
      </c>
      <c r="F142" s="13">
        <v>111</v>
      </c>
      <c r="G142" s="13">
        <v>29</v>
      </c>
      <c r="H142">
        <v>31.48</v>
      </c>
    </row>
    <row r="143" spans="1:8" x14ac:dyDescent="0.3">
      <c r="A143" t="s">
        <v>284</v>
      </c>
      <c r="B143" s="13" t="s">
        <v>285</v>
      </c>
      <c r="C143" s="13">
        <v>367.4</v>
      </c>
      <c r="D143" s="13">
        <v>1.4200000000000002</v>
      </c>
      <c r="E143" s="13">
        <v>10.43</v>
      </c>
      <c r="F143" s="13">
        <v>111</v>
      </c>
      <c r="G143" s="13">
        <v>11</v>
      </c>
      <c r="H143">
        <v>8.17</v>
      </c>
    </row>
    <row r="144" spans="1:8" x14ac:dyDescent="0.3">
      <c r="A144" t="s">
        <v>935</v>
      </c>
      <c r="B144" s="13" t="s">
        <v>936</v>
      </c>
      <c r="C144" s="13">
        <v>1573.4</v>
      </c>
      <c r="D144" s="13">
        <v>2.58</v>
      </c>
      <c r="E144" s="13">
        <v>81.19</v>
      </c>
      <c r="F144" s="13">
        <v>111</v>
      </c>
      <c r="G144" s="13">
        <v>1</v>
      </c>
      <c r="H144">
        <v>1.91</v>
      </c>
    </row>
    <row r="145" spans="1:8" x14ac:dyDescent="0.3">
      <c r="A145" t="s">
        <v>937</v>
      </c>
      <c r="B145" s="13" t="s">
        <v>938</v>
      </c>
      <c r="C145" s="13">
        <v>269.55</v>
      </c>
      <c r="D145" s="13">
        <v>1.83</v>
      </c>
      <c r="E145" s="13">
        <v>9.8699999999999992</v>
      </c>
      <c r="F145" s="13">
        <v>111</v>
      </c>
      <c r="G145" s="13">
        <v>11</v>
      </c>
      <c r="H145">
        <v>11.13</v>
      </c>
    </row>
    <row r="146" spans="1:8" x14ac:dyDescent="0.3">
      <c r="A146" t="s">
        <v>286</v>
      </c>
      <c r="B146" s="13" t="s">
        <v>287</v>
      </c>
      <c r="C146" s="13">
        <v>1674.7</v>
      </c>
      <c r="D146" s="13">
        <v>1.8900000000000001</v>
      </c>
      <c r="E146" s="13">
        <v>63.3</v>
      </c>
      <c r="F146" s="13">
        <v>111</v>
      </c>
      <c r="G146" s="13">
        <v>2</v>
      </c>
      <c r="H146">
        <v>1.79</v>
      </c>
    </row>
    <row r="147" spans="1:8" x14ac:dyDescent="0.3">
      <c r="A147" t="s">
        <v>288</v>
      </c>
      <c r="B147" s="13" t="s">
        <v>289</v>
      </c>
      <c r="C147" s="13">
        <v>10344.5</v>
      </c>
      <c r="D147" s="13">
        <v>2.16</v>
      </c>
      <c r="E147" s="13">
        <v>446.88</v>
      </c>
      <c r="F147" s="13">
        <v>111</v>
      </c>
      <c r="G147" s="13">
        <v>0</v>
      </c>
      <c r="H147">
        <v>0.28999999999999998</v>
      </c>
    </row>
    <row r="148" spans="1:8" x14ac:dyDescent="0.3">
      <c r="A148" t="s">
        <v>939</v>
      </c>
      <c r="B148" s="13" t="s">
        <v>940</v>
      </c>
      <c r="C148" s="13">
        <v>484.1</v>
      </c>
      <c r="D148" s="13">
        <v>2.21</v>
      </c>
      <c r="E148" s="13">
        <v>21.4</v>
      </c>
      <c r="F148" s="13">
        <v>111</v>
      </c>
      <c r="G148" s="13">
        <v>5</v>
      </c>
      <c r="H148">
        <v>6.2</v>
      </c>
    </row>
    <row r="149" spans="1:8" x14ac:dyDescent="0.3">
      <c r="A149" t="s">
        <v>290</v>
      </c>
      <c r="B149" s="13" t="s">
        <v>291</v>
      </c>
      <c r="C149" s="13">
        <v>265.05</v>
      </c>
      <c r="D149" s="13">
        <v>1.71</v>
      </c>
      <c r="E149" s="13">
        <v>9.06</v>
      </c>
      <c r="F149" s="13">
        <v>111</v>
      </c>
      <c r="G149" s="13">
        <v>12</v>
      </c>
      <c r="H149">
        <v>11.32</v>
      </c>
    </row>
    <row r="150" spans="1:8" x14ac:dyDescent="0.3">
      <c r="A150" t="s">
        <v>292</v>
      </c>
      <c r="B150" s="13" t="s">
        <v>293</v>
      </c>
      <c r="C150" s="13">
        <v>37365</v>
      </c>
      <c r="D150" s="13">
        <v>1.53</v>
      </c>
      <c r="E150" s="13">
        <v>1143.3699999999999</v>
      </c>
      <c r="F150" s="13">
        <v>111</v>
      </c>
      <c r="G150" s="13">
        <v>0</v>
      </c>
      <c r="H150">
        <v>0.08</v>
      </c>
    </row>
    <row r="151" spans="1:8" x14ac:dyDescent="0.3">
      <c r="A151" t="s">
        <v>941</v>
      </c>
      <c r="B151" s="13" t="s">
        <v>942</v>
      </c>
      <c r="C151" s="13">
        <v>451.55</v>
      </c>
      <c r="D151" s="13">
        <v>1.6099999999999999</v>
      </c>
      <c r="E151" s="13">
        <v>14.54</v>
      </c>
      <c r="F151" s="13">
        <v>111</v>
      </c>
      <c r="G151" s="13">
        <v>8</v>
      </c>
      <c r="H151">
        <v>6.64</v>
      </c>
    </row>
    <row r="152" spans="1:8" x14ac:dyDescent="0.3">
      <c r="A152" t="s">
        <v>943</v>
      </c>
      <c r="B152" s="13" t="s">
        <v>944</v>
      </c>
      <c r="C152" s="13">
        <v>1070.9000000000001</v>
      </c>
      <c r="D152" s="13">
        <v>2.7</v>
      </c>
      <c r="E152" s="13">
        <v>57.83</v>
      </c>
      <c r="F152" s="13">
        <v>111</v>
      </c>
      <c r="G152" s="13">
        <v>2</v>
      </c>
      <c r="H152">
        <v>2.8</v>
      </c>
    </row>
    <row r="153" spans="1:8" x14ac:dyDescent="0.3">
      <c r="A153" t="s">
        <v>296</v>
      </c>
      <c r="B153" s="13" t="s">
        <v>297</v>
      </c>
      <c r="C153" s="13">
        <v>5470.5</v>
      </c>
      <c r="D153" s="13">
        <v>2.17</v>
      </c>
      <c r="E153" s="13">
        <v>237.42</v>
      </c>
      <c r="F153" s="13">
        <v>111</v>
      </c>
      <c r="G153" s="13">
        <v>0</v>
      </c>
      <c r="H153">
        <v>0.55000000000000004</v>
      </c>
    </row>
    <row r="154" spans="1:8" x14ac:dyDescent="0.3">
      <c r="A154" t="s">
        <v>298</v>
      </c>
      <c r="B154" s="13" t="s">
        <v>299</v>
      </c>
      <c r="C154" s="13">
        <v>269</v>
      </c>
      <c r="D154" s="13">
        <v>1.9800000000000002</v>
      </c>
      <c r="E154" s="13">
        <v>10.65</v>
      </c>
      <c r="F154" s="13">
        <v>111</v>
      </c>
      <c r="G154" s="13">
        <v>10</v>
      </c>
      <c r="H154">
        <v>11.15</v>
      </c>
    </row>
    <row r="155" spans="1:8" x14ac:dyDescent="0.3">
      <c r="A155" t="s">
        <v>300</v>
      </c>
      <c r="B155" s="13" t="s">
        <v>301</v>
      </c>
      <c r="C155" s="13">
        <v>413.05</v>
      </c>
      <c r="D155" s="13">
        <v>2.11</v>
      </c>
      <c r="E155" s="13">
        <v>17.43</v>
      </c>
      <c r="F155" s="13">
        <v>111</v>
      </c>
      <c r="G155" s="13">
        <v>6</v>
      </c>
      <c r="H155">
        <v>7.26</v>
      </c>
    </row>
    <row r="156" spans="1:8" x14ac:dyDescent="0.3">
      <c r="A156" t="s">
        <v>945</v>
      </c>
      <c r="B156" s="13" t="s">
        <v>946</v>
      </c>
      <c r="C156" s="13">
        <v>480.4</v>
      </c>
      <c r="D156" s="13">
        <v>3.3300000000000005</v>
      </c>
      <c r="E156" s="13">
        <v>31.99</v>
      </c>
      <c r="F156" s="13">
        <v>111</v>
      </c>
      <c r="G156" s="13">
        <v>3</v>
      </c>
      <c r="H156">
        <v>6.24</v>
      </c>
    </row>
    <row r="157" spans="1:8" x14ac:dyDescent="0.3">
      <c r="A157" t="s">
        <v>947</v>
      </c>
      <c r="B157" s="13" t="s">
        <v>948</v>
      </c>
      <c r="C157" s="13">
        <v>1706.8</v>
      </c>
      <c r="D157" s="13">
        <v>2.0299999999999998</v>
      </c>
      <c r="E157" s="13">
        <v>69.3</v>
      </c>
      <c r="F157" s="13">
        <v>111</v>
      </c>
      <c r="G157" s="13">
        <v>2</v>
      </c>
      <c r="H157">
        <v>1.76</v>
      </c>
    </row>
    <row r="158" spans="1:8" x14ac:dyDescent="0.3">
      <c r="A158" t="s">
        <v>302</v>
      </c>
      <c r="B158" s="13" t="s">
        <v>303</v>
      </c>
      <c r="C158" s="13">
        <v>1454.6</v>
      </c>
      <c r="D158" s="13">
        <v>1.37</v>
      </c>
      <c r="E158" s="13">
        <v>39.86</v>
      </c>
      <c r="F158" s="13">
        <v>111</v>
      </c>
      <c r="G158" s="13">
        <v>3</v>
      </c>
      <c r="H158">
        <v>2.06</v>
      </c>
    </row>
    <row r="159" spans="1:8" x14ac:dyDescent="0.3">
      <c r="A159" t="s">
        <v>304</v>
      </c>
      <c r="B159" s="13" t="s">
        <v>305</v>
      </c>
      <c r="C159" s="13">
        <v>2739.8</v>
      </c>
      <c r="D159" s="13">
        <v>1.7500000000000002</v>
      </c>
      <c r="E159" s="13">
        <v>95.89</v>
      </c>
      <c r="F159" s="13">
        <v>111</v>
      </c>
      <c r="G159" s="13">
        <v>1</v>
      </c>
      <c r="H159">
        <v>1.0900000000000001</v>
      </c>
    </row>
    <row r="160" spans="1:8" x14ac:dyDescent="0.3">
      <c r="A160" t="s">
        <v>306</v>
      </c>
      <c r="B160" s="13" t="s">
        <v>307</v>
      </c>
      <c r="C160" s="13">
        <v>104.09</v>
      </c>
      <c r="D160" s="13">
        <v>1.92</v>
      </c>
      <c r="E160" s="13">
        <v>4</v>
      </c>
      <c r="F160" s="13">
        <v>111</v>
      </c>
      <c r="G160" s="13">
        <v>28</v>
      </c>
      <c r="H160">
        <v>28.82</v>
      </c>
    </row>
    <row r="161" spans="1:8" x14ac:dyDescent="0.3">
      <c r="A161" t="s">
        <v>949</v>
      </c>
      <c r="B161" s="13" t="s">
        <v>950</v>
      </c>
      <c r="C161" s="13">
        <v>996.5</v>
      </c>
      <c r="D161" s="13">
        <v>2.4299999999999997</v>
      </c>
      <c r="E161" s="13">
        <v>48.43</v>
      </c>
      <c r="F161" s="13">
        <v>111</v>
      </c>
      <c r="G161" s="13">
        <v>2</v>
      </c>
      <c r="H161">
        <v>3.01</v>
      </c>
    </row>
    <row r="162" spans="1:8" x14ac:dyDescent="0.3">
      <c r="A162" t="s">
        <v>951</v>
      </c>
      <c r="B162" s="13" t="s">
        <v>952</v>
      </c>
      <c r="C162" s="13">
        <v>1644.2</v>
      </c>
      <c r="D162" s="13">
        <v>2.33</v>
      </c>
      <c r="E162" s="13">
        <v>76.62</v>
      </c>
      <c r="F162" s="13">
        <v>111</v>
      </c>
      <c r="G162" s="13">
        <v>1</v>
      </c>
      <c r="H162">
        <v>1.82</v>
      </c>
    </row>
    <row r="163" spans="1:8" x14ac:dyDescent="0.3">
      <c r="A163" t="s">
        <v>308</v>
      </c>
      <c r="B163" s="13" t="s">
        <v>309</v>
      </c>
      <c r="C163" s="13">
        <v>9531.5</v>
      </c>
      <c r="D163" s="13">
        <v>2.1399999999999997</v>
      </c>
      <c r="E163" s="13">
        <v>407.95</v>
      </c>
      <c r="F163" s="13">
        <v>111</v>
      </c>
      <c r="G163" s="13">
        <v>0</v>
      </c>
      <c r="H163">
        <v>0.31</v>
      </c>
    </row>
    <row r="164" spans="1:8" x14ac:dyDescent="0.3">
      <c r="A164" t="s">
        <v>310</v>
      </c>
      <c r="B164" s="13" t="s">
        <v>311</v>
      </c>
      <c r="C164" s="13">
        <v>282.14999999999998</v>
      </c>
      <c r="D164" s="13">
        <v>1.49</v>
      </c>
      <c r="E164" s="13">
        <v>8.41</v>
      </c>
      <c r="F164" s="13">
        <v>111</v>
      </c>
      <c r="G164" s="13">
        <v>13</v>
      </c>
      <c r="H164">
        <v>10.63</v>
      </c>
    </row>
    <row r="165" spans="1:8" x14ac:dyDescent="0.3">
      <c r="A165" t="s">
        <v>953</v>
      </c>
      <c r="B165" s="13" t="s">
        <v>954</v>
      </c>
      <c r="C165" s="13">
        <v>35105</v>
      </c>
      <c r="D165" s="13">
        <v>2.97</v>
      </c>
      <c r="E165" s="13">
        <v>2085.2399999999998</v>
      </c>
      <c r="F165" s="13">
        <v>111</v>
      </c>
      <c r="G165" s="13">
        <v>0</v>
      </c>
      <c r="H165">
        <v>0.09</v>
      </c>
    </row>
    <row r="166" spans="1:8" x14ac:dyDescent="0.3">
      <c r="A166" t="s">
        <v>955</v>
      </c>
      <c r="B166" s="13" t="s">
        <v>956</v>
      </c>
      <c r="C166" s="13">
        <v>1074.4000000000001</v>
      </c>
      <c r="D166" s="13">
        <v>2.41</v>
      </c>
      <c r="E166" s="13">
        <v>51.79</v>
      </c>
      <c r="F166" s="13">
        <v>111</v>
      </c>
      <c r="G166" s="13">
        <v>2</v>
      </c>
      <c r="H166">
        <v>2.79</v>
      </c>
    </row>
    <row r="167" spans="1:8" x14ac:dyDescent="0.3">
      <c r="A167" t="s">
        <v>957</v>
      </c>
      <c r="B167" s="13" t="s">
        <v>958</v>
      </c>
      <c r="C167" s="13">
        <v>1395</v>
      </c>
      <c r="D167" s="13">
        <v>2.2800000000000002</v>
      </c>
      <c r="E167" s="13">
        <v>63.61</v>
      </c>
      <c r="F167" s="13">
        <v>111</v>
      </c>
      <c r="G167" s="13">
        <v>2</v>
      </c>
      <c r="H167">
        <v>2.15</v>
      </c>
    </row>
    <row r="168" spans="1:8" x14ac:dyDescent="0.3">
      <c r="A168" t="s">
        <v>959</v>
      </c>
      <c r="B168" s="13" t="s">
        <v>960</v>
      </c>
      <c r="C168" s="13">
        <v>3487</v>
      </c>
      <c r="D168" s="13">
        <v>2.19</v>
      </c>
      <c r="E168" s="13">
        <v>152.72999999999999</v>
      </c>
      <c r="F168" s="13">
        <v>111</v>
      </c>
      <c r="G168" s="13">
        <v>1</v>
      </c>
      <c r="H168">
        <v>0.86</v>
      </c>
    </row>
    <row r="169" spans="1:8" x14ac:dyDescent="0.3">
      <c r="A169" t="s">
        <v>316</v>
      </c>
      <c r="B169" s="13" t="s">
        <v>317</v>
      </c>
      <c r="C169" s="13">
        <v>344.15</v>
      </c>
      <c r="D169" s="13">
        <v>2.25</v>
      </c>
      <c r="E169" s="13">
        <v>15.49</v>
      </c>
      <c r="F169" s="13">
        <v>111</v>
      </c>
      <c r="G169" s="13">
        <v>7</v>
      </c>
      <c r="H169">
        <v>8.7200000000000006</v>
      </c>
    </row>
    <row r="170" spans="1:8" x14ac:dyDescent="0.3">
      <c r="A170" t="s">
        <v>318</v>
      </c>
      <c r="B170" s="13" t="s">
        <v>319</v>
      </c>
      <c r="C170" s="13">
        <v>325.05</v>
      </c>
      <c r="D170" s="13">
        <v>2.13</v>
      </c>
      <c r="E170" s="13">
        <v>13.85</v>
      </c>
      <c r="F170" s="13">
        <v>111</v>
      </c>
      <c r="G170" s="13">
        <v>8</v>
      </c>
      <c r="H170">
        <v>9.23</v>
      </c>
    </row>
    <row r="171" spans="1:8" x14ac:dyDescent="0.3">
      <c r="A171" t="s">
        <v>320</v>
      </c>
      <c r="B171" s="13" t="s">
        <v>321</v>
      </c>
      <c r="C171" s="13">
        <v>1314.6</v>
      </c>
      <c r="D171" s="13">
        <v>1.4000000000000001</v>
      </c>
      <c r="E171" s="13">
        <v>36.81</v>
      </c>
      <c r="F171" s="13">
        <v>111</v>
      </c>
      <c r="G171" s="13">
        <v>3</v>
      </c>
      <c r="H171">
        <v>2.2799999999999998</v>
      </c>
    </row>
    <row r="172" spans="1:8" x14ac:dyDescent="0.3">
      <c r="A172" t="s">
        <v>961</v>
      </c>
      <c r="B172" s="13" t="s">
        <v>962</v>
      </c>
      <c r="C172" s="13">
        <v>240.75</v>
      </c>
      <c r="D172" s="13">
        <v>2.7</v>
      </c>
      <c r="E172" s="13">
        <v>13</v>
      </c>
      <c r="F172" s="13">
        <v>111</v>
      </c>
      <c r="G172" s="13">
        <v>9</v>
      </c>
      <c r="H172">
        <v>12.46</v>
      </c>
    </row>
    <row r="173" spans="1:8" x14ac:dyDescent="0.3">
      <c r="A173" t="s">
        <v>322</v>
      </c>
      <c r="B173" s="13" t="s">
        <v>323</v>
      </c>
      <c r="C173" s="13">
        <v>205.82</v>
      </c>
      <c r="D173" s="13">
        <v>2.4299999999999997</v>
      </c>
      <c r="E173" s="13">
        <v>10</v>
      </c>
      <c r="F173" s="13">
        <v>111</v>
      </c>
      <c r="G173" s="13">
        <v>11</v>
      </c>
      <c r="H173">
        <v>14.58</v>
      </c>
    </row>
    <row r="174" spans="1:8" x14ac:dyDescent="0.3">
      <c r="A174" t="s">
        <v>963</v>
      </c>
      <c r="B174" s="13" t="s">
        <v>964</v>
      </c>
      <c r="C174" s="13">
        <v>178.91</v>
      </c>
      <c r="D174" s="13">
        <v>2.77</v>
      </c>
      <c r="E174" s="13">
        <v>9.91</v>
      </c>
      <c r="F174" s="13">
        <v>111</v>
      </c>
      <c r="G174" s="13">
        <v>11</v>
      </c>
      <c r="H174">
        <v>16.77</v>
      </c>
    </row>
    <row r="175" spans="1:8" x14ac:dyDescent="0.3">
      <c r="A175" t="s">
        <v>324</v>
      </c>
      <c r="B175" s="13" t="s">
        <v>325</v>
      </c>
      <c r="C175" s="13">
        <v>605.5</v>
      </c>
      <c r="D175" s="13">
        <v>1.63</v>
      </c>
      <c r="E175" s="13">
        <v>19.739999999999998</v>
      </c>
      <c r="F175" s="13">
        <v>111</v>
      </c>
      <c r="G175" s="13">
        <v>6</v>
      </c>
      <c r="H175">
        <v>4.95</v>
      </c>
    </row>
    <row r="176" spans="1:8" x14ac:dyDescent="0.3">
      <c r="A176" t="s">
        <v>326</v>
      </c>
      <c r="B176" s="13" t="s">
        <v>327</v>
      </c>
      <c r="C176" s="13">
        <v>1801.7</v>
      </c>
      <c r="D176" s="13">
        <v>1.38</v>
      </c>
      <c r="E176" s="13">
        <v>49.73</v>
      </c>
      <c r="F176" s="13">
        <v>111</v>
      </c>
      <c r="G176" s="13">
        <v>2</v>
      </c>
      <c r="H176">
        <v>1.67</v>
      </c>
    </row>
    <row r="177" spans="1:8" x14ac:dyDescent="0.3">
      <c r="A177" t="s">
        <v>328</v>
      </c>
      <c r="B177" s="13" t="s">
        <v>329</v>
      </c>
      <c r="C177" s="13">
        <v>956.65</v>
      </c>
      <c r="D177" s="13">
        <v>1.59</v>
      </c>
      <c r="E177" s="13">
        <v>30.42</v>
      </c>
      <c r="F177" s="13">
        <v>111</v>
      </c>
      <c r="G177" s="13">
        <v>4</v>
      </c>
      <c r="H177">
        <v>3.14</v>
      </c>
    </row>
    <row r="178" spans="1:8" x14ac:dyDescent="0.3">
      <c r="A178" t="s">
        <v>330</v>
      </c>
      <c r="B178" s="13" t="s">
        <v>331</v>
      </c>
      <c r="C178" s="13">
        <v>24995</v>
      </c>
      <c r="D178" s="13">
        <v>1.4000000000000001</v>
      </c>
      <c r="E178" s="13">
        <v>699.86</v>
      </c>
      <c r="F178" s="13">
        <v>111</v>
      </c>
      <c r="G178" s="13">
        <v>0</v>
      </c>
      <c r="H178">
        <v>0.12</v>
      </c>
    </row>
    <row r="179" spans="1:8" x14ac:dyDescent="0.3">
      <c r="A179" t="s">
        <v>332</v>
      </c>
      <c r="B179" s="13" t="s">
        <v>333</v>
      </c>
      <c r="C179" s="13">
        <v>911.7</v>
      </c>
      <c r="D179" s="13">
        <v>2.3199999999999998</v>
      </c>
      <c r="E179" s="13">
        <v>42.3</v>
      </c>
      <c r="F179" s="13">
        <v>111</v>
      </c>
      <c r="G179" s="13">
        <v>3</v>
      </c>
      <c r="H179">
        <v>3.29</v>
      </c>
    </row>
    <row r="180" spans="1:8" x14ac:dyDescent="0.3">
      <c r="A180" t="s">
        <v>334</v>
      </c>
      <c r="B180" s="13" t="s">
        <v>335</v>
      </c>
      <c r="C180" s="13">
        <v>3729.7</v>
      </c>
      <c r="D180" s="13">
        <v>2.19</v>
      </c>
      <c r="E180" s="13">
        <v>163.36000000000001</v>
      </c>
      <c r="F180" s="13">
        <v>111</v>
      </c>
      <c r="G180" s="13">
        <v>1</v>
      </c>
      <c r="H180">
        <v>0.8</v>
      </c>
    </row>
    <row r="181" spans="1:8" x14ac:dyDescent="0.3">
      <c r="A181" t="s">
        <v>965</v>
      </c>
      <c r="B181" s="13" t="s">
        <v>966</v>
      </c>
      <c r="C181" s="13">
        <v>18386</v>
      </c>
      <c r="D181" s="13">
        <v>2.17</v>
      </c>
      <c r="E181" s="13">
        <v>797.95</v>
      </c>
      <c r="F181" s="13">
        <v>111</v>
      </c>
      <c r="G181" s="13">
        <v>0</v>
      </c>
      <c r="H181">
        <v>0.16</v>
      </c>
    </row>
    <row r="182" spans="1:8" x14ac:dyDescent="0.3">
      <c r="A182" t="s">
        <v>967</v>
      </c>
      <c r="B182" s="13" t="s">
        <v>968</v>
      </c>
      <c r="C182" s="13">
        <v>611.35</v>
      </c>
      <c r="D182" s="13">
        <v>2.12</v>
      </c>
      <c r="E182" s="13">
        <v>25.92</v>
      </c>
      <c r="F182" s="13">
        <v>111</v>
      </c>
      <c r="G182" s="13">
        <v>4</v>
      </c>
      <c r="H182">
        <v>4.91</v>
      </c>
    </row>
    <row r="183" spans="1:8" x14ac:dyDescent="0.3">
      <c r="A183" t="s">
        <v>336</v>
      </c>
      <c r="B183" s="13" t="s">
        <v>337</v>
      </c>
      <c r="C183" s="13">
        <v>2745.3</v>
      </c>
      <c r="D183" s="13">
        <v>1.91</v>
      </c>
      <c r="E183" s="13">
        <v>104.87</v>
      </c>
      <c r="F183" s="13">
        <v>111</v>
      </c>
      <c r="G183" s="13">
        <v>1</v>
      </c>
      <c r="H183">
        <v>1.0900000000000001</v>
      </c>
    </row>
    <row r="184" spans="1:8" x14ac:dyDescent="0.3">
      <c r="A184" s="67" t="s">
        <v>338</v>
      </c>
      <c r="B184" s="68" t="s">
        <v>339</v>
      </c>
      <c r="C184" s="13">
        <v>1789.9</v>
      </c>
      <c r="D184" s="13">
        <v>1.3299999999999998</v>
      </c>
      <c r="E184" s="68">
        <v>47.61</v>
      </c>
      <c r="F184" s="13">
        <v>111</v>
      </c>
      <c r="G184" s="68">
        <v>2</v>
      </c>
      <c r="H184">
        <v>1.68</v>
      </c>
    </row>
    <row r="185" spans="1:8" x14ac:dyDescent="0.3">
      <c r="A185" s="67" t="s">
        <v>969</v>
      </c>
      <c r="B185" s="68" t="s">
        <v>970</v>
      </c>
      <c r="C185" s="13">
        <v>3553.1</v>
      </c>
      <c r="D185" s="13">
        <v>1.92</v>
      </c>
      <c r="E185" s="68">
        <v>136.44</v>
      </c>
      <c r="F185" s="13">
        <v>111</v>
      </c>
      <c r="G185" s="68">
        <v>1</v>
      </c>
      <c r="H185">
        <v>0.84</v>
      </c>
    </row>
    <row r="186" spans="1:8" x14ac:dyDescent="0.3">
      <c r="A186" s="67" t="s">
        <v>971</v>
      </c>
      <c r="B186" s="68" t="s">
        <v>972</v>
      </c>
      <c r="C186" s="13">
        <v>54.52</v>
      </c>
      <c r="D186" s="13">
        <v>2.46</v>
      </c>
      <c r="E186" s="68">
        <v>2.68</v>
      </c>
      <c r="F186" s="13">
        <v>111</v>
      </c>
      <c r="G186" s="68">
        <v>41</v>
      </c>
      <c r="H186">
        <v>55.03</v>
      </c>
    </row>
    <row r="187" spans="1:8" x14ac:dyDescent="0.3">
      <c r="A187" s="67" t="s">
        <v>973</v>
      </c>
      <c r="B187" s="68" t="s">
        <v>974</v>
      </c>
      <c r="C187" s="13">
        <v>254.15</v>
      </c>
      <c r="D187" s="13">
        <v>2.41</v>
      </c>
      <c r="E187" s="68">
        <v>12.25</v>
      </c>
      <c r="F187" s="13">
        <v>111</v>
      </c>
      <c r="G187" s="68">
        <v>9</v>
      </c>
      <c r="H187">
        <v>11.8</v>
      </c>
    </row>
    <row r="188" spans="1:8" x14ac:dyDescent="0.3">
      <c r="A188" s="67" t="s">
        <v>348</v>
      </c>
      <c r="B188" s="68" t="s">
        <v>349</v>
      </c>
      <c r="C188" s="13">
        <v>1154.7</v>
      </c>
      <c r="D188" s="13">
        <v>1.52</v>
      </c>
      <c r="E188" s="68">
        <v>35.1</v>
      </c>
      <c r="F188" s="13">
        <v>111</v>
      </c>
      <c r="G188" s="68">
        <v>3</v>
      </c>
      <c r="H188">
        <v>2.6</v>
      </c>
    </row>
    <row r="189" spans="1:8" x14ac:dyDescent="0.3">
      <c r="A189" s="67" t="s">
        <v>975</v>
      </c>
      <c r="B189" s="68" t="s">
        <v>976</v>
      </c>
      <c r="C189" s="13">
        <v>4530.3</v>
      </c>
      <c r="D189" s="13">
        <v>1.9800000000000002</v>
      </c>
      <c r="E189" s="68">
        <v>179.4</v>
      </c>
      <c r="F189" s="13">
        <v>111</v>
      </c>
      <c r="G189" s="68">
        <v>1</v>
      </c>
      <c r="H189">
        <v>0.66</v>
      </c>
    </row>
    <row r="190" spans="1:8" x14ac:dyDescent="0.3">
      <c r="A190" s="67" t="s">
        <v>352</v>
      </c>
      <c r="B190" s="68" t="s">
        <v>353</v>
      </c>
      <c r="C190" s="13">
        <v>414.9</v>
      </c>
      <c r="D190" s="13">
        <v>1.6099999999999999</v>
      </c>
      <c r="E190" s="68">
        <v>13.36</v>
      </c>
      <c r="F190" s="13">
        <v>111</v>
      </c>
      <c r="G190" s="68">
        <v>8</v>
      </c>
      <c r="H190">
        <v>7.23</v>
      </c>
    </row>
    <row r="191" spans="1:8" x14ac:dyDescent="0.3">
      <c r="A191" s="67" t="s">
        <v>354</v>
      </c>
      <c r="B191" s="68" t="s">
        <v>355</v>
      </c>
      <c r="C191" s="13">
        <v>210.6</v>
      </c>
      <c r="D191" s="13">
        <v>1.83</v>
      </c>
      <c r="E191" s="68">
        <v>7.71</v>
      </c>
      <c r="F191" s="13">
        <v>111</v>
      </c>
      <c r="G191" s="68">
        <v>14</v>
      </c>
      <c r="H191">
        <v>14.25</v>
      </c>
    </row>
    <row r="192" spans="1:8" x14ac:dyDescent="0.3">
      <c r="A192" s="67" t="s">
        <v>356</v>
      </c>
      <c r="B192" s="68" t="s">
        <v>357</v>
      </c>
      <c r="C192" s="13">
        <v>2446.9</v>
      </c>
      <c r="D192" s="13">
        <v>1.46</v>
      </c>
      <c r="E192" s="68">
        <v>71.45</v>
      </c>
      <c r="F192" s="13">
        <v>111</v>
      </c>
      <c r="G192" s="68">
        <v>2</v>
      </c>
      <c r="H192">
        <v>1.23</v>
      </c>
    </row>
    <row r="193" spans="1:8" x14ac:dyDescent="0.3">
      <c r="A193" s="67" t="s">
        <v>358</v>
      </c>
      <c r="B193" s="68" t="s">
        <v>359</v>
      </c>
      <c r="C193" s="13">
        <v>1571.4</v>
      </c>
      <c r="D193" s="13">
        <v>1.73</v>
      </c>
      <c r="E193" s="68">
        <v>54.37</v>
      </c>
      <c r="F193" s="13">
        <v>111</v>
      </c>
      <c r="G193" s="68">
        <v>2</v>
      </c>
      <c r="H193">
        <v>1.91</v>
      </c>
    </row>
    <row r="194" spans="1:8" x14ac:dyDescent="0.3">
      <c r="A194" s="67" t="s">
        <v>977</v>
      </c>
      <c r="B194" s="68" t="s">
        <v>978</v>
      </c>
      <c r="C194" s="13">
        <v>3110.7</v>
      </c>
      <c r="D194" s="13">
        <v>2.2999999999999998</v>
      </c>
      <c r="E194" s="68">
        <v>143.09</v>
      </c>
      <c r="F194" s="13">
        <v>111</v>
      </c>
      <c r="G194" s="68">
        <v>1</v>
      </c>
      <c r="H194">
        <v>0.96</v>
      </c>
    </row>
    <row r="195" spans="1:8" x14ac:dyDescent="0.3">
      <c r="A195" s="67" t="s">
        <v>360</v>
      </c>
      <c r="B195" s="68" t="s">
        <v>361</v>
      </c>
      <c r="C195" s="13">
        <v>4078.1</v>
      </c>
      <c r="D195" s="13">
        <v>1.53</v>
      </c>
      <c r="E195" s="68">
        <v>124.79</v>
      </c>
      <c r="F195" s="13">
        <v>111</v>
      </c>
      <c r="G195" s="68">
        <v>1</v>
      </c>
      <c r="H195">
        <v>0.74</v>
      </c>
    </row>
    <row r="196" spans="1:8" x14ac:dyDescent="0.3">
      <c r="A196" s="67" t="s">
        <v>979</v>
      </c>
      <c r="B196" s="68" t="s">
        <v>980</v>
      </c>
      <c r="C196" s="13">
        <v>390.2</v>
      </c>
      <c r="D196" s="13">
        <v>2.0099999999999998</v>
      </c>
      <c r="E196" s="68">
        <v>15.69</v>
      </c>
      <c r="F196" s="13">
        <v>111</v>
      </c>
      <c r="G196" s="68">
        <v>7</v>
      </c>
      <c r="H196">
        <v>7.69</v>
      </c>
    </row>
    <row r="197" spans="1:8" x14ac:dyDescent="0.3">
      <c r="A197" s="67" t="s">
        <v>362</v>
      </c>
      <c r="B197" s="68" t="s">
        <v>363</v>
      </c>
      <c r="C197" s="13">
        <v>4317.8</v>
      </c>
      <c r="D197" s="13">
        <v>1.38</v>
      </c>
      <c r="E197" s="68">
        <v>119.17</v>
      </c>
      <c r="F197" s="13">
        <v>111</v>
      </c>
      <c r="G197" s="68">
        <v>1</v>
      </c>
      <c r="H197">
        <v>0.69</v>
      </c>
    </row>
    <row r="198" spans="1:8" x14ac:dyDescent="0.3">
      <c r="A198" s="67" t="s">
        <v>364</v>
      </c>
      <c r="B198" s="68" t="s">
        <v>365</v>
      </c>
      <c r="C198" s="13">
        <v>4210.3999999999996</v>
      </c>
      <c r="D198" s="13">
        <v>2.25</v>
      </c>
      <c r="E198" s="68">
        <v>189.47</v>
      </c>
      <c r="F198" s="13">
        <v>111</v>
      </c>
      <c r="G198" s="68">
        <v>1</v>
      </c>
      <c r="H198">
        <v>0.71</v>
      </c>
    </row>
    <row r="199" spans="1:8" x14ac:dyDescent="0.3">
      <c r="A199" s="67" t="s">
        <v>366</v>
      </c>
      <c r="B199" s="68" t="s">
        <v>367</v>
      </c>
      <c r="C199" s="13">
        <v>3366.9</v>
      </c>
      <c r="D199" s="13">
        <v>1.78</v>
      </c>
      <c r="E199" s="68">
        <v>119.86</v>
      </c>
      <c r="F199" s="13">
        <v>111</v>
      </c>
      <c r="G199" s="68">
        <v>1</v>
      </c>
      <c r="H199">
        <v>0.89</v>
      </c>
    </row>
    <row r="200" spans="1:8" x14ac:dyDescent="0.3">
      <c r="A200" s="67" t="s">
        <v>370</v>
      </c>
      <c r="B200" s="68" t="s">
        <v>371</v>
      </c>
      <c r="C200" s="13">
        <v>11165</v>
      </c>
      <c r="D200" s="13">
        <v>1.55</v>
      </c>
      <c r="E200" s="68">
        <v>346.12</v>
      </c>
      <c r="F200" s="13">
        <v>111</v>
      </c>
      <c r="G200" s="68">
        <v>0</v>
      </c>
      <c r="H200">
        <v>0.27</v>
      </c>
    </row>
    <row r="201" spans="1:8" x14ac:dyDescent="0.3">
      <c r="A201" s="67" t="s">
        <v>981</v>
      </c>
      <c r="B201" s="68" t="s">
        <v>982</v>
      </c>
      <c r="C201" s="13">
        <v>162.68</v>
      </c>
      <c r="D201" s="13">
        <v>2.2800000000000002</v>
      </c>
      <c r="E201" s="68">
        <v>7.42</v>
      </c>
      <c r="F201" s="13">
        <v>111</v>
      </c>
      <c r="G201" s="68">
        <v>15</v>
      </c>
      <c r="H201">
        <v>18.440000000000001</v>
      </c>
    </row>
    <row r="202" spans="1:8" x14ac:dyDescent="0.3">
      <c r="A202" s="67" t="s">
        <v>983</v>
      </c>
      <c r="B202" s="68" t="s">
        <v>984</v>
      </c>
      <c r="C202" s="13">
        <v>1275</v>
      </c>
      <c r="D202" s="13">
        <v>1.5699999999999998</v>
      </c>
      <c r="E202" s="68">
        <v>40.04</v>
      </c>
      <c r="F202" s="13">
        <v>111</v>
      </c>
      <c r="G202" s="68">
        <v>3</v>
      </c>
      <c r="H202">
        <v>2.35</v>
      </c>
    </row>
    <row r="203" spans="1:8" x14ac:dyDescent="0.3">
      <c r="A203" s="67" t="s">
        <v>985</v>
      </c>
      <c r="B203" s="68" t="s">
        <v>986</v>
      </c>
      <c r="C203" s="13">
        <v>1089.8</v>
      </c>
      <c r="D203" s="13">
        <v>2.21</v>
      </c>
      <c r="E203" s="68">
        <v>48.17</v>
      </c>
      <c r="F203" s="13">
        <v>111</v>
      </c>
      <c r="G203" s="68">
        <v>2</v>
      </c>
      <c r="H203">
        <v>2.75</v>
      </c>
    </row>
    <row r="204" spans="1:8" x14ac:dyDescent="0.3">
      <c r="A204" s="67" t="s">
        <v>372</v>
      </c>
      <c r="B204" s="68" t="s">
        <v>373</v>
      </c>
      <c r="C204" s="13">
        <v>641.65</v>
      </c>
      <c r="D204" s="13">
        <v>2.12</v>
      </c>
      <c r="E204" s="68">
        <v>27.21</v>
      </c>
      <c r="F204" s="13">
        <v>111</v>
      </c>
      <c r="G204" s="68">
        <v>4</v>
      </c>
      <c r="H204">
        <v>4.68</v>
      </c>
    </row>
    <row r="205" spans="1:8" x14ac:dyDescent="0.3">
      <c r="A205" s="67" t="s">
        <v>987</v>
      </c>
      <c r="B205" s="68" t="s">
        <v>988</v>
      </c>
      <c r="C205" s="13">
        <v>537</v>
      </c>
      <c r="D205" s="13">
        <v>1.9900000000000002</v>
      </c>
      <c r="E205" s="68">
        <v>21.37</v>
      </c>
      <c r="F205" s="13">
        <v>111</v>
      </c>
      <c r="G205" s="68">
        <v>5</v>
      </c>
      <c r="H205">
        <v>5.59</v>
      </c>
    </row>
    <row r="206" spans="1:8" x14ac:dyDescent="0.3">
      <c r="A206" s="67" t="s">
        <v>374</v>
      </c>
      <c r="B206" s="68" t="s">
        <v>375</v>
      </c>
      <c r="C206" s="13">
        <v>333.55</v>
      </c>
      <c r="D206" s="13">
        <v>2.33</v>
      </c>
      <c r="E206" s="68">
        <v>15.54</v>
      </c>
      <c r="F206" s="13">
        <v>111</v>
      </c>
      <c r="G206" s="68">
        <v>7</v>
      </c>
      <c r="H206">
        <v>8.99</v>
      </c>
    </row>
    <row r="207" spans="1:8" x14ac:dyDescent="0.3">
      <c r="A207" s="67" t="s">
        <v>989</v>
      </c>
      <c r="B207" s="68" t="s">
        <v>990</v>
      </c>
      <c r="C207" s="13">
        <v>119.28</v>
      </c>
      <c r="D207" s="13">
        <v>1.94</v>
      </c>
      <c r="E207" s="68">
        <v>4.63</v>
      </c>
      <c r="F207" s="13">
        <v>111</v>
      </c>
      <c r="G207" s="68">
        <v>24</v>
      </c>
      <c r="H207">
        <v>25.15</v>
      </c>
    </row>
    <row r="208" spans="1:8" x14ac:dyDescent="0.3">
      <c r="A208" s="67" t="s">
        <v>376</v>
      </c>
      <c r="B208" s="68" t="s">
        <v>377</v>
      </c>
      <c r="C208" s="13">
        <v>1240.4000000000001</v>
      </c>
      <c r="D208" s="13">
        <v>2.12</v>
      </c>
      <c r="E208" s="68">
        <v>52.59</v>
      </c>
      <c r="F208" s="13">
        <v>111</v>
      </c>
      <c r="G208" s="68">
        <v>2</v>
      </c>
      <c r="H208">
        <v>2.42</v>
      </c>
    </row>
    <row r="209" spans="1:8" x14ac:dyDescent="0.3">
      <c r="A209" s="67" t="s">
        <v>991</v>
      </c>
      <c r="B209" s="68" t="s">
        <v>992</v>
      </c>
      <c r="C209" s="13">
        <v>3099.8</v>
      </c>
      <c r="D209" s="13">
        <v>2.7199999999999998</v>
      </c>
      <c r="E209" s="68">
        <v>168.63</v>
      </c>
      <c r="F209" s="13">
        <v>111</v>
      </c>
      <c r="G209" s="68">
        <v>1</v>
      </c>
      <c r="H209">
        <v>0.97</v>
      </c>
    </row>
    <row r="210" spans="1:8" x14ac:dyDescent="0.3">
      <c r="A210" s="67" t="s">
        <v>378</v>
      </c>
      <c r="B210" s="68" t="s">
        <v>379</v>
      </c>
      <c r="C210" s="13">
        <v>209.84</v>
      </c>
      <c r="D210" s="13">
        <v>1.6099999999999999</v>
      </c>
      <c r="E210" s="68">
        <v>6.76</v>
      </c>
      <c r="F210" s="13">
        <v>111</v>
      </c>
      <c r="G210" s="68">
        <v>16</v>
      </c>
      <c r="H210">
        <v>14.3</v>
      </c>
    </row>
    <row r="211" spans="1:8" x14ac:dyDescent="0.3">
      <c r="A211" s="67" t="s">
        <v>993</v>
      </c>
      <c r="B211" s="68" t="s">
        <v>994</v>
      </c>
      <c r="C211" s="13">
        <v>22.83</v>
      </c>
      <c r="D211" s="13">
        <v>2.0099999999999998</v>
      </c>
      <c r="E211" s="68">
        <v>0.92</v>
      </c>
      <c r="F211" s="13">
        <v>111</v>
      </c>
      <c r="G211" s="68">
        <v>121</v>
      </c>
      <c r="H211">
        <v>131.41</v>
      </c>
    </row>
    <row r="212" spans="1:8" x14ac:dyDescent="0.3">
      <c r="A212" s="67" t="s">
        <v>382</v>
      </c>
      <c r="B212" s="68" t="s">
        <v>383</v>
      </c>
      <c r="C212" s="13">
        <v>1078.3</v>
      </c>
      <c r="D212" s="13">
        <v>1.53</v>
      </c>
      <c r="E212" s="68">
        <v>33</v>
      </c>
      <c r="F212" s="13">
        <v>111</v>
      </c>
      <c r="G212" s="68">
        <v>3</v>
      </c>
      <c r="H212">
        <v>2.78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872E-DA00-4E8C-AA28-0C1C68600EB6}">
  <sheetPr>
    <tabColor rgb="FFFF0000"/>
  </sheetPr>
  <dimension ref="A1:W29"/>
  <sheetViews>
    <sheetView workbookViewId="0">
      <selection activeCell="I13" sqref="I13"/>
    </sheetView>
  </sheetViews>
  <sheetFormatPr defaultRowHeight="14.4" x14ac:dyDescent="0.3"/>
  <cols>
    <col min="1" max="1" width="6.77734375" customWidth="1"/>
    <col min="2" max="3" width="10" customWidth="1"/>
    <col min="4" max="4" width="7.88671875" customWidth="1"/>
    <col min="5" max="5" width="13.5546875" customWidth="1"/>
    <col min="6" max="6" width="3.33203125" customWidth="1"/>
    <col min="7" max="7" width="11" customWidth="1"/>
    <col min="8" max="8" width="8.88671875" customWidth="1"/>
    <col min="9" max="9" width="11.6640625" customWidth="1"/>
    <col min="10" max="10" width="7.109375" customWidth="1"/>
    <col min="11" max="11" width="5.77734375" customWidth="1"/>
    <col min="12" max="12" width="6" customWidth="1"/>
    <col min="14" max="14" width="12.6640625" customWidth="1"/>
    <col min="19" max="19" width="11" customWidth="1"/>
    <col min="21" max="21" width="13.77734375" bestFit="1" customWidth="1"/>
    <col min="22" max="22" width="7.21875" customWidth="1"/>
    <col min="23" max="23" width="13.44140625" customWidth="1"/>
    <col min="24" max="24" width="13.88671875" bestFit="1" customWidth="1"/>
  </cols>
  <sheetData>
    <row r="1" spans="1:23" x14ac:dyDescent="0.3">
      <c r="A1" t="s">
        <v>1040</v>
      </c>
      <c r="C1" t="s">
        <v>1041</v>
      </c>
      <c r="E1" t="s">
        <v>1042</v>
      </c>
      <c r="G1" t="s">
        <v>1051</v>
      </c>
      <c r="I1" t="s">
        <v>1060</v>
      </c>
      <c r="U1" t="s">
        <v>1097</v>
      </c>
      <c r="W1" t="s">
        <v>1088</v>
      </c>
    </row>
    <row r="2" spans="1:23" x14ac:dyDescent="0.3">
      <c r="A2" t="s">
        <v>32</v>
      </c>
      <c r="C2">
        <v>285</v>
      </c>
      <c r="E2" s="69">
        <v>44616</v>
      </c>
      <c r="G2" s="75">
        <v>44593</v>
      </c>
      <c r="I2" s="76">
        <v>44617</v>
      </c>
      <c r="U2" t="s">
        <v>1080</v>
      </c>
      <c r="W2" t="s">
        <v>1089</v>
      </c>
    </row>
    <row r="3" spans="1:23" x14ac:dyDescent="0.3">
      <c r="U3" t="s">
        <v>1081</v>
      </c>
      <c r="W3" t="s">
        <v>1090</v>
      </c>
    </row>
    <row r="4" spans="1:23" x14ac:dyDescent="0.3">
      <c r="E4" s="76">
        <v>46203</v>
      </c>
      <c r="U4" t="s">
        <v>1082</v>
      </c>
      <c r="W4" t="s">
        <v>1091</v>
      </c>
    </row>
    <row r="5" spans="1:23" x14ac:dyDescent="0.3">
      <c r="U5" t="s">
        <v>1083</v>
      </c>
      <c r="W5" t="s">
        <v>1092</v>
      </c>
    </row>
    <row r="6" spans="1:23" x14ac:dyDescent="0.3">
      <c r="G6" t="s">
        <v>1061</v>
      </c>
      <c r="U6" t="s">
        <v>1084</v>
      </c>
      <c r="W6" t="s">
        <v>1093</v>
      </c>
    </row>
    <row r="7" spans="1:23" x14ac:dyDescent="0.3">
      <c r="U7" t="s">
        <v>1085</v>
      </c>
      <c r="W7" t="s">
        <v>1094</v>
      </c>
    </row>
    <row r="8" spans="1:23" x14ac:dyDescent="0.3">
      <c r="U8" t="s">
        <v>1086</v>
      </c>
      <c r="W8" t="s">
        <v>1095</v>
      </c>
    </row>
    <row r="9" spans="1:23" x14ac:dyDescent="0.3">
      <c r="U9" t="s">
        <v>1087</v>
      </c>
      <c r="W9" t="s">
        <v>1096</v>
      </c>
    </row>
    <row r="11" spans="1:23" x14ac:dyDescent="0.3">
      <c r="A11" s="13" t="s">
        <v>1011</v>
      </c>
      <c r="B11" s="13" t="s">
        <v>1012</v>
      </c>
      <c r="C11" s="13" t="s">
        <v>1023</v>
      </c>
      <c r="D11" s="13" t="s">
        <v>1013</v>
      </c>
      <c r="E11" t="s">
        <v>1015</v>
      </c>
      <c r="F11" t="s">
        <v>1017</v>
      </c>
      <c r="G11" t="s">
        <v>1019</v>
      </c>
      <c r="H11" t="s">
        <v>1020</v>
      </c>
      <c r="I11" s="70" t="s">
        <v>1016</v>
      </c>
      <c r="J11" t="s">
        <v>1018</v>
      </c>
      <c r="K11" s="13" t="s">
        <v>1014</v>
      </c>
      <c r="L11" s="13" t="s">
        <v>1044</v>
      </c>
      <c r="M11" s="71" t="s">
        <v>1046</v>
      </c>
      <c r="N11" t="s">
        <v>1050</v>
      </c>
      <c r="O11" t="s">
        <v>1045</v>
      </c>
      <c r="P11" t="s">
        <v>1047</v>
      </c>
      <c r="Q11" t="s">
        <v>1048</v>
      </c>
      <c r="R11" t="s">
        <v>1049</v>
      </c>
      <c r="S11" t="s">
        <v>1021</v>
      </c>
    </row>
    <row r="12" spans="1:23" x14ac:dyDescent="0.3">
      <c r="A12" s="13" t="s">
        <v>32</v>
      </c>
      <c r="B12" s="13" t="s">
        <v>1062</v>
      </c>
      <c r="C12" s="13" t="s">
        <v>1062</v>
      </c>
      <c r="D12" s="13">
        <v>285</v>
      </c>
      <c r="E12">
        <v>23400</v>
      </c>
      <c r="F12">
        <v>66.709999999999994</v>
      </c>
      <c r="G12">
        <v>135200</v>
      </c>
      <c r="H12">
        <v>-10400</v>
      </c>
      <c r="I12" s="72">
        <v>9</v>
      </c>
      <c r="J12">
        <v>0.02</v>
      </c>
      <c r="K12" s="13" t="s">
        <v>1022</v>
      </c>
      <c r="L12" s="13" t="s">
        <v>1043</v>
      </c>
      <c r="M12" s="71">
        <v>1</v>
      </c>
      <c r="N12">
        <v>0.88</v>
      </c>
      <c r="O12">
        <v>2600</v>
      </c>
      <c r="P12">
        <v>8.2899999999999991</v>
      </c>
      <c r="Q12">
        <v>65000</v>
      </c>
      <c r="R12">
        <v>0</v>
      </c>
      <c r="S12">
        <v>2600</v>
      </c>
    </row>
    <row r="13" spans="1:23" x14ac:dyDescent="0.3">
      <c r="A13" s="13" t="s">
        <v>32</v>
      </c>
      <c r="B13" s="13" t="s">
        <v>1062</v>
      </c>
      <c r="C13" s="13" t="s">
        <v>1063</v>
      </c>
      <c r="D13" s="13">
        <v>285</v>
      </c>
      <c r="E13">
        <v>98800</v>
      </c>
      <c r="F13">
        <v>281.8</v>
      </c>
      <c r="G13">
        <v>145600</v>
      </c>
      <c r="H13">
        <v>2600</v>
      </c>
      <c r="I13" s="72">
        <v>38</v>
      </c>
      <c r="J13">
        <v>0.22</v>
      </c>
      <c r="K13" s="13" t="s">
        <v>1022</v>
      </c>
      <c r="L13" s="13" t="s">
        <v>1043</v>
      </c>
      <c r="M13" s="71">
        <v>2</v>
      </c>
      <c r="N13">
        <v>0.79</v>
      </c>
      <c r="O13">
        <v>5200</v>
      </c>
      <c r="P13">
        <v>15.61</v>
      </c>
      <c r="Q13">
        <v>65000</v>
      </c>
      <c r="R13">
        <v>-2600</v>
      </c>
      <c r="S13">
        <v>2600</v>
      </c>
    </row>
    <row r="14" spans="1:23" x14ac:dyDescent="0.3">
      <c r="A14" s="13" t="s">
        <v>32</v>
      </c>
      <c r="B14" s="13" t="s">
        <v>1062</v>
      </c>
      <c r="C14" s="13" t="s">
        <v>1064</v>
      </c>
      <c r="D14" s="13">
        <v>285</v>
      </c>
      <c r="E14">
        <v>187200</v>
      </c>
      <c r="F14">
        <v>534.35</v>
      </c>
      <c r="G14">
        <v>143000</v>
      </c>
      <c r="H14">
        <v>-33800</v>
      </c>
      <c r="I14" s="72">
        <v>72</v>
      </c>
      <c r="J14">
        <v>0.83</v>
      </c>
      <c r="K14" s="13" t="s">
        <v>1022</v>
      </c>
      <c r="L14" s="13" t="s">
        <v>1043</v>
      </c>
      <c r="M14" s="71">
        <v>5</v>
      </c>
      <c r="N14">
        <v>2.88</v>
      </c>
      <c r="O14">
        <v>13000</v>
      </c>
      <c r="P14">
        <v>39.93</v>
      </c>
      <c r="Q14">
        <v>67600</v>
      </c>
      <c r="R14">
        <v>-7800</v>
      </c>
      <c r="S14">
        <v>2600</v>
      </c>
    </row>
    <row r="15" spans="1:23" x14ac:dyDescent="0.3">
      <c r="A15" s="13" t="s">
        <v>32</v>
      </c>
      <c r="B15" s="13" t="s">
        <v>1062</v>
      </c>
      <c r="C15" s="13" t="s">
        <v>1065</v>
      </c>
      <c r="D15" s="13">
        <v>285</v>
      </c>
      <c r="E15">
        <v>210600</v>
      </c>
      <c r="F15">
        <v>602.02</v>
      </c>
      <c r="G15">
        <v>176800</v>
      </c>
      <c r="H15">
        <v>-52000</v>
      </c>
      <c r="I15" s="72">
        <v>81</v>
      </c>
      <c r="J15">
        <v>1.81</v>
      </c>
      <c r="K15" s="13" t="s">
        <v>1022</v>
      </c>
      <c r="L15" s="13" t="s">
        <v>1043</v>
      </c>
      <c r="M15" s="71">
        <v>6</v>
      </c>
      <c r="N15">
        <v>2.38</v>
      </c>
      <c r="O15">
        <v>15600</v>
      </c>
      <c r="P15">
        <v>46.84</v>
      </c>
      <c r="Q15">
        <v>75400</v>
      </c>
      <c r="R15">
        <v>-10400</v>
      </c>
      <c r="S15">
        <v>2600</v>
      </c>
    </row>
    <row r="16" spans="1:23" x14ac:dyDescent="0.3">
      <c r="A16" s="13" t="s">
        <v>32</v>
      </c>
      <c r="B16" s="13" t="s">
        <v>1062</v>
      </c>
      <c r="C16" s="13" t="s">
        <v>1066</v>
      </c>
      <c r="D16" s="13">
        <v>285</v>
      </c>
      <c r="E16">
        <v>93600</v>
      </c>
      <c r="F16">
        <v>268.79000000000002</v>
      </c>
      <c r="G16">
        <v>228800</v>
      </c>
      <c r="H16">
        <v>-20800</v>
      </c>
      <c r="I16" s="72">
        <v>36</v>
      </c>
      <c r="J16">
        <v>2.0299999999999998</v>
      </c>
      <c r="K16" s="13" t="s">
        <v>1022</v>
      </c>
      <c r="L16" s="13" t="s">
        <v>1043</v>
      </c>
      <c r="M16" s="71">
        <v>1</v>
      </c>
      <c r="N16">
        <v>0.39</v>
      </c>
      <c r="O16">
        <v>2600</v>
      </c>
      <c r="P16">
        <v>7.8</v>
      </c>
      <c r="Q16">
        <v>85800</v>
      </c>
      <c r="R16">
        <v>2600</v>
      </c>
      <c r="S16">
        <v>2600</v>
      </c>
    </row>
    <row r="17" spans="1:19" x14ac:dyDescent="0.3">
      <c r="A17" s="13" t="s">
        <v>32</v>
      </c>
      <c r="B17" s="13" t="s">
        <v>1062</v>
      </c>
      <c r="C17" s="13" t="s">
        <v>1067</v>
      </c>
      <c r="D17" s="13">
        <v>285</v>
      </c>
      <c r="E17">
        <v>231400</v>
      </c>
      <c r="F17">
        <v>667.88</v>
      </c>
      <c r="G17">
        <v>249600</v>
      </c>
      <c r="H17">
        <v>23400</v>
      </c>
      <c r="I17" s="72">
        <v>89</v>
      </c>
      <c r="J17" s="73">
        <v>8.39</v>
      </c>
      <c r="K17" s="13" t="s">
        <v>1022</v>
      </c>
      <c r="L17" s="13" t="s">
        <v>1043</v>
      </c>
      <c r="M17" s="71">
        <v>8</v>
      </c>
      <c r="N17" s="74">
        <v>2.17</v>
      </c>
      <c r="O17">
        <v>20800</v>
      </c>
      <c r="P17">
        <v>61.45</v>
      </c>
      <c r="Q17">
        <v>83200</v>
      </c>
      <c r="R17">
        <v>5200</v>
      </c>
      <c r="S17">
        <v>2600</v>
      </c>
    </row>
    <row r="18" spans="1:19" x14ac:dyDescent="0.3">
      <c r="A18" s="13" t="s">
        <v>32</v>
      </c>
      <c r="B18" s="13" t="s">
        <v>1062</v>
      </c>
      <c r="C18" s="13" t="s">
        <v>1068</v>
      </c>
      <c r="D18" s="13">
        <v>285</v>
      </c>
      <c r="E18">
        <v>1235000</v>
      </c>
      <c r="F18">
        <v>3577.12</v>
      </c>
      <c r="G18">
        <v>226200</v>
      </c>
      <c r="H18">
        <v>26000</v>
      </c>
      <c r="I18" s="72">
        <v>475</v>
      </c>
      <c r="J18" s="73">
        <v>57.37</v>
      </c>
      <c r="K18" s="13" t="s">
        <v>1022</v>
      </c>
      <c r="L18" s="13" t="s">
        <v>1043</v>
      </c>
      <c r="M18" s="71">
        <v>14</v>
      </c>
      <c r="N18" s="74">
        <v>3.82</v>
      </c>
      <c r="O18">
        <v>36400</v>
      </c>
      <c r="P18">
        <v>107.56</v>
      </c>
      <c r="Q18">
        <v>78000</v>
      </c>
      <c r="R18">
        <v>5200</v>
      </c>
      <c r="S18">
        <v>2600</v>
      </c>
    </row>
    <row r="19" spans="1:19" x14ac:dyDescent="0.3">
      <c r="A19" s="13" t="s">
        <v>32</v>
      </c>
      <c r="B19" s="13" t="s">
        <v>1062</v>
      </c>
      <c r="C19" s="13" t="s">
        <v>1069</v>
      </c>
      <c r="D19" s="13">
        <v>285</v>
      </c>
      <c r="E19">
        <v>465400</v>
      </c>
      <c r="F19">
        <v>1342.98</v>
      </c>
      <c r="G19">
        <v>200200</v>
      </c>
      <c r="H19">
        <v>20800</v>
      </c>
      <c r="I19" s="72">
        <v>179</v>
      </c>
      <c r="J19" s="73">
        <v>16.59</v>
      </c>
      <c r="K19" s="13" t="s">
        <v>1022</v>
      </c>
      <c r="L19" s="13" t="s">
        <v>1043</v>
      </c>
      <c r="M19" s="71">
        <v>16</v>
      </c>
      <c r="N19" s="74">
        <v>6.75</v>
      </c>
      <c r="O19">
        <v>41600</v>
      </c>
      <c r="P19">
        <v>125.31</v>
      </c>
      <c r="Q19">
        <v>72800</v>
      </c>
      <c r="R19">
        <v>0</v>
      </c>
      <c r="S19">
        <v>2600</v>
      </c>
    </row>
    <row r="20" spans="1:19" x14ac:dyDescent="0.3">
      <c r="A20" s="13" t="s">
        <v>32</v>
      </c>
      <c r="B20" s="13" t="s">
        <v>1062</v>
      </c>
      <c r="C20" s="13" t="s">
        <v>1070</v>
      </c>
      <c r="D20" s="13">
        <v>285</v>
      </c>
      <c r="E20">
        <v>273000</v>
      </c>
      <c r="F20">
        <v>788.41</v>
      </c>
      <c r="G20">
        <v>179400</v>
      </c>
      <c r="H20">
        <v>104000</v>
      </c>
      <c r="I20" s="72">
        <v>105</v>
      </c>
      <c r="J20" s="73">
        <v>10.36</v>
      </c>
      <c r="K20" s="13" t="s">
        <v>1022</v>
      </c>
      <c r="L20" s="13" t="s">
        <v>1043</v>
      </c>
      <c r="M20" s="71">
        <v>25</v>
      </c>
      <c r="N20" s="74">
        <v>10.23</v>
      </c>
      <c r="O20">
        <v>65000</v>
      </c>
      <c r="P20">
        <v>195.48</v>
      </c>
      <c r="Q20">
        <v>72800</v>
      </c>
      <c r="R20">
        <v>-7800</v>
      </c>
      <c r="S20">
        <v>2600</v>
      </c>
    </row>
    <row r="21" spans="1:19" x14ac:dyDescent="0.3">
      <c r="A21" s="13" t="s">
        <v>32</v>
      </c>
      <c r="B21" s="13" t="s">
        <v>1062</v>
      </c>
      <c r="C21" s="13" t="s">
        <v>1071</v>
      </c>
      <c r="D21" s="13">
        <v>285</v>
      </c>
      <c r="E21">
        <v>41600</v>
      </c>
      <c r="F21">
        <v>123</v>
      </c>
      <c r="G21">
        <v>75400</v>
      </c>
      <c r="H21">
        <v>2600</v>
      </c>
      <c r="I21" s="72">
        <v>16</v>
      </c>
      <c r="J21" s="73">
        <v>4.4400000000000004</v>
      </c>
      <c r="K21" s="13" t="s">
        <v>1022</v>
      </c>
      <c r="L21" s="13" t="s">
        <v>1043</v>
      </c>
      <c r="M21" s="71">
        <v>58</v>
      </c>
      <c r="N21" s="74">
        <v>8.9600000000000009</v>
      </c>
      <c r="O21">
        <v>150800</v>
      </c>
      <c r="P21">
        <v>438.74</v>
      </c>
      <c r="Q21">
        <v>80600</v>
      </c>
      <c r="R21">
        <v>-5200</v>
      </c>
      <c r="S21">
        <v>2600</v>
      </c>
    </row>
    <row r="22" spans="1:19" x14ac:dyDescent="0.3">
      <c r="A22" s="13" t="s">
        <v>32</v>
      </c>
      <c r="B22" s="13" t="s">
        <v>1062</v>
      </c>
      <c r="C22" s="13" t="s">
        <v>1072</v>
      </c>
      <c r="D22" s="13">
        <v>285</v>
      </c>
      <c r="E22">
        <v>0</v>
      </c>
      <c r="F22">
        <v>0</v>
      </c>
      <c r="G22">
        <v>72800</v>
      </c>
      <c r="H22">
        <v>0</v>
      </c>
      <c r="I22" s="72">
        <v>0</v>
      </c>
      <c r="J22" s="73">
        <v>0</v>
      </c>
      <c r="K22" s="13" t="s">
        <v>1022</v>
      </c>
      <c r="L22" s="13" t="s">
        <v>1043</v>
      </c>
      <c r="M22" s="71">
        <v>25</v>
      </c>
      <c r="N22" s="74">
        <v>3.01</v>
      </c>
      <c r="O22">
        <v>65000</v>
      </c>
      <c r="P22">
        <v>188.26</v>
      </c>
      <c r="Q22">
        <v>85800</v>
      </c>
      <c r="R22">
        <v>0</v>
      </c>
      <c r="S22">
        <v>2600</v>
      </c>
    </row>
    <row r="23" spans="1:19" x14ac:dyDescent="0.3">
      <c r="A23" s="13" t="s">
        <v>32</v>
      </c>
      <c r="B23" s="13" t="s">
        <v>1062</v>
      </c>
      <c r="C23" s="13" t="s">
        <v>1073</v>
      </c>
      <c r="D23" s="13">
        <v>285</v>
      </c>
      <c r="E23">
        <v>20800</v>
      </c>
      <c r="F23">
        <v>62.42</v>
      </c>
      <c r="G23">
        <v>72800</v>
      </c>
      <c r="H23">
        <v>2600</v>
      </c>
      <c r="I23" s="72">
        <v>8</v>
      </c>
      <c r="J23" s="73">
        <v>3.14</v>
      </c>
      <c r="K23" s="13" t="s">
        <v>1022</v>
      </c>
      <c r="L23" s="13" t="s">
        <v>1043</v>
      </c>
      <c r="M23" s="71">
        <v>81</v>
      </c>
      <c r="N23" s="74">
        <v>12.33</v>
      </c>
      <c r="O23">
        <v>210600</v>
      </c>
      <c r="P23">
        <v>612.54</v>
      </c>
      <c r="Q23">
        <v>85800</v>
      </c>
      <c r="R23">
        <v>23400</v>
      </c>
      <c r="S23">
        <v>2600</v>
      </c>
    </row>
    <row r="24" spans="1:19" x14ac:dyDescent="0.3">
      <c r="A24" s="13" t="s">
        <v>32</v>
      </c>
      <c r="B24" s="13" t="s">
        <v>1062</v>
      </c>
      <c r="C24" s="13" t="s">
        <v>1074</v>
      </c>
      <c r="D24" s="13">
        <v>285</v>
      </c>
      <c r="E24">
        <v>221000</v>
      </c>
      <c r="F24">
        <v>656.36</v>
      </c>
      <c r="G24">
        <v>70200</v>
      </c>
      <c r="H24">
        <v>39000</v>
      </c>
      <c r="I24" s="72">
        <v>85</v>
      </c>
      <c r="J24" s="73">
        <v>26.51</v>
      </c>
      <c r="K24" s="13" t="s">
        <v>1022</v>
      </c>
      <c r="L24" s="13" t="s">
        <v>1043</v>
      </c>
      <c r="M24" s="71">
        <v>173</v>
      </c>
      <c r="N24" s="74">
        <v>40.06</v>
      </c>
      <c r="O24">
        <v>449800</v>
      </c>
      <c r="P24">
        <v>1321.99</v>
      </c>
      <c r="Q24">
        <v>62400</v>
      </c>
      <c r="R24">
        <v>-41600</v>
      </c>
      <c r="S24">
        <v>2600</v>
      </c>
    </row>
    <row r="25" spans="1:19" x14ac:dyDescent="0.3">
      <c r="A25" s="13" t="s">
        <v>32</v>
      </c>
      <c r="B25" s="13" t="s">
        <v>1062</v>
      </c>
      <c r="C25" s="13" t="s">
        <v>1075</v>
      </c>
      <c r="D25" s="13">
        <v>285</v>
      </c>
      <c r="E25">
        <v>28600</v>
      </c>
      <c r="F25">
        <v>86.37</v>
      </c>
      <c r="G25">
        <v>31200</v>
      </c>
      <c r="H25">
        <v>0</v>
      </c>
      <c r="I25" s="72">
        <v>11</v>
      </c>
      <c r="J25" s="73">
        <v>4.8600000000000003</v>
      </c>
      <c r="K25" s="13" t="s">
        <v>1022</v>
      </c>
      <c r="L25" s="13" t="s">
        <v>1043</v>
      </c>
      <c r="M25" s="71">
        <v>100</v>
      </c>
      <c r="N25" s="74">
        <v>17.75</v>
      </c>
      <c r="O25">
        <v>260000</v>
      </c>
      <c r="P25">
        <v>758.75</v>
      </c>
      <c r="Q25">
        <v>104000</v>
      </c>
      <c r="R25">
        <v>80600</v>
      </c>
      <c r="S25">
        <v>2600</v>
      </c>
    </row>
    <row r="26" spans="1:19" x14ac:dyDescent="0.3">
      <c r="A26" s="13" t="s">
        <v>32</v>
      </c>
      <c r="B26" s="13" t="s">
        <v>1062</v>
      </c>
      <c r="C26" s="13" t="s">
        <v>1076</v>
      </c>
      <c r="D26" s="13">
        <v>285</v>
      </c>
      <c r="E26">
        <v>7800</v>
      </c>
      <c r="F26">
        <v>23.79</v>
      </c>
      <c r="G26">
        <v>31200</v>
      </c>
      <c r="H26">
        <v>0</v>
      </c>
      <c r="I26" s="72">
        <v>3</v>
      </c>
      <c r="J26" s="73">
        <v>1.56</v>
      </c>
      <c r="K26" s="13" t="s">
        <v>1022</v>
      </c>
      <c r="L26" s="13" t="s">
        <v>1043</v>
      </c>
      <c r="M26" s="71">
        <v>10</v>
      </c>
      <c r="N26" s="74">
        <v>1.88</v>
      </c>
      <c r="O26">
        <v>26000</v>
      </c>
      <c r="P26">
        <v>75.98</v>
      </c>
      <c r="Q26">
        <v>23400</v>
      </c>
      <c r="R26">
        <v>7800</v>
      </c>
      <c r="S26">
        <v>2600</v>
      </c>
    </row>
    <row r="27" spans="1:19" x14ac:dyDescent="0.3">
      <c r="A27" s="13" t="s">
        <v>32</v>
      </c>
      <c r="B27" s="13" t="s">
        <v>1062</v>
      </c>
      <c r="C27" s="13" t="s">
        <v>1077</v>
      </c>
      <c r="D27" s="13">
        <v>285</v>
      </c>
      <c r="E27">
        <v>0</v>
      </c>
      <c r="F27">
        <v>0</v>
      </c>
      <c r="G27">
        <v>31200</v>
      </c>
      <c r="H27">
        <v>0</v>
      </c>
      <c r="I27" s="72">
        <v>0</v>
      </c>
      <c r="J27" s="73">
        <v>0</v>
      </c>
      <c r="K27" s="13" t="s">
        <v>1022</v>
      </c>
      <c r="L27" s="13" t="s">
        <v>1043</v>
      </c>
      <c r="M27" s="71">
        <v>1</v>
      </c>
      <c r="N27" s="74">
        <v>0.09</v>
      </c>
      <c r="O27">
        <v>2600</v>
      </c>
      <c r="P27">
        <v>7.5</v>
      </c>
      <c r="Q27">
        <v>15600</v>
      </c>
      <c r="R27">
        <v>2600</v>
      </c>
      <c r="S27">
        <v>2600</v>
      </c>
    </row>
    <row r="28" spans="1:19" x14ac:dyDescent="0.3">
      <c r="A28" s="13" t="s">
        <v>32</v>
      </c>
      <c r="B28" s="13" t="s">
        <v>1062</v>
      </c>
      <c r="C28" s="13" t="s">
        <v>1078</v>
      </c>
      <c r="D28" s="13">
        <v>285</v>
      </c>
      <c r="E28">
        <v>2600</v>
      </c>
      <c r="F28">
        <v>8.08</v>
      </c>
      <c r="G28">
        <v>31200</v>
      </c>
      <c r="H28">
        <v>2600</v>
      </c>
      <c r="I28" s="72">
        <v>1</v>
      </c>
      <c r="J28" s="73">
        <v>0.67</v>
      </c>
      <c r="K28" s="13" t="s">
        <v>1022</v>
      </c>
      <c r="L28" s="13" t="s">
        <v>1043</v>
      </c>
      <c r="M28" s="71">
        <v>14</v>
      </c>
      <c r="N28" s="74">
        <v>1.6</v>
      </c>
      <c r="O28">
        <v>36400</v>
      </c>
      <c r="P28">
        <v>105.34</v>
      </c>
      <c r="Q28">
        <v>13000</v>
      </c>
      <c r="R28">
        <v>0</v>
      </c>
      <c r="S28">
        <v>2600</v>
      </c>
    </row>
    <row r="29" spans="1:19" x14ac:dyDescent="0.3">
      <c r="A29" s="13" t="s">
        <v>32</v>
      </c>
      <c r="B29" s="13" t="s">
        <v>1062</v>
      </c>
      <c r="C29" s="13" t="s">
        <v>1079</v>
      </c>
      <c r="D29" s="13">
        <v>285</v>
      </c>
      <c r="E29">
        <v>7800</v>
      </c>
      <c r="F29">
        <v>23.86</v>
      </c>
      <c r="G29">
        <v>28600</v>
      </c>
      <c r="H29">
        <v>-2600</v>
      </c>
      <c r="I29" s="72">
        <v>3</v>
      </c>
      <c r="J29" s="73">
        <v>1.63</v>
      </c>
      <c r="K29" s="13" t="s">
        <v>1022</v>
      </c>
      <c r="L29" s="13" t="s">
        <v>1043</v>
      </c>
      <c r="M29" s="71">
        <v>8</v>
      </c>
      <c r="N29" s="74">
        <v>1.5</v>
      </c>
      <c r="O29">
        <v>20800</v>
      </c>
      <c r="P29">
        <v>60.78</v>
      </c>
      <c r="Q29">
        <v>13000</v>
      </c>
      <c r="R29">
        <v>-5200</v>
      </c>
      <c r="S29">
        <v>2600</v>
      </c>
    </row>
  </sheetData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9A1C-3B03-4014-B57A-7D864583122F}">
  <sheetPr>
    <tabColor rgb="FFFF0000"/>
  </sheetPr>
  <dimension ref="A1:G1275"/>
  <sheetViews>
    <sheetView tabSelected="1" topLeftCell="E1" workbookViewId="0">
      <selection activeCell="K8" sqref="K8"/>
    </sheetView>
  </sheetViews>
  <sheetFormatPr defaultRowHeight="14.4" x14ac:dyDescent="0.3"/>
  <cols>
    <col min="1" max="1" width="19.109375" style="13" customWidth="1"/>
    <col min="2" max="2" width="11" style="13" bestFit="1" customWidth="1"/>
    <col min="3" max="3" width="14.21875" style="13" bestFit="1" customWidth="1"/>
    <col min="4" max="4" width="18.77734375" style="13" bestFit="1" customWidth="1"/>
    <col min="5" max="5" width="17.77734375" style="13" bestFit="1" customWidth="1"/>
    <col min="6" max="6" width="17.44140625" style="13" bestFit="1" customWidth="1"/>
  </cols>
  <sheetData>
    <row r="1" spans="1:7" x14ac:dyDescent="0.3">
      <c r="A1" s="13" t="s">
        <v>995</v>
      </c>
      <c r="B1" s="13" t="s">
        <v>996</v>
      </c>
      <c r="C1" s="13" t="s">
        <v>997</v>
      </c>
      <c r="D1" s="13" t="s">
        <v>998</v>
      </c>
      <c r="E1" s="13" t="s">
        <v>999</v>
      </c>
      <c r="F1" s="13" t="s">
        <v>1000</v>
      </c>
      <c r="G1" t="s">
        <v>1010</v>
      </c>
    </row>
    <row r="2" spans="1:7" x14ac:dyDescent="0.3">
      <c r="A2" s="13" t="s">
        <v>229</v>
      </c>
      <c r="B2" s="13">
        <v>1232</v>
      </c>
      <c r="C2" s="13">
        <v>3113</v>
      </c>
      <c r="D2" s="13" t="s">
        <v>1098</v>
      </c>
      <c r="E2" s="13">
        <v>33978</v>
      </c>
      <c r="F2" s="13">
        <v>17353</v>
      </c>
      <c r="G2" t="s">
        <v>822</v>
      </c>
    </row>
    <row r="3" spans="1:7" x14ac:dyDescent="0.3">
      <c r="A3" s="13" t="s">
        <v>852</v>
      </c>
      <c r="B3" s="13">
        <v>1805</v>
      </c>
      <c r="C3" s="13">
        <v>667</v>
      </c>
      <c r="D3" s="13" t="s">
        <v>1099</v>
      </c>
      <c r="E3" s="13">
        <v>8930</v>
      </c>
      <c r="F3" s="13">
        <v>8407</v>
      </c>
      <c r="G3" t="s">
        <v>822</v>
      </c>
    </row>
    <row r="4" spans="1:7" x14ac:dyDescent="0.3">
      <c r="A4" s="13" t="s">
        <v>37</v>
      </c>
      <c r="B4" s="13">
        <v>3192</v>
      </c>
      <c r="C4" s="13">
        <v>26645</v>
      </c>
      <c r="D4" s="13" t="s">
        <v>1100</v>
      </c>
      <c r="E4" s="13">
        <v>51652</v>
      </c>
      <c r="F4" s="13">
        <v>48263</v>
      </c>
      <c r="G4" t="s">
        <v>822</v>
      </c>
    </row>
    <row r="5" spans="1:7" x14ac:dyDescent="0.3">
      <c r="A5" s="13" t="s">
        <v>892</v>
      </c>
      <c r="B5" s="13">
        <v>818</v>
      </c>
      <c r="C5" s="13">
        <v>2365</v>
      </c>
      <c r="D5" s="13" t="s">
        <v>1101</v>
      </c>
      <c r="E5" s="13">
        <v>39343</v>
      </c>
      <c r="F5" s="13">
        <v>31501</v>
      </c>
      <c r="G5" t="s">
        <v>822</v>
      </c>
    </row>
    <row r="6" spans="1:7" x14ac:dyDescent="0.3">
      <c r="A6" s="13" t="s">
        <v>67</v>
      </c>
      <c r="B6" s="13">
        <v>1035</v>
      </c>
      <c r="C6" s="13">
        <v>138727</v>
      </c>
      <c r="D6" s="13" t="s">
        <v>1101</v>
      </c>
      <c r="E6" s="13">
        <v>219380</v>
      </c>
      <c r="F6" s="13">
        <v>91452</v>
      </c>
      <c r="G6" t="s">
        <v>822</v>
      </c>
    </row>
    <row r="7" spans="1:7" x14ac:dyDescent="0.3">
      <c r="A7" s="13" t="s">
        <v>65</v>
      </c>
      <c r="B7" s="13">
        <v>1885</v>
      </c>
      <c r="C7" s="13">
        <v>16818</v>
      </c>
      <c r="D7" s="13" t="s">
        <v>1101</v>
      </c>
      <c r="E7" s="13">
        <v>24646</v>
      </c>
      <c r="F7" s="13">
        <v>22865</v>
      </c>
      <c r="G7" t="s">
        <v>822</v>
      </c>
    </row>
    <row r="8" spans="1:7" x14ac:dyDescent="0.3">
      <c r="A8" s="13" t="s">
        <v>111</v>
      </c>
      <c r="B8" s="13">
        <v>1460.4</v>
      </c>
      <c r="C8" s="13">
        <v>9608</v>
      </c>
      <c r="D8" s="13" t="s">
        <v>1101</v>
      </c>
      <c r="E8" s="13">
        <v>40871</v>
      </c>
      <c r="F8" s="13">
        <v>37269</v>
      </c>
      <c r="G8" t="s">
        <v>822</v>
      </c>
    </row>
    <row r="9" spans="1:7" x14ac:dyDescent="0.3">
      <c r="A9" s="13" t="s">
        <v>337</v>
      </c>
      <c r="B9" s="13">
        <v>2828</v>
      </c>
      <c r="C9" s="13">
        <v>3690</v>
      </c>
      <c r="D9" s="13" t="s">
        <v>1099</v>
      </c>
      <c r="E9" s="13">
        <v>13468</v>
      </c>
      <c r="F9" s="13">
        <v>9140</v>
      </c>
      <c r="G9" t="s">
        <v>822</v>
      </c>
    </row>
    <row r="10" spans="1:7" x14ac:dyDescent="0.3">
      <c r="A10" s="13" t="s">
        <v>233</v>
      </c>
      <c r="B10" s="13">
        <v>400</v>
      </c>
      <c r="C10" s="13">
        <v>81071</v>
      </c>
      <c r="D10" s="13" t="s">
        <v>1100</v>
      </c>
      <c r="E10" s="13">
        <v>707498</v>
      </c>
      <c r="F10" s="13">
        <v>168821</v>
      </c>
      <c r="G10" t="s">
        <v>822</v>
      </c>
    </row>
    <row r="11" spans="1:7" x14ac:dyDescent="0.3">
      <c r="A11" s="13" t="s">
        <v>95</v>
      </c>
      <c r="B11" s="13">
        <v>5409.5</v>
      </c>
      <c r="C11" s="13">
        <v>1733</v>
      </c>
      <c r="D11" s="13" t="s">
        <v>1098</v>
      </c>
      <c r="E11" s="13">
        <v>7204</v>
      </c>
      <c r="F11" s="13">
        <v>6191</v>
      </c>
      <c r="G11" t="s">
        <v>822</v>
      </c>
    </row>
    <row r="12" spans="1:7" x14ac:dyDescent="0.3">
      <c r="A12" s="13" t="s">
        <v>349</v>
      </c>
      <c r="B12" s="13">
        <v>1115.3</v>
      </c>
      <c r="C12" s="13">
        <v>3747</v>
      </c>
      <c r="D12" s="13" t="s">
        <v>1102</v>
      </c>
      <c r="E12" s="13">
        <v>16542</v>
      </c>
      <c r="F12" s="13">
        <v>15089</v>
      </c>
      <c r="G12" t="s">
        <v>822</v>
      </c>
    </row>
    <row r="13" spans="1:7" x14ac:dyDescent="0.3">
      <c r="A13" s="13" t="s">
        <v>363</v>
      </c>
      <c r="B13" s="13">
        <v>4680</v>
      </c>
      <c r="C13" s="13">
        <v>57</v>
      </c>
      <c r="D13" s="13" t="s">
        <v>1103</v>
      </c>
      <c r="E13" s="13">
        <v>2966</v>
      </c>
      <c r="F13" s="13">
        <v>2948</v>
      </c>
      <c r="G13" t="s">
        <v>822</v>
      </c>
    </row>
    <row r="14" spans="1:7" x14ac:dyDescent="0.3">
      <c r="A14" s="13" t="s">
        <v>373</v>
      </c>
      <c r="B14" s="13">
        <v>592.95000000000005</v>
      </c>
      <c r="C14" s="13">
        <v>5397</v>
      </c>
      <c r="D14" s="13" t="s">
        <v>1102</v>
      </c>
      <c r="E14" s="13">
        <v>39618</v>
      </c>
      <c r="F14" s="13">
        <v>38774</v>
      </c>
      <c r="G14" t="s">
        <v>822</v>
      </c>
    </row>
    <row r="15" spans="1:7" x14ac:dyDescent="0.3">
      <c r="A15" s="13" t="s">
        <v>874</v>
      </c>
      <c r="B15" s="13">
        <v>4090</v>
      </c>
      <c r="C15" s="13">
        <v>20854</v>
      </c>
      <c r="D15" s="13" t="s">
        <v>1101</v>
      </c>
      <c r="E15" s="13">
        <v>74878</v>
      </c>
      <c r="F15" s="13">
        <v>36702</v>
      </c>
      <c r="G15" t="s">
        <v>822</v>
      </c>
    </row>
    <row r="16" spans="1:7" x14ac:dyDescent="0.3">
      <c r="A16" s="13" t="s">
        <v>291</v>
      </c>
      <c r="B16" s="13">
        <v>237.2</v>
      </c>
      <c r="C16" s="13">
        <v>25447</v>
      </c>
      <c r="D16" s="13" t="s">
        <v>1101</v>
      </c>
      <c r="E16" s="13">
        <v>276825</v>
      </c>
      <c r="F16" s="13">
        <v>265444</v>
      </c>
      <c r="G16" t="s">
        <v>822</v>
      </c>
    </row>
    <row r="17" spans="1:7" x14ac:dyDescent="0.3">
      <c r="A17" s="13" t="s">
        <v>254</v>
      </c>
      <c r="B17" s="13">
        <v>873</v>
      </c>
      <c r="C17" s="13">
        <v>152409</v>
      </c>
      <c r="D17" s="13" t="s">
        <v>1101</v>
      </c>
      <c r="E17" s="13">
        <v>146302</v>
      </c>
      <c r="F17" s="13">
        <v>47557</v>
      </c>
      <c r="G17" t="s">
        <v>822</v>
      </c>
    </row>
    <row r="18" spans="1:7" x14ac:dyDescent="0.3">
      <c r="A18" s="13" t="s">
        <v>297</v>
      </c>
      <c r="B18" s="13">
        <v>4670</v>
      </c>
      <c r="C18" s="13">
        <v>7381</v>
      </c>
      <c r="D18" s="13" t="s">
        <v>1099</v>
      </c>
      <c r="E18" s="13">
        <v>14594</v>
      </c>
      <c r="F18" s="13">
        <v>9235</v>
      </c>
      <c r="G18" t="s">
        <v>822</v>
      </c>
    </row>
    <row r="19" spans="1:7" x14ac:dyDescent="0.3">
      <c r="A19" s="13" t="s">
        <v>273</v>
      </c>
      <c r="B19" s="13">
        <v>3016.6</v>
      </c>
      <c r="C19" s="13">
        <v>9387</v>
      </c>
      <c r="D19" s="13" t="s">
        <v>1099</v>
      </c>
      <c r="E19" s="13">
        <v>11632</v>
      </c>
      <c r="F19" s="13">
        <v>8934</v>
      </c>
      <c r="G19" t="s">
        <v>822</v>
      </c>
    </row>
    <row r="20" spans="1:7" x14ac:dyDescent="0.3">
      <c r="A20" s="13" t="s">
        <v>952</v>
      </c>
      <c r="B20" s="13">
        <v>1620</v>
      </c>
      <c r="C20" s="13">
        <v>127943</v>
      </c>
      <c r="D20" s="13" t="s">
        <v>1101</v>
      </c>
      <c r="E20" s="13">
        <v>795228</v>
      </c>
      <c r="F20" s="13">
        <v>84965</v>
      </c>
      <c r="G20" t="s">
        <v>822</v>
      </c>
    </row>
    <row r="21" spans="1:7" x14ac:dyDescent="0.3">
      <c r="A21" s="13" t="s">
        <v>240</v>
      </c>
      <c r="B21" s="13">
        <v>555.79999999999995</v>
      </c>
      <c r="C21" s="13">
        <v>526</v>
      </c>
      <c r="D21" s="13" t="s">
        <v>1103</v>
      </c>
      <c r="E21" s="13">
        <v>40755</v>
      </c>
      <c r="F21" s="13">
        <v>30102</v>
      </c>
      <c r="G21" t="s">
        <v>822</v>
      </c>
    </row>
    <row r="22" spans="1:7" x14ac:dyDescent="0.3">
      <c r="A22" s="13" t="s">
        <v>916</v>
      </c>
      <c r="B22" s="13">
        <v>1015</v>
      </c>
      <c r="C22" s="13">
        <v>4630</v>
      </c>
      <c r="D22" s="13" t="s">
        <v>1104</v>
      </c>
      <c r="E22" s="13">
        <v>92237</v>
      </c>
      <c r="F22" s="13">
        <v>28705</v>
      </c>
      <c r="G22" t="s">
        <v>822</v>
      </c>
    </row>
    <row r="23" spans="1:7" x14ac:dyDescent="0.3">
      <c r="A23" s="13" t="s">
        <v>323</v>
      </c>
      <c r="B23" s="13">
        <v>171</v>
      </c>
      <c r="C23" s="13">
        <v>91940</v>
      </c>
      <c r="D23" s="13" t="s">
        <v>1100</v>
      </c>
      <c r="E23" s="13">
        <v>474407</v>
      </c>
      <c r="F23" s="13">
        <v>292467</v>
      </c>
      <c r="G23" t="s">
        <v>822</v>
      </c>
    </row>
    <row r="24" spans="1:7" x14ac:dyDescent="0.3">
      <c r="A24" s="13" t="s">
        <v>189</v>
      </c>
      <c r="B24" s="13">
        <v>1762.9</v>
      </c>
      <c r="C24" s="13">
        <v>42</v>
      </c>
      <c r="D24" s="13" t="s">
        <v>1099</v>
      </c>
      <c r="E24" s="13">
        <v>1924</v>
      </c>
      <c r="F24" s="13">
        <v>1858</v>
      </c>
      <c r="G24" t="s">
        <v>822</v>
      </c>
    </row>
    <row r="25" spans="1:7" x14ac:dyDescent="0.3">
      <c r="A25" s="13" t="s">
        <v>966</v>
      </c>
      <c r="B25" s="13">
        <v>18734</v>
      </c>
      <c r="C25" s="13">
        <v>427</v>
      </c>
      <c r="D25" s="13" t="s">
        <v>1102</v>
      </c>
      <c r="E25" s="13">
        <v>1412</v>
      </c>
      <c r="F25" s="13">
        <v>7109</v>
      </c>
      <c r="G25" t="s">
        <v>836</v>
      </c>
    </row>
    <row r="26" spans="1:7" x14ac:dyDescent="0.3">
      <c r="A26" s="13" t="s">
        <v>950</v>
      </c>
      <c r="B26" s="13">
        <v>1059.5999999999999</v>
      </c>
      <c r="C26" s="13">
        <v>230</v>
      </c>
      <c r="D26" s="13" t="s">
        <v>1103</v>
      </c>
      <c r="E26" s="13">
        <v>9506</v>
      </c>
      <c r="F26" s="13">
        <v>18474</v>
      </c>
      <c r="G26" t="s">
        <v>836</v>
      </c>
    </row>
    <row r="27" spans="1:7" x14ac:dyDescent="0.3">
      <c r="A27" s="13" t="s">
        <v>145</v>
      </c>
      <c r="B27" s="13">
        <v>332.4</v>
      </c>
      <c r="C27" s="13">
        <v>8428</v>
      </c>
      <c r="D27" s="13" t="s">
        <v>1102</v>
      </c>
      <c r="E27" s="13">
        <v>46458</v>
      </c>
      <c r="F27" s="13">
        <v>72940</v>
      </c>
      <c r="G27" t="s">
        <v>836</v>
      </c>
    </row>
    <row r="28" spans="1:7" x14ac:dyDescent="0.3">
      <c r="A28" s="13" t="s">
        <v>940</v>
      </c>
      <c r="B28" s="13">
        <v>422</v>
      </c>
      <c r="C28" s="13">
        <v>3516</v>
      </c>
      <c r="D28" s="13" t="s">
        <v>1103</v>
      </c>
      <c r="E28" s="13">
        <v>56548</v>
      </c>
      <c r="F28" s="13">
        <v>88195</v>
      </c>
      <c r="G28" t="s">
        <v>836</v>
      </c>
    </row>
    <row r="29" spans="1:7" x14ac:dyDescent="0.3">
      <c r="A29" s="13" t="s">
        <v>890</v>
      </c>
      <c r="B29" s="13">
        <v>1957</v>
      </c>
      <c r="C29" s="13">
        <v>526</v>
      </c>
      <c r="D29" s="13" t="s">
        <v>1098</v>
      </c>
      <c r="E29" s="13">
        <v>6895</v>
      </c>
      <c r="F29" s="13">
        <v>15798</v>
      </c>
      <c r="G29" t="s">
        <v>836</v>
      </c>
    </row>
    <row r="30" spans="1:7" x14ac:dyDescent="0.3">
      <c r="A30" s="13" t="s">
        <v>305</v>
      </c>
      <c r="B30" s="13">
        <v>2619</v>
      </c>
      <c r="C30" s="13">
        <v>168</v>
      </c>
      <c r="D30" s="13" t="s">
        <v>1103</v>
      </c>
      <c r="E30" s="13">
        <v>3390</v>
      </c>
      <c r="F30" s="13">
        <v>4768</v>
      </c>
      <c r="G30" t="s">
        <v>836</v>
      </c>
    </row>
    <row r="31" spans="1:7" x14ac:dyDescent="0.3">
      <c r="A31" s="13" t="s">
        <v>880</v>
      </c>
      <c r="B31" s="13">
        <v>979</v>
      </c>
      <c r="C31" s="13">
        <v>1336</v>
      </c>
      <c r="D31" s="13" t="s">
        <v>1102</v>
      </c>
      <c r="E31" s="13">
        <v>12652</v>
      </c>
      <c r="F31" s="13">
        <v>22568</v>
      </c>
      <c r="G31" t="s">
        <v>836</v>
      </c>
    </row>
    <row r="32" spans="1:7" x14ac:dyDescent="0.3">
      <c r="A32" s="13" t="s">
        <v>942</v>
      </c>
      <c r="B32" s="13">
        <v>415</v>
      </c>
      <c r="C32" s="13">
        <v>5134</v>
      </c>
      <c r="D32" s="13" t="s">
        <v>1103</v>
      </c>
      <c r="E32" s="13">
        <v>25841</v>
      </c>
      <c r="F32" s="13">
        <v>62732</v>
      </c>
      <c r="G32" t="s">
        <v>836</v>
      </c>
    </row>
    <row r="33" spans="1:7" x14ac:dyDescent="0.3">
      <c r="A33" s="13" t="s">
        <v>377</v>
      </c>
      <c r="B33" s="13">
        <v>1295.5</v>
      </c>
      <c r="C33" s="13">
        <v>1258</v>
      </c>
      <c r="D33" s="13" t="s">
        <v>1099</v>
      </c>
      <c r="E33" s="13">
        <v>8989</v>
      </c>
      <c r="F33" s="13">
        <v>20405</v>
      </c>
      <c r="G33" t="s">
        <v>836</v>
      </c>
    </row>
    <row r="34" spans="1:7" x14ac:dyDescent="0.3">
      <c r="A34" s="13" t="s">
        <v>371</v>
      </c>
      <c r="B34" s="13">
        <v>11577</v>
      </c>
      <c r="C34" s="13">
        <v>609</v>
      </c>
      <c r="D34" s="13" t="s">
        <v>1099</v>
      </c>
      <c r="E34" s="13">
        <v>2048</v>
      </c>
      <c r="F34" s="13">
        <v>6395</v>
      </c>
      <c r="G34" t="s">
        <v>836</v>
      </c>
    </row>
    <row r="35" spans="1:7" x14ac:dyDescent="0.3">
      <c r="A35" s="13" t="s">
        <v>161</v>
      </c>
      <c r="B35" s="13">
        <v>3180</v>
      </c>
      <c r="C35" s="13">
        <v>2463</v>
      </c>
      <c r="D35" s="13" t="s">
        <v>1101</v>
      </c>
      <c r="E35" s="13">
        <v>2126</v>
      </c>
      <c r="F35" s="13">
        <v>6912</v>
      </c>
      <c r="G35" t="s">
        <v>836</v>
      </c>
    </row>
    <row r="36" spans="1:7" x14ac:dyDescent="0.3">
      <c r="A36" s="13" t="s">
        <v>127</v>
      </c>
      <c r="B36" s="13">
        <v>1754.5</v>
      </c>
      <c r="C36" s="13">
        <v>287</v>
      </c>
      <c r="D36" s="13" t="s">
        <v>1102</v>
      </c>
      <c r="E36" s="13">
        <v>2158</v>
      </c>
      <c r="F36" s="13">
        <v>8913</v>
      </c>
      <c r="G36" t="s">
        <v>836</v>
      </c>
    </row>
    <row r="37" spans="1:7" x14ac:dyDescent="0.3">
      <c r="A37" s="13" t="s">
        <v>842</v>
      </c>
      <c r="B37" s="13">
        <v>1562</v>
      </c>
      <c r="C37" s="13">
        <v>5303</v>
      </c>
      <c r="D37" s="13" t="s">
        <v>1101</v>
      </c>
      <c r="E37" s="13">
        <v>17448</v>
      </c>
      <c r="F37" s="13">
        <v>90398</v>
      </c>
      <c r="G37" t="s">
        <v>836</v>
      </c>
    </row>
    <row r="38" spans="1:7" x14ac:dyDescent="0.3">
      <c r="A38" s="13" t="s">
        <v>213</v>
      </c>
      <c r="B38" s="13">
        <v>385.25</v>
      </c>
      <c r="C38" s="13">
        <v>3141</v>
      </c>
      <c r="D38" s="13" t="s">
        <v>1098</v>
      </c>
      <c r="E38" s="13">
        <v>53346</v>
      </c>
      <c r="F38" s="13">
        <v>129759</v>
      </c>
      <c r="G38" t="s">
        <v>836</v>
      </c>
    </row>
    <row r="39" spans="1:7" x14ac:dyDescent="0.3">
      <c r="A39" s="13" t="s">
        <v>870</v>
      </c>
      <c r="B39" s="13">
        <v>1525</v>
      </c>
      <c r="C39" s="13">
        <v>2855</v>
      </c>
      <c r="D39" s="13" t="s">
        <v>1102</v>
      </c>
      <c r="E39" s="13">
        <v>15995</v>
      </c>
      <c r="F39" s="13">
        <v>64719</v>
      </c>
      <c r="G39" t="s">
        <v>836</v>
      </c>
    </row>
    <row r="40" spans="1:7" x14ac:dyDescent="0.3">
      <c r="A40" s="13" t="s">
        <v>926</v>
      </c>
      <c r="B40" s="13">
        <v>2565</v>
      </c>
      <c r="C40" s="13">
        <v>5056</v>
      </c>
      <c r="D40" s="13" t="s">
        <v>1100</v>
      </c>
      <c r="E40" s="13">
        <v>13287</v>
      </c>
      <c r="F40" s="13">
        <v>78964</v>
      </c>
      <c r="G40" t="s">
        <v>836</v>
      </c>
    </row>
    <row r="41" spans="1:7" x14ac:dyDescent="0.3">
      <c r="A41" s="13" t="s">
        <v>922</v>
      </c>
      <c r="B41" s="13">
        <v>2498.9</v>
      </c>
      <c r="C41" s="13">
        <v>416</v>
      </c>
      <c r="D41" s="13" t="s">
        <v>1103</v>
      </c>
      <c r="E41" s="13">
        <v>2230</v>
      </c>
      <c r="F41" s="13">
        <v>7087</v>
      </c>
      <c r="G41" t="s">
        <v>836</v>
      </c>
    </row>
    <row r="42" spans="1:7" x14ac:dyDescent="0.3">
      <c r="A42" s="13" t="s">
        <v>223</v>
      </c>
      <c r="B42" s="13">
        <v>291.3</v>
      </c>
      <c r="C42" s="13">
        <v>37323</v>
      </c>
      <c r="D42" s="13" t="s">
        <v>1101</v>
      </c>
      <c r="E42" s="13">
        <v>295982</v>
      </c>
      <c r="F42" s="13">
        <v>616772</v>
      </c>
      <c r="G42" t="s">
        <v>836</v>
      </c>
    </row>
    <row r="43" spans="1:7" x14ac:dyDescent="0.3">
      <c r="A43" s="13" t="s">
        <v>211</v>
      </c>
      <c r="B43" s="13">
        <v>948</v>
      </c>
      <c r="C43" s="13">
        <v>4363</v>
      </c>
      <c r="D43" s="13" t="s">
        <v>1099</v>
      </c>
      <c r="E43" s="13">
        <v>18274</v>
      </c>
      <c r="F43" s="13">
        <v>47439</v>
      </c>
      <c r="G43" t="s">
        <v>836</v>
      </c>
    </row>
    <row r="44" spans="1:7" x14ac:dyDescent="0.3">
      <c r="A44" s="13" t="s">
        <v>958</v>
      </c>
      <c r="B44" s="13">
        <v>1682</v>
      </c>
      <c r="C44" s="13">
        <v>998</v>
      </c>
      <c r="D44" s="13" t="s">
        <v>1103</v>
      </c>
      <c r="E44" s="13">
        <v>3387</v>
      </c>
      <c r="F44" s="13">
        <v>37011</v>
      </c>
      <c r="G44" t="s">
        <v>836</v>
      </c>
    </row>
    <row r="45" spans="1:7" x14ac:dyDescent="0.3">
      <c r="A45" s="13" t="s">
        <v>856</v>
      </c>
      <c r="B45" s="13">
        <v>145.63999999999999</v>
      </c>
      <c r="C45" s="13">
        <v>17712</v>
      </c>
      <c r="D45" s="13" t="s">
        <v>1098</v>
      </c>
      <c r="E45" s="13">
        <v>114354</v>
      </c>
      <c r="F45" s="13">
        <v>340228</v>
      </c>
      <c r="G45" t="s">
        <v>836</v>
      </c>
    </row>
    <row r="46" spans="1:7" x14ac:dyDescent="0.3">
      <c r="A46" s="13" t="s">
        <v>339</v>
      </c>
      <c r="B46" s="13">
        <v>1880</v>
      </c>
      <c r="C46" s="13">
        <v>6014</v>
      </c>
      <c r="D46" s="13" t="s">
        <v>1100</v>
      </c>
      <c r="E46" s="13">
        <v>6848</v>
      </c>
      <c r="F46" s="13">
        <v>23905</v>
      </c>
      <c r="G46" t="s">
        <v>836</v>
      </c>
    </row>
    <row r="47" spans="1:7" x14ac:dyDescent="0.3">
      <c r="A47" s="13" t="s">
        <v>970</v>
      </c>
      <c r="B47" s="13">
        <v>3292</v>
      </c>
      <c r="C47" s="13">
        <v>116</v>
      </c>
      <c r="D47" s="13" t="s">
        <v>1099</v>
      </c>
      <c r="E47" s="13">
        <v>2475</v>
      </c>
      <c r="F47" s="13">
        <v>5884</v>
      </c>
      <c r="G47" t="s">
        <v>836</v>
      </c>
    </row>
    <row r="48" spans="1:7" x14ac:dyDescent="0.3">
      <c r="A48" s="13" t="s">
        <v>165</v>
      </c>
      <c r="B48" s="13">
        <v>4456.2</v>
      </c>
      <c r="C48" s="13">
        <v>3676</v>
      </c>
      <c r="D48" s="13" t="s">
        <v>1101</v>
      </c>
      <c r="E48" s="13">
        <v>7588</v>
      </c>
      <c r="F48" s="13">
        <v>35386</v>
      </c>
      <c r="G48" t="s">
        <v>836</v>
      </c>
    </row>
    <row r="49" spans="1:7" x14ac:dyDescent="0.3">
      <c r="A49" s="13" t="s">
        <v>73</v>
      </c>
      <c r="B49" s="13">
        <v>206.12</v>
      </c>
      <c r="C49" s="13">
        <v>7623</v>
      </c>
      <c r="D49" s="13" t="s">
        <v>1098</v>
      </c>
      <c r="E49" s="13">
        <v>55740</v>
      </c>
      <c r="F49" s="13">
        <v>277606</v>
      </c>
      <c r="G49" t="s">
        <v>836</v>
      </c>
    </row>
    <row r="50" spans="1:7" x14ac:dyDescent="0.3">
      <c r="A50" s="13" t="s">
        <v>904</v>
      </c>
      <c r="B50" s="13">
        <v>390</v>
      </c>
      <c r="C50" s="13">
        <v>8888</v>
      </c>
      <c r="D50" s="13" t="s">
        <v>1103</v>
      </c>
      <c r="E50" s="13">
        <v>38439</v>
      </c>
      <c r="F50" s="13">
        <v>181264</v>
      </c>
      <c r="G50" t="s">
        <v>836</v>
      </c>
    </row>
    <row r="51" spans="1:7" x14ac:dyDescent="0.3">
      <c r="A51" s="13" t="s">
        <v>217</v>
      </c>
      <c r="B51" s="13">
        <v>142.32</v>
      </c>
      <c r="C51" s="13">
        <v>33488</v>
      </c>
      <c r="D51" s="13" t="s">
        <v>1101</v>
      </c>
      <c r="E51" s="13">
        <v>275644</v>
      </c>
      <c r="F51" s="13">
        <v>915609</v>
      </c>
      <c r="G51" t="s">
        <v>836</v>
      </c>
    </row>
    <row r="52" spans="1:7" x14ac:dyDescent="0.3">
      <c r="A52" s="13" t="s">
        <v>978</v>
      </c>
      <c r="B52" s="13">
        <v>3106.1</v>
      </c>
      <c r="C52" s="13">
        <v>247</v>
      </c>
      <c r="D52" s="13" t="s">
        <v>1100</v>
      </c>
      <c r="E52" s="13">
        <v>1424</v>
      </c>
      <c r="F52" s="13">
        <v>4862</v>
      </c>
      <c r="G52" t="s">
        <v>836</v>
      </c>
    </row>
    <row r="53" spans="1:7" x14ac:dyDescent="0.3">
      <c r="A53" s="13" t="s">
        <v>125</v>
      </c>
      <c r="B53" s="13">
        <v>448.9</v>
      </c>
      <c r="C53" s="13">
        <v>8905</v>
      </c>
      <c r="D53" s="13" t="s">
        <v>1101</v>
      </c>
      <c r="E53" s="13">
        <v>26297</v>
      </c>
      <c r="F53" s="13">
        <v>69476</v>
      </c>
      <c r="G53" t="s">
        <v>836</v>
      </c>
    </row>
    <row r="54" spans="1:7" x14ac:dyDescent="0.3">
      <c r="A54" s="13" t="s">
        <v>603</v>
      </c>
      <c r="B54" s="13">
        <v>9899</v>
      </c>
      <c r="C54" s="13">
        <v>1122</v>
      </c>
      <c r="D54" s="13" t="s">
        <v>1098</v>
      </c>
      <c r="E54" s="13">
        <v>2767</v>
      </c>
      <c r="F54" s="13">
        <v>7212</v>
      </c>
      <c r="G54" t="s">
        <v>836</v>
      </c>
    </row>
    <row r="55" spans="1:7" x14ac:dyDescent="0.3">
      <c r="A55" s="13" t="s">
        <v>53</v>
      </c>
      <c r="B55" s="13">
        <v>1370</v>
      </c>
      <c r="C55" s="13">
        <v>837</v>
      </c>
      <c r="D55" s="13" t="s">
        <v>1102</v>
      </c>
      <c r="E55" s="13">
        <v>10563</v>
      </c>
      <c r="F55" s="13">
        <v>22259</v>
      </c>
      <c r="G55" t="s">
        <v>836</v>
      </c>
    </row>
    <row r="56" spans="1:7" x14ac:dyDescent="0.3">
      <c r="A56" s="13" t="s">
        <v>928</v>
      </c>
      <c r="B56" s="13">
        <v>961</v>
      </c>
      <c r="C56" s="13">
        <v>628</v>
      </c>
      <c r="D56" s="13" t="s">
        <v>1103</v>
      </c>
      <c r="E56" s="13">
        <v>10142</v>
      </c>
      <c r="F56" s="13">
        <v>39684</v>
      </c>
      <c r="G56" t="s">
        <v>836</v>
      </c>
    </row>
    <row r="57" spans="1:7" x14ac:dyDescent="0.3">
      <c r="A57" s="13" t="s">
        <v>231</v>
      </c>
      <c r="B57" s="13">
        <v>433.45</v>
      </c>
      <c r="C57" s="13">
        <v>2027</v>
      </c>
      <c r="D57" s="13" t="s">
        <v>1102</v>
      </c>
      <c r="E57" s="13">
        <v>21047</v>
      </c>
      <c r="F57" s="13">
        <v>71545</v>
      </c>
      <c r="G57" t="s">
        <v>836</v>
      </c>
    </row>
    <row r="58" spans="1:7" x14ac:dyDescent="0.3">
      <c r="A58" s="13" t="s">
        <v>902</v>
      </c>
      <c r="B58" s="13">
        <v>567.79999999999995</v>
      </c>
      <c r="C58" s="13">
        <v>1828</v>
      </c>
      <c r="D58" s="13" t="s">
        <v>1098</v>
      </c>
      <c r="E58" s="13">
        <v>17835</v>
      </c>
      <c r="F58" s="13">
        <v>78699</v>
      </c>
      <c r="G58" t="s">
        <v>836</v>
      </c>
    </row>
    <row r="59" spans="1:7" x14ac:dyDescent="0.3">
      <c r="A59" s="13" t="s">
        <v>59</v>
      </c>
      <c r="B59" s="13">
        <v>1568</v>
      </c>
      <c r="C59" s="13">
        <v>572</v>
      </c>
      <c r="D59" s="13" t="s">
        <v>1102</v>
      </c>
      <c r="E59" s="13">
        <v>5034</v>
      </c>
      <c r="F59" s="13">
        <v>13698</v>
      </c>
      <c r="G59" t="s">
        <v>836</v>
      </c>
    </row>
    <row r="60" spans="1:7" x14ac:dyDescent="0.3">
      <c r="A60" s="13" t="s">
        <v>135</v>
      </c>
      <c r="B60" s="13">
        <v>661.2</v>
      </c>
      <c r="C60" s="13">
        <v>6411</v>
      </c>
      <c r="D60" s="13" t="s">
        <v>1102</v>
      </c>
      <c r="E60" s="13">
        <v>25249</v>
      </c>
      <c r="F60" s="13">
        <v>97600</v>
      </c>
      <c r="G60" t="s">
        <v>836</v>
      </c>
    </row>
    <row r="61" spans="1:7" x14ac:dyDescent="0.3">
      <c r="A61" s="13" t="s">
        <v>383</v>
      </c>
      <c r="B61" s="13">
        <v>1105</v>
      </c>
      <c r="C61" s="13">
        <v>1522</v>
      </c>
      <c r="D61" s="13" t="s">
        <v>1101</v>
      </c>
      <c r="E61" s="13">
        <v>10033</v>
      </c>
      <c r="F61" s="13">
        <v>21246</v>
      </c>
      <c r="G61" t="s">
        <v>836</v>
      </c>
    </row>
    <row r="62" spans="1:7" x14ac:dyDescent="0.3">
      <c r="A62" s="13" t="s">
        <v>972</v>
      </c>
      <c r="B62" s="13">
        <v>57.93</v>
      </c>
      <c r="C62" s="13">
        <v>158671</v>
      </c>
      <c r="D62" s="13" t="s">
        <v>1101</v>
      </c>
      <c r="E62" s="13">
        <v>1226693</v>
      </c>
      <c r="F62" s="13">
        <v>4710027</v>
      </c>
      <c r="G62" t="s">
        <v>836</v>
      </c>
    </row>
    <row r="63" spans="1:7" x14ac:dyDescent="0.3">
      <c r="A63" s="13" t="s">
        <v>968</v>
      </c>
      <c r="B63" s="13">
        <v>665.25</v>
      </c>
      <c r="C63" s="13">
        <v>8114</v>
      </c>
      <c r="D63" s="13" t="s">
        <v>1098</v>
      </c>
      <c r="E63" s="13">
        <v>28106</v>
      </c>
      <c r="F63" s="13">
        <v>50902</v>
      </c>
      <c r="G63" t="s">
        <v>836</v>
      </c>
    </row>
    <row r="64" spans="1:7" x14ac:dyDescent="0.3">
      <c r="A64" s="13" t="s">
        <v>934</v>
      </c>
      <c r="B64" s="13">
        <v>80.95</v>
      </c>
      <c r="C64" s="13">
        <v>36607</v>
      </c>
      <c r="D64" s="13" t="s">
        <v>1101</v>
      </c>
      <c r="E64" s="13">
        <v>225387</v>
      </c>
      <c r="F64" s="13">
        <v>1158150</v>
      </c>
      <c r="G64" t="s">
        <v>836</v>
      </c>
    </row>
    <row r="65" spans="1:7" x14ac:dyDescent="0.3">
      <c r="A65" s="13" t="s">
        <v>930</v>
      </c>
      <c r="B65" s="13">
        <v>1217.0999999999999</v>
      </c>
      <c r="C65" s="13">
        <v>1067</v>
      </c>
      <c r="D65" s="13" t="s">
        <v>1103</v>
      </c>
      <c r="E65" s="13">
        <v>4781</v>
      </c>
      <c r="F65" s="13">
        <v>13036</v>
      </c>
      <c r="G65" t="s">
        <v>836</v>
      </c>
    </row>
    <row r="66" spans="1:7" x14ac:dyDescent="0.3">
      <c r="A66" s="13" t="s">
        <v>147</v>
      </c>
      <c r="B66" s="13">
        <v>174.32</v>
      </c>
      <c r="C66" s="13">
        <v>6197</v>
      </c>
      <c r="D66" s="13" t="s">
        <v>1098</v>
      </c>
      <c r="E66" s="13">
        <v>68528</v>
      </c>
      <c r="F66" s="13">
        <v>360730</v>
      </c>
      <c r="G66" t="s">
        <v>836</v>
      </c>
    </row>
    <row r="67" spans="1:7" x14ac:dyDescent="0.3">
      <c r="A67" s="13" t="s">
        <v>293</v>
      </c>
      <c r="B67" s="13">
        <v>42900</v>
      </c>
      <c r="C67" s="13">
        <v>84</v>
      </c>
      <c r="D67" s="13" t="s">
        <v>1103</v>
      </c>
      <c r="E67" s="13">
        <v>304</v>
      </c>
      <c r="F67" s="13">
        <v>435</v>
      </c>
      <c r="G67" t="s">
        <v>836</v>
      </c>
    </row>
    <row r="68" spans="1:7" x14ac:dyDescent="0.3">
      <c r="A68" s="13" t="s">
        <v>131</v>
      </c>
      <c r="B68" s="13">
        <v>6685.5</v>
      </c>
      <c r="C68" s="13">
        <v>83</v>
      </c>
      <c r="D68" s="13" t="s">
        <v>1104</v>
      </c>
      <c r="E68" s="13">
        <v>1054</v>
      </c>
      <c r="F68" s="13">
        <v>3968</v>
      </c>
      <c r="G68" t="s">
        <v>836</v>
      </c>
    </row>
    <row r="69" spans="1:7" x14ac:dyDescent="0.3">
      <c r="A69" s="13" t="s">
        <v>938</v>
      </c>
      <c r="B69" s="13">
        <v>314</v>
      </c>
      <c r="C69" s="13">
        <v>8026</v>
      </c>
      <c r="D69" s="13" t="s">
        <v>1103</v>
      </c>
      <c r="E69" s="13">
        <v>15257</v>
      </c>
      <c r="F69" s="13">
        <v>119694</v>
      </c>
      <c r="G69" t="s">
        <v>836</v>
      </c>
    </row>
    <row r="70" spans="1:7" x14ac:dyDescent="0.3">
      <c r="A70" s="13" t="s">
        <v>285</v>
      </c>
      <c r="B70" s="13">
        <v>358.25</v>
      </c>
      <c r="C70" s="13">
        <v>19322</v>
      </c>
      <c r="D70" s="13" t="s">
        <v>1099</v>
      </c>
      <c r="E70" s="13">
        <v>70748</v>
      </c>
      <c r="F70" s="13">
        <v>100735</v>
      </c>
      <c r="G70" t="s">
        <v>836</v>
      </c>
    </row>
    <row r="71" spans="1:7" x14ac:dyDescent="0.3">
      <c r="A71" s="13" t="s">
        <v>87</v>
      </c>
      <c r="B71" s="13">
        <v>402</v>
      </c>
      <c r="C71" s="13">
        <v>93420</v>
      </c>
      <c r="D71" s="13" t="s">
        <v>1100</v>
      </c>
      <c r="E71" s="13">
        <v>160990</v>
      </c>
      <c r="F71" s="13">
        <v>272192</v>
      </c>
      <c r="G71" t="s">
        <v>836</v>
      </c>
    </row>
    <row r="72" spans="1:7" x14ac:dyDescent="0.3">
      <c r="A72" s="13" t="s">
        <v>39</v>
      </c>
      <c r="B72" s="13">
        <v>1885</v>
      </c>
      <c r="C72" s="13">
        <v>10314</v>
      </c>
      <c r="D72" s="13" t="s">
        <v>1100</v>
      </c>
      <c r="E72" s="13">
        <v>16951</v>
      </c>
      <c r="F72" s="13">
        <v>47724</v>
      </c>
      <c r="G72" t="s">
        <v>836</v>
      </c>
    </row>
    <row r="73" spans="1:7" x14ac:dyDescent="0.3">
      <c r="A73" s="13" t="s">
        <v>984</v>
      </c>
      <c r="B73" s="13">
        <v>1375</v>
      </c>
      <c r="C73" s="13">
        <v>554</v>
      </c>
      <c r="D73" s="13" t="s">
        <v>1102</v>
      </c>
      <c r="E73" s="13">
        <v>2685</v>
      </c>
      <c r="F73" s="13">
        <v>55837</v>
      </c>
      <c r="G73" t="s">
        <v>836</v>
      </c>
    </row>
    <row r="74" spans="1:7" x14ac:dyDescent="0.3">
      <c r="A74" s="13" t="s">
        <v>281</v>
      </c>
      <c r="B74" s="13">
        <v>1448</v>
      </c>
      <c r="C74" s="13">
        <v>3128</v>
      </c>
      <c r="D74" s="13" t="s">
        <v>1104</v>
      </c>
      <c r="E74" s="13">
        <v>8554</v>
      </c>
      <c r="F74" s="13">
        <v>19747</v>
      </c>
      <c r="G74" t="s">
        <v>836</v>
      </c>
    </row>
    <row r="75" spans="1:7" x14ac:dyDescent="0.3">
      <c r="A75" s="13" t="s">
        <v>307</v>
      </c>
      <c r="B75" s="13">
        <v>107</v>
      </c>
      <c r="C75" s="13">
        <v>163443</v>
      </c>
      <c r="D75" s="13" t="s">
        <v>1101</v>
      </c>
      <c r="E75" s="13">
        <v>353146</v>
      </c>
      <c r="F75" s="13">
        <v>1621142</v>
      </c>
      <c r="G75" t="s">
        <v>836</v>
      </c>
    </row>
    <row r="76" spans="1:7" x14ac:dyDescent="0.3">
      <c r="A76" s="13" t="s">
        <v>914</v>
      </c>
      <c r="B76" s="13">
        <v>432.5</v>
      </c>
      <c r="C76" s="13">
        <v>4788</v>
      </c>
      <c r="D76" s="13" t="s">
        <v>1104</v>
      </c>
      <c r="E76" s="13">
        <v>63375</v>
      </c>
      <c r="F76" s="13">
        <v>233653</v>
      </c>
      <c r="G76" t="s">
        <v>836</v>
      </c>
    </row>
    <row r="77" spans="1:7" x14ac:dyDescent="0.3">
      <c r="A77" s="13" t="s">
        <v>311</v>
      </c>
      <c r="B77" s="13">
        <v>288.5</v>
      </c>
      <c r="C77" s="13">
        <v>49992</v>
      </c>
      <c r="D77" s="13" t="s">
        <v>1099</v>
      </c>
      <c r="E77" s="13">
        <v>84720</v>
      </c>
      <c r="F77" s="13">
        <v>190218</v>
      </c>
      <c r="G77" t="s">
        <v>836</v>
      </c>
    </row>
    <row r="78" spans="1:7" x14ac:dyDescent="0.3">
      <c r="A78" s="13" t="s">
        <v>850</v>
      </c>
      <c r="B78" s="13">
        <v>342.9</v>
      </c>
      <c r="C78" s="13">
        <v>107524</v>
      </c>
      <c r="D78" s="13" t="s">
        <v>1100</v>
      </c>
      <c r="E78" s="13">
        <v>37955</v>
      </c>
      <c r="F78" s="13">
        <v>231925</v>
      </c>
      <c r="G78" t="s">
        <v>836</v>
      </c>
    </row>
    <row r="79" spans="1:7" x14ac:dyDescent="0.3">
      <c r="A79" s="13" t="s">
        <v>75</v>
      </c>
      <c r="B79" s="13">
        <v>258.25</v>
      </c>
      <c r="C79" s="13">
        <v>236125</v>
      </c>
      <c r="D79" s="13" t="s">
        <v>1101</v>
      </c>
      <c r="E79" s="13">
        <v>255168</v>
      </c>
      <c r="F79" s="13">
        <v>835190</v>
      </c>
      <c r="G79" t="s">
        <v>836</v>
      </c>
    </row>
    <row r="80" spans="1:7" x14ac:dyDescent="0.3">
      <c r="A80" s="13" t="s">
        <v>149</v>
      </c>
      <c r="B80" s="13">
        <v>2185.1999999999998</v>
      </c>
      <c r="C80" s="13">
        <v>341</v>
      </c>
      <c r="D80" s="13" t="s">
        <v>1098</v>
      </c>
      <c r="E80" s="13">
        <v>4322</v>
      </c>
      <c r="F80" s="13">
        <v>18654</v>
      </c>
      <c r="G80" t="s">
        <v>836</v>
      </c>
    </row>
    <row r="81" spans="1:7" x14ac:dyDescent="0.3">
      <c r="A81" s="13" t="s">
        <v>954</v>
      </c>
      <c r="B81" s="13">
        <v>32085</v>
      </c>
      <c r="C81" s="13">
        <v>4560</v>
      </c>
      <c r="D81" s="13" t="s">
        <v>1101</v>
      </c>
      <c r="E81" s="13">
        <v>323</v>
      </c>
      <c r="F81" s="13">
        <v>40687</v>
      </c>
      <c r="G81" t="s">
        <v>836</v>
      </c>
    </row>
    <row r="82" spans="1:7" x14ac:dyDescent="0.3">
      <c r="A82" s="13" t="s">
        <v>886</v>
      </c>
      <c r="B82" s="13">
        <v>4581.6000000000004</v>
      </c>
      <c r="C82" s="13">
        <v>26604</v>
      </c>
      <c r="D82" s="13" t="s">
        <v>1101</v>
      </c>
      <c r="E82" s="13">
        <v>2753</v>
      </c>
      <c r="F82" s="13">
        <v>67773</v>
      </c>
      <c r="G82" t="s">
        <v>836</v>
      </c>
    </row>
    <row r="83" spans="1:7" x14ac:dyDescent="0.3">
      <c r="A83" s="13" t="s">
        <v>868</v>
      </c>
      <c r="B83" s="13">
        <v>911.4</v>
      </c>
      <c r="C83" s="13">
        <v>221472</v>
      </c>
      <c r="D83" s="13" t="s">
        <v>1101</v>
      </c>
      <c r="E83" s="13">
        <v>14033</v>
      </c>
      <c r="F83" s="13">
        <v>594839</v>
      </c>
      <c r="G83" t="s">
        <v>836</v>
      </c>
    </row>
    <row r="84" spans="1:7" x14ac:dyDescent="0.3">
      <c r="A84" s="13" t="s">
        <v>908</v>
      </c>
      <c r="B84" s="13">
        <v>5275</v>
      </c>
      <c r="C84" s="13">
        <v>88</v>
      </c>
      <c r="D84" s="13" t="s">
        <v>1103</v>
      </c>
      <c r="E84" s="13">
        <v>2566</v>
      </c>
      <c r="F84" s="13">
        <v>8148</v>
      </c>
      <c r="G84" t="s">
        <v>836</v>
      </c>
    </row>
    <row r="85" spans="1:7" x14ac:dyDescent="0.3">
      <c r="A85" s="13" t="s">
        <v>327</v>
      </c>
      <c r="B85" s="13">
        <v>1784</v>
      </c>
      <c r="C85" s="13">
        <v>905</v>
      </c>
      <c r="D85" s="13" t="s">
        <v>1102</v>
      </c>
      <c r="E85" s="13">
        <v>5916</v>
      </c>
      <c r="F85" s="13">
        <v>16191</v>
      </c>
      <c r="G85" t="s">
        <v>836</v>
      </c>
    </row>
    <row r="86" spans="1:7" x14ac:dyDescent="0.3">
      <c r="A86" s="13" t="s">
        <v>51</v>
      </c>
      <c r="B86" s="13">
        <v>2744</v>
      </c>
      <c r="C86" s="13">
        <v>2083</v>
      </c>
      <c r="D86" s="13" t="s">
        <v>1098</v>
      </c>
      <c r="E86" s="13">
        <v>4645</v>
      </c>
      <c r="F86" s="13">
        <v>35005</v>
      </c>
      <c r="G86" t="s">
        <v>836</v>
      </c>
    </row>
    <row r="87" spans="1:7" x14ac:dyDescent="0.3">
      <c r="A87" s="13" t="s">
        <v>982</v>
      </c>
      <c r="B87" s="13">
        <v>168.79</v>
      </c>
      <c r="C87" s="13">
        <v>327890</v>
      </c>
      <c r="D87" s="13" t="s">
        <v>1101</v>
      </c>
      <c r="E87" s="13">
        <v>66041</v>
      </c>
      <c r="F87" s="13">
        <v>1202687</v>
      </c>
      <c r="G87" t="s">
        <v>836</v>
      </c>
    </row>
    <row r="88" spans="1:7" x14ac:dyDescent="0.3">
      <c r="A88" s="13" t="s">
        <v>91</v>
      </c>
      <c r="B88" s="13">
        <v>41400</v>
      </c>
      <c r="C88" s="13">
        <v>163</v>
      </c>
      <c r="D88" s="13" t="s">
        <v>1101</v>
      </c>
      <c r="E88" s="13">
        <v>244</v>
      </c>
      <c r="F88" s="13">
        <v>601</v>
      </c>
      <c r="G88" t="s">
        <v>836</v>
      </c>
    </row>
    <row r="89" spans="1:7" x14ac:dyDescent="0.3">
      <c r="A89" s="13" t="s">
        <v>107</v>
      </c>
      <c r="B89" s="13">
        <v>1452</v>
      </c>
      <c r="C89" s="13">
        <v>2061</v>
      </c>
      <c r="D89" s="13" t="s">
        <v>1098</v>
      </c>
      <c r="E89" s="13">
        <v>3800</v>
      </c>
      <c r="F89" s="13">
        <v>29578</v>
      </c>
      <c r="G89" t="s">
        <v>836</v>
      </c>
    </row>
    <row r="90" spans="1:7" x14ac:dyDescent="0.3">
      <c r="A90" s="13" t="s">
        <v>89</v>
      </c>
      <c r="B90" s="13">
        <v>418.6</v>
      </c>
      <c r="C90" s="13">
        <v>1469</v>
      </c>
      <c r="D90" s="13" t="s">
        <v>1098</v>
      </c>
      <c r="E90" s="13">
        <v>20285</v>
      </c>
      <c r="F90" s="13">
        <v>93168</v>
      </c>
      <c r="G90" t="s">
        <v>836</v>
      </c>
    </row>
    <row r="91" spans="1:7" x14ac:dyDescent="0.3">
      <c r="A91" s="13" t="s">
        <v>167</v>
      </c>
      <c r="B91" s="13">
        <v>1189.9000000000001</v>
      </c>
      <c r="C91" s="13">
        <v>337</v>
      </c>
      <c r="D91" s="13" t="s">
        <v>1102</v>
      </c>
      <c r="E91" s="13">
        <v>10880</v>
      </c>
      <c r="F91" s="13">
        <v>22890</v>
      </c>
      <c r="G91" t="s">
        <v>836</v>
      </c>
    </row>
    <row r="92" spans="1:7" x14ac:dyDescent="0.3">
      <c r="A92" s="13" t="s">
        <v>119</v>
      </c>
      <c r="B92" s="13">
        <v>274.89999999999998</v>
      </c>
      <c r="C92" s="13">
        <v>1906</v>
      </c>
      <c r="D92" s="13" t="s">
        <v>1101</v>
      </c>
      <c r="E92" s="13">
        <v>24024</v>
      </c>
      <c r="F92" s="13">
        <v>112244</v>
      </c>
      <c r="G92" t="s">
        <v>836</v>
      </c>
    </row>
    <row r="93" spans="1:7" x14ac:dyDescent="0.3">
      <c r="A93" s="13" t="s">
        <v>209</v>
      </c>
      <c r="B93" s="13">
        <v>5459.5</v>
      </c>
      <c r="C93" s="13">
        <v>2516</v>
      </c>
      <c r="D93" s="13" t="s">
        <v>1102</v>
      </c>
      <c r="E93" s="13">
        <v>2226</v>
      </c>
      <c r="F93" s="13">
        <v>17324</v>
      </c>
      <c r="G93" t="s">
        <v>836</v>
      </c>
    </row>
    <row r="94" spans="1:7" x14ac:dyDescent="0.3">
      <c r="A94" s="13" t="s">
        <v>113</v>
      </c>
      <c r="B94" s="13">
        <v>2065.9</v>
      </c>
      <c r="C94" s="13">
        <v>455</v>
      </c>
      <c r="D94" s="13" t="s">
        <v>1098</v>
      </c>
      <c r="E94" s="13">
        <v>5019</v>
      </c>
      <c r="F94" s="13">
        <v>15210</v>
      </c>
      <c r="G94" t="s">
        <v>836</v>
      </c>
    </row>
    <row r="95" spans="1:7" x14ac:dyDescent="0.3">
      <c r="A95" s="13" t="s">
        <v>864</v>
      </c>
      <c r="B95" s="13">
        <v>799.95</v>
      </c>
      <c r="C95" s="13">
        <v>651</v>
      </c>
      <c r="D95" s="13" t="s">
        <v>1102</v>
      </c>
      <c r="E95" s="13">
        <v>12608</v>
      </c>
      <c r="F95" s="13">
        <v>60010</v>
      </c>
      <c r="G95" t="s">
        <v>836</v>
      </c>
    </row>
    <row r="96" spans="1:7" x14ac:dyDescent="0.3">
      <c r="A96" s="13" t="s">
        <v>335</v>
      </c>
      <c r="B96" s="13">
        <v>3590</v>
      </c>
      <c r="C96" s="13">
        <v>132</v>
      </c>
      <c r="D96" s="13" t="s">
        <v>1098</v>
      </c>
      <c r="E96" s="13">
        <v>2848</v>
      </c>
      <c r="F96" s="13">
        <v>6097</v>
      </c>
      <c r="G96" t="s">
        <v>836</v>
      </c>
    </row>
    <row r="97" spans="1:7" x14ac:dyDescent="0.3">
      <c r="A97" s="13" t="s">
        <v>844</v>
      </c>
      <c r="B97" s="13">
        <v>1559.9</v>
      </c>
      <c r="C97" s="13">
        <v>9545</v>
      </c>
      <c r="D97" s="13" t="s">
        <v>1101</v>
      </c>
      <c r="E97" s="13">
        <v>22019</v>
      </c>
      <c r="F97" s="13">
        <v>67165</v>
      </c>
      <c r="G97" t="s">
        <v>836</v>
      </c>
    </row>
    <row r="98" spans="1:7" x14ac:dyDescent="0.3">
      <c r="A98" s="13" t="s">
        <v>361</v>
      </c>
      <c r="B98" s="13">
        <v>4495</v>
      </c>
      <c r="C98" s="13">
        <v>2229</v>
      </c>
      <c r="D98" s="13" t="s">
        <v>1098</v>
      </c>
      <c r="E98" s="13">
        <v>3637</v>
      </c>
      <c r="F98" s="13">
        <v>15040</v>
      </c>
      <c r="G98" t="s">
        <v>836</v>
      </c>
    </row>
    <row r="99" spans="1:7" x14ac:dyDescent="0.3">
      <c r="A99" s="13" t="s">
        <v>329</v>
      </c>
      <c r="B99" s="13">
        <v>1055</v>
      </c>
      <c r="C99" s="13">
        <v>37402</v>
      </c>
      <c r="D99" s="13" t="s">
        <v>1100</v>
      </c>
      <c r="E99" s="13">
        <v>63488</v>
      </c>
      <c r="F99" s="13">
        <v>259588</v>
      </c>
      <c r="G99" t="s">
        <v>836</v>
      </c>
    </row>
    <row r="100" spans="1:7" x14ac:dyDescent="0.3">
      <c r="A100" s="13" t="s">
        <v>353</v>
      </c>
      <c r="B100" s="13">
        <v>377.5</v>
      </c>
      <c r="C100" s="13">
        <v>21075</v>
      </c>
      <c r="D100" s="13" t="s">
        <v>1104</v>
      </c>
      <c r="E100" s="13">
        <v>83032</v>
      </c>
      <c r="F100" s="13">
        <v>158751</v>
      </c>
      <c r="G100" t="s">
        <v>836</v>
      </c>
    </row>
    <row r="101" spans="1:7" x14ac:dyDescent="0.3">
      <c r="A101" s="13" t="s">
        <v>26</v>
      </c>
      <c r="B101" s="13">
        <v>6881</v>
      </c>
      <c r="C101" s="13">
        <v>373</v>
      </c>
      <c r="D101" s="13" t="s">
        <v>1098</v>
      </c>
      <c r="E101" s="13">
        <v>4308</v>
      </c>
      <c r="F101" s="13">
        <v>4698</v>
      </c>
      <c r="G101" t="s">
        <v>836</v>
      </c>
    </row>
    <row r="102" spans="1:7" x14ac:dyDescent="0.3">
      <c r="A102" s="13" t="s">
        <v>884</v>
      </c>
      <c r="B102" s="13">
        <v>2178</v>
      </c>
      <c r="C102" s="13">
        <v>551</v>
      </c>
      <c r="D102" s="13" t="s">
        <v>1101</v>
      </c>
      <c r="E102" s="13">
        <v>8342</v>
      </c>
      <c r="F102" s="13">
        <v>17125</v>
      </c>
      <c r="G102" t="s">
        <v>836</v>
      </c>
    </row>
    <row r="103" spans="1:7" x14ac:dyDescent="0.3">
      <c r="A103" s="13" t="s">
        <v>980</v>
      </c>
      <c r="B103" s="13">
        <v>346.5</v>
      </c>
      <c r="C103" s="13">
        <v>57254</v>
      </c>
      <c r="D103" s="13" t="s">
        <v>1101</v>
      </c>
      <c r="E103" s="13">
        <v>261741</v>
      </c>
      <c r="F103" s="13">
        <v>346576</v>
      </c>
      <c r="G103" t="s">
        <v>836</v>
      </c>
    </row>
    <row r="104" spans="1:7" x14ac:dyDescent="0.3">
      <c r="A104" s="13" t="s">
        <v>960</v>
      </c>
      <c r="B104" s="13">
        <v>3979</v>
      </c>
      <c r="C104" s="13">
        <v>635</v>
      </c>
      <c r="D104" s="13" t="s">
        <v>1098</v>
      </c>
      <c r="E104" s="13">
        <v>9678</v>
      </c>
      <c r="F104" s="13">
        <v>13468</v>
      </c>
      <c r="G104" t="s">
        <v>836</v>
      </c>
    </row>
    <row r="105" spans="1:7" x14ac:dyDescent="0.3">
      <c r="A105" s="13" t="s">
        <v>155</v>
      </c>
      <c r="B105" s="13">
        <v>1079</v>
      </c>
      <c r="C105" s="13">
        <v>1078</v>
      </c>
      <c r="D105" s="13" t="s">
        <v>1098</v>
      </c>
      <c r="E105" s="13">
        <v>5305</v>
      </c>
      <c r="F105" s="13">
        <v>23378</v>
      </c>
      <c r="G105" t="s">
        <v>836</v>
      </c>
    </row>
    <row r="106" spans="1:7" x14ac:dyDescent="0.3">
      <c r="A106" s="13" t="s">
        <v>289</v>
      </c>
      <c r="B106" s="13">
        <v>11000</v>
      </c>
      <c r="C106" s="13">
        <v>466</v>
      </c>
      <c r="D106" s="13" t="s">
        <v>1103</v>
      </c>
      <c r="E106" s="13">
        <v>1761</v>
      </c>
      <c r="F106" s="13">
        <v>5391</v>
      </c>
      <c r="G106" t="s">
        <v>836</v>
      </c>
    </row>
    <row r="107" spans="1:7" x14ac:dyDescent="0.3">
      <c r="A107" s="13" t="s">
        <v>238</v>
      </c>
      <c r="B107" s="13">
        <v>1530</v>
      </c>
      <c r="C107" s="13">
        <v>3725</v>
      </c>
      <c r="D107" s="13" t="s">
        <v>1101</v>
      </c>
      <c r="E107" s="13">
        <v>15937</v>
      </c>
      <c r="F107" s="13">
        <v>27684</v>
      </c>
      <c r="G107" t="s">
        <v>836</v>
      </c>
    </row>
    <row r="108" spans="1:7" x14ac:dyDescent="0.3">
      <c r="A108" s="13" t="s">
        <v>193</v>
      </c>
      <c r="B108" s="13">
        <v>14.5</v>
      </c>
      <c r="C108" s="13">
        <v>1414524</v>
      </c>
      <c r="D108" s="13" t="s">
        <v>1101</v>
      </c>
      <c r="E108" s="13">
        <v>6081412</v>
      </c>
      <c r="F108" s="13">
        <v>22534573</v>
      </c>
      <c r="G108" t="s">
        <v>836</v>
      </c>
    </row>
    <row r="109" spans="1:7" x14ac:dyDescent="0.3">
      <c r="A109" s="13" t="s">
        <v>191</v>
      </c>
      <c r="B109" s="13">
        <v>496.95</v>
      </c>
      <c r="C109" s="13">
        <v>541</v>
      </c>
      <c r="D109" s="13" t="s">
        <v>1102</v>
      </c>
      <c r="E109" s="13">
        <v>11221</v>
      </c>
      <c r="F109" s="13">
        <v>29553</v>
      </c>
      <c r="G109" t="s">
        <v>836</v>
      </c>
    </row>
    <row r="110" spans="1:7" x14ac:dyDescent="0.3">
      <c r="A110" s="13" t="s">
        <v>962</v>
      </c>
      <c r="B110" s="13">
        <v>237.35</v>
      </c>
      <c r="C110" s="13">
        <v>17970</v>
      </c>
      <c r="D110" s="13" t="s">
        <v>1101</v>
      </c>
      <c r="E110" s="13">
        <v>103117</v>
      </c>
      <c r="F110" s="13">
        <v>214997</v>
      </c>
      <c r="G110" t="s">
        <v>836</v>
      </c>
    </row>
    <row r="111" spans="1:7" x14ac:dyDescent="0.3">
      <c r="A111" s="13" t="s">
        <v>894</v>
      </c>
      <c r="B111" s="13">
        <v>90.15</v>
      </c>
      <c r="C111" s="13">
        <v>15504</v>
      </c>
      <c r="D111" s="13" t="s">
        <v>1101</v>
      </c>
      <c r="E111" s="13">
        <v>150439</v>
      </c>
      <c r="F111" s="13">
        <v>369356</v>
      </c>
      <c r="G111" t="s">
        <v>836</v>
      </c>
    </row>
    <row r="112" spans="1:7" x14ac:dyDescent="0.3">
      <c r="A112" s="13" t="s">
        <v>197</v>
      </c>
      <c r="B112" s="13">
        <v>79.66</v>
      </c>
      <c r="C112" s="13">
        <v>23270</v>
      </c>
      <c r="D112" s="13" t="s">
        <v>1099</v>
      </c>
      <c r="E112" s="13">
        <v>148937</v>
      </c>
      <c r="F112" s="13">
        <v>866440</v>
      </c>
      <c r="G112" t="s">
        <v>836</v>
      </c>
    </row>
    <row r="113" spans="1:7" x14ac:dyDescent="0.3">
      <c r="A113" s="13" t="s">
        <v>41</v>
      </c>
      <c r="B113" s="13">
        <v>5510.5</v>
      </c>
      <c r="C113" s="13">
        <v>22</v>
      </c>
      <c r="D113" s="13" t="s">
        <v>1104</v>
      </c>
      <c r="E113" s="13">
        <v>825</v>
      </c>
      <c r="F113" s="13">
        <v>2384</v>
      </c>
      <c r="G113" t="s">
        <v>836</v>
      </c>
    </row>
    <row r="114" spans="1:7" x14ac:dyDescent="0.3">
      <c r="A114" s="13" t="s">
        <v>882</v>
      </c>
      <c r="B114" s="13">
        <v>112</v>
      </c>
      <c r="C114" s="13">
        <v>20483</v>
      </c>
      <c r="D114" s="13" t="s">
        <v>1098</v>
      </c>
      <c r="E114" s="13">
        <v>163223</v>
      </c>
      <c r="F114" s="13">
        <v>378851</v>
      </c>
      <c r="G114" t="s">
        <v>836</v>
      </c>
    </row>
    <row r="115" spans="1:7" x14ac:dyDescent="0.3">
      <c r="A115" s="13" t="s">
        <v>920</v>
      </c>
      <c r="B115" s="13">
        <v>3720</v>
      </c>
      <c r="C115" s="13">
        <v>794</v>
      </c>
      <c r="D115" s="13" t="s">
        <v>1104</v>
      </c>
      <c r="E115" s="13">
        <v>5862</v>
      </c>
      <c r="F115" s="13">
        <v>11807</v>
      </c>
      <c r="G115" t="s">
        <v>836</v>
      </c>
    </row>
    <row r="116" spans="1:7" x14ac:dyDescent="0.3">
      <c r="A116" s="13" t="s">
        <v>287</v>
      </c>
      <c r="B116" s="13">
        <v>1885</v>
      </c>
      <c r="C116" s="13">
        <v>3644</v>
      </c>
      <c r="D116" s="13" t="s">
        <v>1103</v>
      </c>
      <c r="E116" s="13">
        <v>4109</v>
      </c>
      <c r="F116" s="13">
        <v>8259</v>
      </c>
      <c r="G116" t="s">
        <v>836</v>
      </c>
    </row>
    <row r="117" spans="1:7" x14ac:dyDescent="0.3">
      <c r="A117" s="13" t="s">
        <v>990</v>
      </c>
      <c r="B117" s="13">
        <v>122.8</v>
      </c>
      <c r="C117" s="13">
        <v>67537</v>
      </c>
      <c r="D117" s="13" t="s">
        <v>1101</v>
      </c>
      <c r="E117" s="13">
        <v>282422</v>
      </c>
      <c r="F117" s="13">
        <v>534165</v>
      </c>
      <c r="G117" t="s">
        <v>836</v>
      </c>
    </row>
    <row r="118" spans="1:7" x14ac:dyDescent="0.3">
      <c r="A118" s="13" t="s">
        <v>375</v>
      </c>
      <c r="B118" s="13">
        <v>279</v>
      </c>
      <c r="C118" s="13">
        <v>57628</v>
      </c>
      <c r="D118" s="13" t="s">
        <v>1101</v>
      </c>
      <c r="E118" s="13">
        <v>297841</v>
      </c>
      <c r="F118" s="13">
        <v>616202</v>
      </c>
      <c r="G118" t="s">
        <v>836</v>
      </c>
    </row>
    <row r="119" spans="1:7" x14ac:dyDescent="0.3">
      <c r="A119" s="13" t="s">
        <v>359</v>
      </c>
      <c r="B119" s="13">
        <v>1399.9</v>
      </c>
      <c r="C119" s="13">
        <v>16710</v>
      </c>
      <c r="D119" s="13" t="s">
        <v>1100</v>
      </c>
      <c r="E119" s="13">
        <v>18004</v>
      </c>
      <c r="F119" s="13">
        <v>57061</v>
      </c>
      <c r="G119" t="s">
        <v>836</v>
      </c>
    </row>
    <row r="120" spans="1:7" x14ac:dyDescent="0.3">
      <c r="A120" s="13" t="s">
        <v>331</v>
      </c>
      <c r="B120" s="13">
        <v>26495</v>
      </c>
      <c r="C120" s="13">
        <v>21</v>
      </c>
      <c r="D120" s="13" t="s">
        <v>1104</v>
      </c>
      <c r="E120" s="13">
        <v>67</v>
      </c>
      <c r="F120" s="13">
        <v>163</v>
      </c>
      <c r="G120" t="s">
        <v>836</v>
      </c>
    </row>
    <row r="121" spans="1:7" x14ac:dyDescent="0.3">
      <c r="A121" s="13" t="s">
        <v>269</v>
      </c>
      <c r="B121" s="13">
        <v>2271</v>
      </c>
      <c r="C121" s="13">
        <v>2048</v>
      </c>
      <c r="D121" s="13" t="s">
        <v>1103</v>
      </c>
      <c r="E121" s="13">
        <v>10108</v>
      </c>
      <c r="F121" s="13">
        <v>18679</v>
      </c>
      <c r="G121" t="s">
        <v>836</v>
      </c>
    </row>
    <row r="122" spans="1:7" x14ac:dyDescent="0.3">
      <c r="A122" s="13" t="s">
        <v>936</v>
      </c>
      <c r="B122" s="13">
        <v>1840</v>
      </c>
      <c r="C122" s="13">
        <v>1337</v>
      </c>
      <c r="D122" s="13" t="s">
        <v>1103</v>
      </c>
      <c r="E122" s="13">
        <v>2273</v>
      </c>
      <c r="F122" s="13">
        <v>5897</v>
      </c>
      <c r="G122" t="s">
        <v>836</v>
      </c>
    </row>
    <row r="123" spans="1:7" x14ac:dyDescent="0.3">
      <c r="A123" s="13" t="s">
        <v>277</v>
      </c>
      <c r="B123" s="13">
        <v>1038</v>
      </c>
      <c r="C123" s="13">
        <v>1463</v>
      </c>
      <c r="D123" s="13" t="s">
        <v>1101</v>
      </c>
      <c r="E123" s="13">
        <v>10982</v>
      </c>
      <c r="F123" s="13">
        <v>24493</v>
      </c>
      <c r="G123" t="s">
        <v>836</v>
      </c>
    </row>
    <row r="124" spans="1:7" x14ac:dyDescent="0.3">
      <c r="A124" s="13" t="s">
        <v>283</v>
      </c>
      <c r="B124" s="13">
        <v>86.52</v>
      </c>
      <c r="C124" s="13">
        <v>176238</v>
      </c>
      <c r="D124" s="13" t="s">
        <v>1101</v>
      </c>
      <c r="E124" s="13">
        <v>297590</v>
      </c>
      <c r="F124" s="13">
        <v>804563</v>
      </c>
      <c r="G124" t="s">
        <v>836</v>
      </c>
    </row>
    <row r="125" spans="1:7" x14ac:dyDescent="0.3">
      <c r="A125" s="13" t="s">
        <v>252</v>
      </c>
      <c r="B125" s="13">
        <v>326.7</v>
      </c>
      <c r="C125" s="13">
        <v>4594</v>
      </c>
      <c r="D125" s="13" t="s">
        <v>1103</v>
      </c>
      <c r="E125" s="13">
        <v>22278</v>
      </c>
      <c r="F125" s="13">
        <v>74474</v>
      </c>
      <c r="G125" t="s">
        <v>836</v>
      </c>
    </row>
    <row r="126" spans="1:7" x14ac:dyDescent="0.3">
      <c r="A126" s="13" t="s">
        <v>912</v>
      </c>
      <c r="B126" s="13">
        <v>565.04999999999995</v>
      </c>
      <c r="C126" s="13">
        <v>23037</v>
      </c>
      <c r="D126" s="13" t="s">
        <v>1101</v>
      </c>
      <c r="E126" s="13">
        <v>130416</v>
      </c>
      <c r="F126" s="13">
        <v>200512</v>
      </c>
      <c r="G126" t="s">
        <v>836</v>
      </c>
    </row>
    <row r="127" spans="1:7" x14ac:dyDescent="0.3">
      <c r="A127" s="13" t="s">
        <v>263</v>
      </c>
      <c r="B127" s="13">
        <v>1633</v>
      </c>
      <c r="C127" s="13">
        <v>390</v>
      </c>
      <c r="D127" s="13" t="s">
        <v>1103</v>
      </c>
      <c r="E127" s="13">
        <v>2728</v>
      </c>
      <c r="F127" s="13">
        <v>7797</v>
      </c>
      <c r="G127" t="s">
        <v>836</v>
      </c>
    </row>
    <row r="128" spans="1:7" x14ac:dyDescent="0.3">
      <c r="A128" s="13" t="s">
        <v>143</v>
      </c>
      <c r="B128" s="13">
        <v>421.15</v>
      </c>
      <c r="C128" s="13">
        <v>51349</v>
      </c>
      <c r="D128" s="13" t="s">
        <v>1101</v>
      </c>
      <c r="E128" s="13">
        <v>61466</v>
      </c>
      <c r="F128" s="13">
        <v>166541</v>
      </c>
      <c r="G128" t="s">
        <v>836</v>
      </c>
    </row>
    <row r="129" spans="1:7" x14ac:dyDescent="0.3">
      <c r="A129" s="13" t="s">
        <v>862</v>
      </c>
      <c r="B129" s="13">
        <v>3870</v>
      </c>
      <c r="C129" s="13">
        <v>17913</v>
      </c>
      <c r="D129" s="13" t="s">
        <v>1101</v>
      </c>
      <c r="E129" s="13">
        <v>56139</v>
      </c>
      <c r="F129" s="13">
        <v>124859</v>
      </c>
      <c r="G129" t="s">
        <v>836</v>
      </c>
    </row>
    <row r="130" spans="1:7" x14ac:dyDescent="0.3">
      <c r="A130" s="13" t="s">
        <v>267</v>
      </c>
      <c r="B130" s="13">
        <v>148.9</v>
      </c>
      <c r="C130" s="13">
        <v>22370</v>
      </c>
      <c r="D130" s="13" t="s">
        <v>1104</v>
      </c>
      <c r="E130" s="13">
        <v>167441</v>
      </c>
      <c r="F130" s="13">
        <v>353942</v>
      </c>
      <c r="G130" t="s">
        <v>836</v>
      </c>
    </row>
    <row r="131" spans="1:7" x14ac:dyDescent="0.3">
      <c r="A131" s="13" t="s">
        <v>173</v>
      </c>
      <c r="B131" s="13">
        <v>803</v>
      </c>
      <c r="C131" s="13">
        <v>536994</v>
      </c>
      <c r="D131" s="13" t="s">
        <v>1101</v>
      </c>
      <c r="E131" s="13">
        <v>323941</v>
      </c>
      <c r="F131" s="13">
        <v>842486</v>
      </c>
      <c r="G131" t="s">
        <v>836</v>
      </c>
    </row>
    <row r="132" spans="1:7" x14ac:dyDescent="0.3">
      <c r="A132" s="13" t="s">
        <v>259</v>
      </c>
      <c r="B132" s="13">
        <v>2949.4</v>
      </c>
      <c r="C132" s="13">
        <v>8737</v>
      </c>
      <c r="D132" s="13" t="s">
        <v>1101</v>
      </c>
      <c r="E132" s="13">
        <v>34757</v>
      </c>
      <c r="F132" s="13">
        <v>63111</v>
      </c>
      <c r="G132" t="s">
        <v>836</v>
      </c>
    </row>
    <row r="133" spans="1:7" x14ac:dyDescent="0.3">
      <c r="A133" s="13" t="s">
        <v>944</v>
      </c>
      <c r="B133" s="13">
        <v>1225.5</v>
      </c>
      <c r="C133" s="13">
        <v>5603</v>
      </c>
      <c r="D133" s="13" t="s">
        <v>1100</v>
      </c>
      <c r="E133" s="13">
        <v>24831</v>
      </c>
      <c r="F133" s="13">
        <v>25108</v>
      </c>
      <c r="G133" t="s">
        <v>836</v>
      </c>
    </row>
    <row r="134" spans="1:7" x14ac:dyDescent="0.3">
      <c r="A134" s="13" t="s">
        <v>187</v>
      </c>
      <c r="B134" s="13">
        <v>1414</v>
      </c>
      <c r="C134" s="13">
        <v>235998</v>
      </c>
      <c r="D134" s="13" t="s">
        <v>1101</v>
      </c>
      <c r="E134" s="13">
        <v>30726</v>
      </c>
      <c r="F134" s="13">
        <v>224701</v>
      </c>
      <c r="G134" t="s">
        <v>836</v>
      </c>
    </row>
    <row r="135" spans="1:7" x14ac:dyDescent="0.3">
      <c r="A135" s="13" t="s">
        <v>93</v>
      </c>
      <c r="B135" s="13">
        <v>313.60000000000002</v>
      </c>
      <c r="C135" s="13">
        <v>33190</v>
      </c>
      <c r="D135" s="13" t="s">
        <v>1101</v>
      </c>
      <c r="E135" s="13">
        <v>82010</v>
      </c>
      <c r="F135" s="13">
        <v>282278</v>
      </c>
      <c r="G135" t="s">
        <v>836</v>
      </c>
    </row>
    <row r="136" spans="1:7" x14ac:dyDescent="0.3">
      <c r="A136" s="13" t="s">
        <v>303</v>
      </c>
      <c r="B136" s="13">
        <v>1621</v>
      </c>
      <c r="C136" s="13">
        <v>2148</v>
      </c>
      <c r="D136" s="13" t="s">
        <v>1103</v>
      </c>
      <c r="E136" s="13">
        <v>7594</v>
      </c>
      <c r="F136" s="13">
        <v>14399</v>
      </c>
      <c r="G136" t="s">
        <v>836</v>
      </c>
    </row>
    <row r="137" spans="1:7" x14ac:dyDescent="0.3">
      <c r="A137" s="13" t="s">
        <v>848</v>
      </c>
      <c r="B137" s="13">
        <v>7476</v>
      </c>
      <c r="C137" s="13">
        <v>185</v>
      </c>
      <c r="D137" s="13" t="s">
        <v>1102</v>
      </c>
      <c r="E137" s="13">
        <v>2497</v>
      </c>
      <c r="F137" s="13">
        <v>7945</v>
      </c>
      <c r="G137" t="s">
        <v>836</v>
      </c>
    </row>
    <row r="138" spans="1:7" x14ac:dyDescent="0.3">
      <c r="A138" s="13" t="s">
        <v>860</v>
      </c>
      <c r="B138" s="13">
        <v>1615</v>
      </c>
      <c r="C138" s="13">
        <v>294</v>
      </c>
      <c r="D138" s="13" t="s">
        <v>1101</v>
      </c>
      <c r="E138" s="13">
        <v>4639</v>
      </c>
      <c r="F138" s="13">
        <v>8181</v>
      </c>
      <c r="G138" t="s">
        <v>836</v>
      </c>
    </row>
    <row r="139" spans="1:7" x14ac:dyDescent="0.3">
      <c r="A139" s="13" t="s">
        <v>365</v>
      </c>
      <c r="B139" s="13">
        <v>3374</v>
      </c>
      <c r="C139" s="13">
        <v>16078</v>
      </c>
      <c r="D139" s="13" t="s">
        <v>1101</v>
      </c>
      <c r="E139" s="13">
        <v>11297</v>
      </c>
      <c r="F139" s="13">
        <v>33451</v>
      </c>
      <c r="G139" t="s">
        <v>836</v>
      </c>
    </row>
    <row r="140" spans="1:7" x14ac:dyDescent="0.3">
      <c r="A140" s="13" t="s">
        <v>924</v>
      </c>
      <c r="B140" s="13">
        <v>1145</v>
      </c>
      <c r="C140" s="13">
        <v>5792</v>
      </c>
      <c r="D140" s="13" t="s">
        <v>1104</v>
      </c>
      <c r="E140" s="13">
        <v>8972</v>
      </c>
      <c r="F140" s="13">
        <v>21866</v>
      </c>
      <c r="G140" t="s">
        <v>836</v>
      </c>
    </row>
    <row r="141" spans="1:7" x14ac:dyDescent="0.3">
      <c r="A141" s="13" t="s">
        <v>139</v>
      </c>
      <c r="B141" s="13">
        <v>7380</v>
      </c>
      <c r="C141" s="13">
        <v>4967</v>
      </c>
      <c r="D141" s="13" t="s">
        <v>1101</v>
      </c>
      <c r="E141" s="13">
        <v>5084</v>
      </c>
      <c r="F141" s="13">
        <v>15398</v>
      </c>
      <c r="G141" t="s">
        <v>836</v>
      </c>
    </row>
    <row r="142" spans="1:7" x14ac:dyDescent="0.3">
      <c r="A142" s="13" t="s">
        <v>355</v>
      </c>
      <c r="B142" s="13">
        <v>190.6</v>
      </c>
      <c r="C142" s="13">
        <v>151040</v>
      </c>
      <c r="D142" s="13" t="s">
        <v>1101</v>
      </c>
      <c r="E142" s="13">
        <v>336825</v>
      </c>
      <c r="F142" s="13">
        <v>463325</v>
      </c>
      <c r="G142" t="s">
        <v>836</v>
      </c>
    </row>
    <row r="143" spans="1:7" x14ac:dyDescent="0.3">
      <c r="A143" s="13" t="s">
        <v>606</v>
      </c>
      <c r="B143" s="13">
        <v>3194</v>
      </c>
      <c r="C143" s="13">
        <v>34372</v>
      </c>
      <c r="D143" s="13" t="s">
        <v>1100</v>
      </c>
      <c r="E143" s="13">
        <v>23539</v>
      </c>
      <c r="F143" s="13">
        <v>73933</v>
      </c>
      <c r="G143" t="s">
        <v>836</v>
      </c>
    </row>
    <row r="144" spans="1:7" x14ac:dyDescent="0.3">
      <c r="A144" s="13" t="s">
        <v>179</v>
      </c>
      <c r="B144" s="13">
        <v>965</v>
      </c>
      <c r="C144" s="13">
        <v>39250</v>
      </c>
      <c r="D144" s="13" t="s">
        <v>1100</v>
      </c>
      <c r="E144" s="13">
        <v>50164</v>
      </c>
      <c r="F144" s="13">
        <v>71128</v>
      </c>
      <c r="G144" t="s">
        <v>836</v>
      </c>
    </row>
    <row r="145" spans="1:7" x14ac:dyDescent="0.3">
      <c r="A145" s="13" t="s">
        <v>215</v>
      </c>
      <c r="B145" s="13">
        <v>1063</v>
      </c>
      <c r="C145" s="13">
        <v>139879</v>
      </c>
      <c r="D145" s="13" t="s">
        <v>1101</v>
      </c>
      <c r="E145" s="13">
        <v>206641</v>
      </c>
      <c r="F145" s="13">
        <v>240558</v>
      </c>
      <c r="G145" t="s">
        <v>836</v>
      </c>
    </row>
    <row r="146" spans="1:7" x14ac:dyDescent="0.3">
      <c r="A146" s="13" t="s">
        <v>275</v>
      </c>
      <c r="B146" s="13">
        <v>340</v>
      </c>
      <c r="C146" s="13">
        <v>88352</v>
      </c>
      <c r="D146" s="13" t="s">
        <v>1101</v>
      </c>
      <c r="E146" s="13">
        <v>210540</v>
      </c>
      <c r="F146" s="13">
        <v>256486</v>
      </c>
      <c r="G146" t="s">
        <v>836</v>
      </c>
    </row>
    <row r="147" spans="1:7" x14ac:dyDescent="0.3">
      <c r="A147" s="13" t="s">
        <v>169</v>
      </c>
      <c r="B147" s="13">
        <v>1127.0999999999999</v>
      </c>
      <c r="C147" s="13">
        <v>135667</v>
      </c>
      <c r="D147" s="13" t="s">
        <v>1101</v>
      </c>
      <c r="E147" s="13">
        <v>73742</v>
      </c>
      <c r="F147" s="13">
        <v>93269</v>
      </c>
      <c r="G147" t="s">
        <v>836</v>
      </c>
    </row>
    <row r="148" spans="1:7" x14ac:dyDescent="0.3">
      <c r="A148" s="13" t="s">
        <v>333</v>
      </c>
      <c r="B148" s="13">
        <v>1081.5</v>
      </c>
      <c r="C148" s="13">
        <v>90328</v>
      </c>
      <c r="D148" s="13" t="s">
        <v>1101</v>
      </c>
      <c r="E148" s="13">
        <v>52395</v>
      </c>
      <c r="F148" s="13">
        <v>66983</v>
      </c>
      <c r="G148" t="s">
        <v>836</v>
      </c>
    </row>
    <row r="149" spans="1:7" x14ac:dyDescent="0.3">
      <c r="A149" s="13" t="s">
        <v>888</v>
      </c>
      <c r="B149" s="13">
        <v>539.20000000000005</v>
      </c>
      <c r="C149" s="13">
        <v>86313</v>
      </c>
      <c r="D149" s="13" t="s">
        <v>1100</v>
      </c>
      <c r="E149" s="13">
        <v>112647</v>
      </c>
      <c r="F149" s="13">
        <v>220309</v>
      </c>
      <c r="G149" t="s">
        <v>836</v>
      </c>
    </row>
    <row r="150" spans="1:7" x14ac:dyDescent="0.3">
      <c r="A150" s="13" t="s">
        <v>123</v>
      </c>
      <c r="B150" s="13">
        <v>5690</v>
      </c>
      <c r="C150" s="13">
        <v>7532</v>
      </c>
      <c r="D150" s="13" t="s">
        <v>1101</v>
      </c>
      <c r="E150" s="13">
        <v>2419</v>
      </c>
      <c r="F150" s="13">
        <v>3931</v>
      </c>
      <c r="G150" t="s">
        <v>836</v>
      </c>
    </row>
    <row r="151" spans="1:7" x14ac:dyDescent="0.3">
      <c r="A151" s="13" t="s">
        <v>910</v>
      </c>
      <c r="B151" s="13">
        <v>880</v>
      </c>
      <c r="C151" s="13">
        <v>2588</v>
      </c>
      <c r="D151" s="13" t="s">
        <v>1099</v>
      </c>
      <c r="E151" s="13">
        <v>20729</v>
      </c>
      <c r="F151" s="13">
        <v>26284</v>
      </c>
      <c r="G151" t="s">
        <v>836</v>
      </c>
    </row>
    <row r="152" spans="1:7" x14ac:dyDescent="0.3">
      <c r="A152" s="13" t="s">
        <v>299</v>
      </c>
      <c r="B152" s="13">
        <v>278.8</v>
      </c>
      <c r="C152" s="13">
        <v>6721</v>
      </c>
      <c r="D152" s="13" t="s">
        <v>1103</v>
      </c>
      <c r="E152" s="13">
        <v>26329</v>
      </c>
      <c r="F152" s="13">
        <v>60777</v>
      </c>
      <c r="G152" t="s">
        <v>836</v>
      </c>
    </row>
    <row r="153" spans="1:7" x14ac:dyDescent="0.3">
      <c r="A153" s="13" t="s">
        <v>840</v>
      </c>
      <c r="B153" s="13">
        <v>1084</v>
      </c>
      <c r="C153" s="13">
        <v>637</v>
      </c>
      <c r="D153" s="13" t="s">
        <v>1102</v>
      </c>
      <c r="E153" s="13">
        <v>12139</v>
      </c>
      <c r="F153" s="13">
        <v>27755</v>
      </c>
      <c r="G153" t="s">
        <v>836</v>
      </c>
    </row>
    <row r="154" spans="1:7" x14ac:dyDescent="0.3">
      <c r="A154" s="13" t="s">
        <v>948</v>
      </c>
      <c r="B154" s="13">
        <v>2037.1</v>
      </c>
      <c r="C154" s="13">
        <v>1658</v>
      </c>
      <c r="D154" s="13" t="s">
        <v>1103</v>
      </c>
      <c r="E154" s="13">
        <v>2058</v>
      </c>
      <c r="F154" s="13">
        <v>4221</v>
      </c>
      <c r="G154" t="s">
        <v>836</v>
      </c>
    </row>
    <row r="155" spans="1:7" x14ac:dyDescent="0.3">
      <c r="A155" s="13" t="s">
        <v>986</v>
      </c>
      <c r="B155" s="13">
        <v>1135</v>
      </c>
      <c r="C155" s="13">
        <v>1924</v>
      </c>
      <c r="D155" s="13" t="s">
        <v>1098</v>
      </c>
      <c r="E155" s="13">
        <v>17884</v>
      </c>
      <c r="F155" s="13">
        <v>22954</v>
      </c>
      <c r="G155" t="s">
        <v>836</v>
      </c>
    </row>
    <row r="156" spans="1:7" x14ac:dyDescent="0.3">
      <c r="A156" s="13" t="s">
        <v>379</v>
      </c>
      <c r="B156" s="13">
        <v>176.2</v>
      </c>
      <c r="C156" s="13">
        <v>271063</v>
      </c>
      <c r="D156" s="13" t="s">
        <v>1101</v>
      </c>
      <c r="E156" s="13">
        <v>541924</v>
      </c>
      <c r="F156" s="13">
        <v>1315431</v>
      </c>
      <c r="G156" t="s">
        <v>836</v>
      </c>
    </row>
    <row r="157" spans="1:7" x14ac:dyDescent="0.3">
      <c r="A157" s="13" t="s">
        <v>858</v>
      </c>
      <c r="B157" s="13">
        <v>1405</v>
      </c>
      <c r="C157" s="13">
        <v>37126</v>
      </c>
      <c r="D157" s="13" t="s">
        <v>1101</v>
      </c>
      <c r="E157" s="13">
        <v>64934</v>
      </c>
      <c r="F157" s="13">
        <v>100940</v>
      </c>
      <c r="G157" t="s">
        <v>836</v>
      </c>
    </row>
    <row r="158" spans="1:7" x14ac:dyDescent="0.3">
      <c r="A158" s="13" t="s">
        <v>175</v>
      </c>
      <c r="B158" s="13">
        <v>580</v>
      </c>
      <c r="C158" s="13">
        <v>12563</v>
      </c>
      <c r="D158" s="13" t="s">
        <v>1104</v>
      </c>
      <c r="E158" s="13">
        <v>34467</v>
      </c>
      <c r="F158" s="13">
        <v>47381</v>
      </c>
      <c r="G158" t="s">
        <v>836</v>
      </c>
    </row>
    <row r="159" spans="1:7" x14ac:dyDescent="0.3">
      <c r="A159" s="13" t="s">
        <v>357</v>
      </c>
      <c r="B159" s="13">
        <v>2100</v>
      </c>
      <c r="C159" s="13">
        <v>58400</v>
      </c>
      <c r="D159" s="13" t="s">
        <v>1101</v>
      </c>
      <c r="E159" s="13">
        <v>65688</v>
      </c>
      <c r="F159" s="13">
        <v>133366</v>
      </c>
      <c r="G159" t="s">
        <v>836</v>
      </c>
    </row>
    <row r="160" spans="1:7" x14ac:dyDescent="0.3">
      <c r="A160" s="13" t="s">
        <v>367</v>
      </c>
      <c r="B160" s="13">
        <v>3674.9</v>
      </c>
      <c r="C160" s="13">
        <v>7501</v>
      </c>
      <c r="D160" s="13" t="s">
        <v>1101</v>
      </c>
      <c r="E160" s="13">
        <v>5669</v>
      </c>
      <c r="F160" s="13">
        <v>12615</v>
      </c>
      <c r="G160" t="s">
        <v>836</v>
      </c>
    </row>
    <row r="161" spans="1:7" x14ac:dyDescent="0.3">
      <c r="A161" s="13" t="s">
        <v>976</v>
      </c>
      <c r="B161" s="13">
        <v>3719.9</v>
      </c>
      <c r="C161" s="13">
        <v>1232</v>
      </c>
      <c r="D161" s="13" t="s">
        <v>1104</v>
      </c>
      <c r="E161" s="13">
        <v>12307</v>
      </c>
      <c r="F161" s="13">
        <v>12860</v>
      </c>
      <c r="G161" t="s">
        <v>836</v>
      </c>
    </row>
    <row r="162" spans="1:7" x14ac:dyDescent="0.3">
      <c r="A162" s="13" t="s">
        <v>988</v>
      </c>
      <c r="B162" s="13">
        <v>517.5</v>
      </c>
      <c r="C162" s="13">
        <v>11658</v>
      </c>
      <c r="D162" s="13" t="s">
        <v>1102</v>
      </c>
      <c r="E162" s="13">
        <v>59438</v>
      </c>
      <c r="F162" s="13">
        <v>145706</v>
      </c>
      <c r="G162" t="s">
        <v>836</v>
      </c>
    </row>
    <row r="163" spans="1:7" x14ac:dyDescent="0.3">
      <c r="A163" s="13" t="s">
        <v>30</v>
      </c>
      <c r="B163" s="13">
        <v>396.4</v>
      </c>
      <c r="C163" s="13">
        <v>9808</v>
      </c>
      <c r="D163" s="13" t="s">
        <v>1104</v>
      </c>
      <c r="E163" s="13">
        <v>31044</v>
      </c>
      <c r="F163" s="13">
        <v>108829</v>
      </c>
      <c r="G163" t="s">
        <v>836</v>
      </c>
    </row>
    <row r="164" spans="1:7" x14ac:dyDescent="0.3">
      <c r="A164" s="13" t="s">
        <v>203</v>
      </c>
      <c r="B164" s="13">
        <v>725.05</v>
      </c>
      <c r="C164" s="13">
        <v>1200</v>
      </c>
      <c r="D164" s="13" t="s">
        <v>1100</v>
      </c>
      <c r="E164" s="13">
        <v>14199</v>
      </c>
      <c r="F164" s="13">
        <v>38328</v>
      </c>
      <c r="G164" t="s">
        <v>836</v>
      </c>
    </row>
    <row r="165" spans="1:7" x14ac:dyDescent="0.3">
      <c r="A165" s="13" t="s">
        <v>932</v>
      </c>
      <c r="B165" s="13">
        <v>103.7</v>
      </c>
      <c r="C165" s="13">
        <v>33464</v>
      </c>
      <c r="D165" s="13" t="s">
        <v>1101</v>
      </c>
      <c r="E165" s="13">
        <v>482107</v>
      </c>
      <c r="F165" s="13">
        <v>507599</v>
      </c>
      <c r="G165" t="s">
        <v>836</v>
      </c>
    </row>
    <row r="166" spans="1:7" x14ac:dyDescent="0.3">
      <c r="A166" s="13" t="s">
        <v>898</v>
      </c>
      <c r="B166" s="13">
        <v>91.4</v>
      </c>
      <c r="C166" s="13">
        <v>44309</v>
      </c>
      <c r="D166" s="13" t="s">
        <v>1100</v>
      </c>
      <c r="E166" s="13">
        <v>411099</v>
      </c>
      <c r="F166" s="13">
        <v>1420656</v>
      </c>
      <c r="G166" t="s">
        <v>836</v>
      </c>
    </row>
    <row r="167" spans="1:7" x14ac:dyDescent="0.3">
      <c r="A167" s="13" t="s">
        <v>157</v>
      </c>
      <c r="B167" s="13">
        <v>1980</v>
      </c>
      <c r="C167" s="13">
        <v>2161</v>
      </c>
      <c r="D167" s="13" t="s">
        <v>1099</v>
      </c>
      <c r="E167" s="13">
        <v>5841</v>
      </c>
      <c r="F167" s="13">
        <v>15252</v>
      </c>
      <c r="G167" t="s">
        <v>836</v>
      </c>
    </row>
    <row r="168" spans="1:7" x14ac:dyDescent="0.3">
      <c r="A168" s="13" t="s">
        <v>878</v>
      </c>
      <c r="B168" s="13">
        <v>19480</v>
      </c>
      <c r="C168" s="13">
        <v>897</v>
      </c>
      <c r="D168" s="13" t="s">
        <v>1102</v>
      </c>
      <c r="E168" s="13">
        <v>2991</v>
      </c>
      <c r="F168" s="13">
        <v>4036</v>
      </c>
      <c r="G168" t="s">
        <v>836</v>
      </c>
    </row>
    <row r="169" spans="1:7" x14ac:dyDescent="0.3">
      <c r="A169" s="13" t="s">
        <v>872</v>
      </c>
      <c r="B169" s="13">
        <v>512.25</v>
      </c>
      <c r="C169" s="13">
        <v>14614</v>
      </c>
      <c r="D169" s="13" t="s">
        <v>1101</v>
      </c>
      <c r="E169" s="13">
        <v>34450</v>
      </c>
      <c r="F169" s="13">
        <v>66232</v>
      </c>
      <c r="G169" t="s">
        <v>836</v>
      </c>
    </row>
    <row r="170" spans="1:7" x14ac:dyDescent="0.3">
      <c r="A170" s="13" t="s">
        <v>43</v>
      </c>
      <c r="B170" s="13">
        <v>431.7</v>
      </c>
      <c r="C170" s="13">
        <v>8202</v>
      </c>
      <c r="D170" s="13" t="s">
        <v>1102</v>
      </c>
      <c r="E170" s="13">
        <v>42748</v>
      </c>
      <c r="F170" s="13">
        <v>138908</v>
      </c>
      <c r="G170" t="s">
        <v>836</v>
      </c>
    </row>
    <row r="171" spans="1:7" x14ac:dyDescent="0.3">
      <c r="A171" s="13" t="s">
        <v>321</v>
      </c>
      <c r="B171" s="13">
        <v>1312</v>
      </c>
      <c r="C171" s="13">
        <v>65047</v>
      </c>
      <c r="D171" s="13" t="s">
        <v>1101</v>
      </c>
      <c r="E171" s="13">
        <v>202658</v>
      </c>
      <c r="F171" s="13">
        <v>460385</v>
      </c>
      <c r="G171" t="s">
        <v>836</v>
      </c>
    </row>
    <row r="172" spans="1:7" x14ac:dyDescent="0.3">
      <c r="A172" s="13" t="s">
        <v>319</v>
      </c>
      <c r="B172" s="13">
        <v>372</v>
      </c>
      <c r="C172" s="13">
        <v>7682</v>
      </c>
      <c r="D172" s="13" t="s">
        <v>1102</v>
      </c>
      <c r="E172" s="13">
        <v>151037</v>
      </c>
      <c r="F172" s="13">
        <v>350533</v>
      </c>
      <c r="G172" t="s">
        <v>836</v>
      </c>
    </row>
    <row r="173" spans="1:7" x14ac:dyDescent="0.3">
      <c r="A173" s="13" t="s">
        <v>183</v>
      </c>
      <c r="B173" s="13">
        <v>402.05</v>
      </c>
      <c r="C173" s="13">
        <v>7402</v>
      </c>
      <c r="D173" s="13" t="s">
        <v>1102</v>
      </c>
      <c r="E173" s="13">
        <v>68270</v>
      </c>
      <c r="F173" s="13">
        <v>149858</v>
      </c>
      <c r="G173" t="s">
        <v>836</v>
      </c>
    </row>
    <row r="174" spans="1:7" x14ac:dyDescent="0.3">
      <c r="A174" s="13" t="s">
        <v>171</v>
      </c>
      <c r="B174" s="13">
        <v>2777</v>
      </c>
      <c r="C174" s="13">
        <v>1435</v>
      </c>
      <c r="D174" s="13" t="s">
        <v>1099</v>
      </c>
      <c r="E174" s="13">
        <v>4023</v>
      </c>
      <c r="F174" s="13">
        <v>8169</v>
      </c>
      <c r="G174" t="s">
        <v>836</v>
      </c>
    </row>
    <row r="175" spans="1:7" x14ac:dyDescent="0.3">
      <c r="A175" s="13" t="s">
        <v>105</v>
      </c>
      <c r="B175" s="13">
        <v>1800</v>
      </c>
      <c r="C175" s="13">
        <v>1534</v>
      </c>
      <c r="D175" s="13" t="s">
        <v>1098</v>
      </c>
      <c r="E175" s="13">
        <v>4429</v>
      </c>
      <c r="F175" s="13">
        <v>10180</v>
      </c>
      <c r="G175" t="s">
        <v>836</v>
      </c>
    </row>
    <row r="176" spans="1:7" x14ac:dyDescent="0.3">
      <c r="A176" s="13" t="s">
        <v>115</v>
      </c>
      <c r="B176" s="13">
        <v>480</v>
      </c>
      <c r="C176" s="13">
        <v>696</v>
      </c>
      <c r="D176" s="13" t="s">
        <v>1098</v>
      </c>
      <c r="E176" s="13">
        <v>26104</v>
      </c>
      <c r="F176" s="13">
        <v>170675</v>
      </c>
      <c r="G176" t="s">
        <v>836</v>
      </c>
    </row>
    <row r="177" spans="1:7" x14ac:dyDescent="0.3">
      <c r="A177" s="13" t="s">
        <v>866</v>
      </c>
      <c r="B177" s="13">
        <v>1357.9</v>
      </c>
      <c r="C177" s="13">
        <v>6451</v>
      </c>
      <c r="D177" s="13" t="s">
        <v>1101</v>
      </c>
      <c r="E177" s="13">
        <v>22555</v>
      </c>
      <c r="F177" s="13">
        <v>125490</v>
      </c>
      <c r="G177" t="s">
        <v>836</v>
      </c>
    </row>
    <row r="178" spans="1:7" x14ac:dyDescent="0.3">
      <c r="A178" s="13" t="s">
        <v>846</v>
      </c>
      <c r="B178" s="13">
        <v>225.75</v>
      </c>
      <c r="C178" s="13">
        <v>75829</v>
      </c>
      <c r="D178" s="13" t="s">
        <v>1101</v>
      </c>
      <c r="E178" s="13">
        <v>302885</v>
      </c>
      <c r="F178" s="13">
        <v>559621</v>
      </c>
      <c r="G178" t="s">
        <v>836</v>
      </c>
    </row>
    <row r="179" spans="1:7" x14ac:dyDescent="0.3">
      <c r="A179" s="13" t="s">
        <v>242</v>
      </c>
      <c r="B179" s="13">
        <v>4080</v>
      </c>
      <c r="C179" s="13">
        <v>9052</v>
      </c>
      <c r="D179" s="13" t="s">
        <v>1101</v>
      </c>
      <c r="E179" s="13">
        <v>36794</v>
      </c>
      <c r="F179" s="13">
        <v>54439</v>
      </c>
      <c r="G179" t="s">
        <v>836</v>
      </c>
    </row>
    <row r="180" spans="1:7" x14ac:dyDescent="0.3">
      <c r="A180" s="13" t="s">
        <v>946</v>
      </c>
      <c r="B180" s="13">
        <v>564</v>
      </c>
      <c r="C180" s="13">
        <v>3613</v>
      </c>
      <c r="D180" s="13" t="s">
        <v>1104</v>
      </c>
      <c r="E180" s="13">
        <v>11493</v>
      </c>
      <c r="F180" s="13">
        <v>69657</v>
      </c>
      <c r="G180" t="s">
        <v>836</v>
      </c>
    </row>
    <row r="181" spans="1:7" x14ac:dyDescent="0.3">
      <c r="A181" s="13" t="s">
        <v>906</v>
      </c>
      <c r="B181" s="13">
        <v>3174.9</v>
      </c>
      <c r="C181" s="13">
        <v>2523</v>
      </c>
      <c r="D181" s="13" t="s">
        <v>1100</v>
      </c>
      <c r="E181" s="13">
        <v>26222</v>
      </c>
      <c r="F181" s="13">
        <v>33704</v>
      </c>
      <c r="G181" t="s">
        <v>836</v>
      </c>
    </row>
    <row r="182" spans="1:7" x14ac:dyDescent="0.3">
      <c r="A182" s="13" t="s">
        <v>309</v>
      </c>
      <c r="B182" s="13">
        <v>9688</v>
      </c>
      <c r="C182" s="13">
        <v>134</v>
      </c>
      <c r="D182" s="13" t="s">
        <v>1103</v>
      </c>
      <c r="E182" s="13">
        <v>2637</v>
      </c>
      <c r="F182" s="13">
        <v>7109</v>
      </c>
      <c r="G182" t="s">
        <v>836</v>
      </c>
    </row>
    <row r="183" spans="1:7" x14ac:dyDescent="0.3">
      <c r="A183" s="13" t="s">
        <v>900</v>
      </c>
      <c r="B183" s="13">
        <v>241.05</v>
      </c>
      <c r="C183" s="13">
        <v>48126</v>
      </c>
      <c r="D183" s="13" t="s">
        <v>1101</v>
      </c>
      <c r="E183" s="13">
        <v>378731</v>
      </c>
      <c r="F183" s="13">
        <v>557662</v>
      </c>
      <c r="G183" t="s">
        <v>836</v>
      </c>
    </row>
    <row r="184" spans="1:7" x14ac:dyDescent="0.3">
      <c r="A184" s="13" t="s">
        <v>956</v>
      </c>
      <c r="B184" s="13">
        <v>1056</v>
      </c>
      <c r="C184" s="13">
        <v>1526</v>
      </c>
      <c r="D184" s="13" t="s">
        <v>1104</v>
      </c>
      <c r="E184" s="13">
        <v>10709</v>
      </c>
      <c r="F184" s="13">
        <v>33542</v>
      </c>
      <c r="G184" t="s">
        <v>836</v>
      </c>
    </row>
    <row r="185" spans="1:7" x14ac:dyDescent="0.3">
      <c r="A185" s="13" t="s">
        <v>994</v>
      </c>
      <c r="B185" s="13">
        <v>24.38</v>
      </c>
      <c r="C185" s="13">
        <v>295034</v>
      </c>
      <c r="D185" s="13" t="s">
        <v>1101</v>
      </c>
      <c r="E185" s="13">
        <v>1948745</v>
      </c>
      <c r="F185" s="13">
        <v>4753039</v>
      </c>
      <c r="G185" t="s">
        <v>836</v>
      </c>
    </row>
    <row r="186" spans="1:7" x14ac:dyDescent="0.3">
      <c r="A186" s="13" t="s">
        <v>992</v>
      </c>
      <c r="B186" s="13">
        <v>2895.2</v>
      </c>
      <c r="C186" s="13">
        <v>2677</v>
      </c>
      <c r="D186" s="13" t="s">
        <v>1101</v>
      </c>
      <c r="E186" s="13">
        <v>15608</v>
      </c>
      <c r="F186" s="13">
        <v>26873</v>
      </c>
      <c r="G186" t="s">
        <v>836</v>
      </c>
    </row>
    <row r="187" spans="1:7" x14ac:dyDescent="0.3">
      <c r="A187" s="13" t="s">
        <v>45</v>
      </c>
      <c r="B187" s="13">
        <v>8743</v>
      </c>
      <c r="C187" s="13">
        <v>3031</v>
      </c>
      <c r="D187" s="13" t="s">
        <v>1101</v>
      </c>
      <c r="E187" s="13">
        <v>1557</v>
      </c>
      <c r="F187" s="13">
        <v>4118</v>
      </c>
      <c r="G187" t="s">
        <v>836</v>
      </c>
    </row>
    <row r="188" spans="1:7" x14ac:dyDescent="0.3">
      <c r="A188" s="13" t="s">
        <v>85</v>
      </c>
      <c r="B188" s="13">
        <v>1890</v>
      </c>
      <c r="C188" s="13">
        <v>149623</v>
      </c>
      <c r="D188" s="13" t="s">
        <v>1100</v>
      </c>
      <c r="E188" s="13">
        <v>41044</v>
      </c>
      <c r="F188" s="13">
        <v>75833</v>
      </c>
      <c r="G188" t="s">
        <v>836</v>
      </c>
    </row>
    <row r="189" spans="1:7" x14ac:dyDescent="0.3">
      <c r="A189" s="13" t="s">
        <v>896</v>
      </c>
      <c r="B189" s="13">
        <v>129.62</v>
      </c>
      <c r="C189" s="13">
        <v>24270</v>
      </c>
      <c r="D189" s="13" t="s">
        <v>1099</v>
      </c>
      <c r="E189" s="13">
        <v>153652</v>
      </c>
      <c r="F189" s="13">
        <v>405981</v>
      </c>
      <c r="G189" t="s">
        <v>836</v>
      </c>
    </row>
    <row r="190" spans="1:7" x14ac:dyDescent="0.3">
      <c r="A190" s="13" t="s">
        <v>199</v>
      </c>
      <c r="B190" s="13">
        <v>124.5</v>
      </c>
      <c r="C190" s="13">
        <v>17714</v>
      </c>
      <c r="D190" s="13" t="s">
        <v>1099</v>
      </c>
      <c r="E190" s="13">
        <v>151976</v>
      </c>
      <c r="F190" s="13">
        <v>342581</v>
      </c>
      <c r="G190" t="s">
        <v>836</v>
      </c>
    </row>
    <row r="191" spans="1:7" x14ac:dyDescent="0.3">
      <c r="A191" s="13" t="s">
        <v>49</v>
      </c>
      <c r="B191" s="13">
        <v>166</v>
      </c>
      <c r="C191" s="13">
        <v>102426</v>
      </c>
      <c r="D191" s="13" t="s">
        <v>1100</v>
      </c>
      <c r="E191" s="13">
        <v>444301</v>
      </c>
      <c r="F191" s="13">
        <v>725705</v>
      </c>
      <c r="G191" t="s">
        <v>836</v>
      </c>
    </row>
    <row r="192" spans="1:7" x14ac:dyDescent="0.3">
      <c r="A192" s="13" t="s">
        <v>133</v>
      </c>
      <c r="B192" s="13">
        <v>12470</v>
      </c>
      <c r="C192" s="13">
        <v>1553</v>
      </c>
      <c r="D192" s="13" t="s">
        <v>1101</v>
      </c>
      <c r="E192" s="13">
        <v>6964</v>
      </c>
      <c r="F192" s="13">
        <v>13496</v>
      </c>
      <c r="G192" t="s">
        <v>836</v>
      </c>
    </row>
    <row r="193" spans="1:7" x14ac:dyDescent="0.3">
      <c r="A193" s="13" t="s">
        <v>876</v>
      </c>
      <c r="B193" s="13">
        <v>281.95</v>
      </c>
      <c r="C193" s="13">
        <v>103042</v>
      </c>
      <c r="D193" s="13" t="s">
        <v>1101</v>
      </c>
      <c r="E193" s="13">
        <v>186399</v>
      </c>
      <c r="F193" s="13">
        <v>540027</v>
      </c>
      <c r="G193" t="s">
        <v>836</v>
      </c>
    </row>
    <row r="194" spans="1:7" x14ac:dyDescent="0.3">
      <c r="A194" s="13" t="s">
        <v>79</v>
      </c>
      <c r="B194" s="13">
        <v>418.6</v>
      </c>
      <c r="C194" s="13">
        <v>64440</v>
      </c>
      <c r="D194" s="13" t="s">
        <v>1101</v>
      </c>
      <c r="E194" s="13">
        <v>328472</v>
      </c>
      <c r="F194" s="13">
        <v>793843</v>
      </c>
      <c r="G194" t="s">
        <v>836</v>
      </c>
    </row>
    <row r="195" spans="1:7" x14ac:dyDescent="0.3">
      <c r="A195" s="13" t="s">
        <v>918</v>
      </c>
      <c r="B195" s="13">
        <v>318</v>
      </c>
      <c r="C195" s="13">
        <v>25016</v>
      </c>
      <c r="D195" s="13" t="s">
        <v>1104</v>
      </c>
      <c r="E195" s="13">
        <v>89830</v>
      </c>
      <c r="F195" s="13">
        <v>130924</v>
      </c>
      <c r="G195" t="s">
        <v>836</v>
      </c>
    </row>
    <row r="196" spans="1:7" x14ac:dyDescent="0.3">
      <c r="A196" s="13" t="s">
        <v>325</v>
      </c>
      <c r="B196" s="13">
        <v>609.85</v>
      </c>
      <c r="C196" s="13">
        <v>2142</v>
      </c>
      <c r="D196" s="13" t="s">
        <v>1100</v>
      </c>
      <c r="E196" s="13">
        <v>18860</v>
      </c>
      <c r="F196" s="13">
        <v>36051</v>
      </c>
      <c r="G196" t="s">
        <v>836</v>
      </c>
    </row>
    <row r="197" spans="1:7" x14ac:dyDescent="0.3">
      <c r="A197" s="13" t="s">
        <v>225</v>
      </c>
      <c r="B197" s="13">
        <v>1052.4000000000001</v>
      </c>
      <c r="C197" s="13">
        <v>842</v>
      </c>
      <c r="D197" s="13" t="s">
        <v>1102</v>
      </c>
      <c r="E197" s="13">
        <v>7654</v>
      </c>
      <c r="F197" s="13">
        <v>11557</v>
      </c>
      <c r="G197" t="s">
        <v>836</v>
      </c>
    </row>
    <row r="198" spans="1:7" x14ac:dyDescent="0.3">
      <c r="A198" s="13" t="s">
        <v>83</v>
      </c>
      <c r="B198" s="13">
        <v>2160</v>
      </c>
      <c r="C198" s="13">
        <v>1965</v>
      </c>
      <c r="D198" s="13" t="s">
        <v>1101</v>
      </c>
      <c r="E198" s="13">
        <v>4065</v>
      </c>
      <c r="F198" s="13">
        <v>9372</v>
      </c>
      <c r="G198" t="s">
        <v>836</v>
      </c>
    </row>
    <row r="199" spans="1:7" x14ac:dyDescent="0.3">
      <c r="A199" s="13" t="s">
        <v>248</v>
      </c>
      <c r="B199" s="13">
        <v>2420</v>
      </c>
      <c r="C199" s="13">
        <v>4307</v>
      </c>
      <c r="D199" s="13" t="s">
        <v>1103</v>
      </c>
      <c r="E199" s="13">
        <v>3185</v>
      </c>
      <c r="F199" s="13">
        <v>25968</v>
      </c>
      <c r="G199" t="s">
        <v>836</v>
      </c>
    </row>
    <row r="200" spans="1:7" x14ac:dyDescent="0.3">
      <c r="A200" s="13" t="s">
        <v>301</v>
      </c>
      <c r="B200" s="13">
        <v>433</v>
      </c>
      <c r="C200" s="13">
        <v>13470</v>
      </c>
      <c r="D200" s="13" t="s">
        <v>1103</v>
      </c>
      <c r="E200" s="13">
        <v>48496</v>
      </c>
      <c r="F200" s="13">
        <v>105817</v>
      </c>
      <c r="G200" t="s">
        <v>836</v>
      </c>
    </row>
    <row r="201" spans="1:7" x14ac:dyDescent="0.3">
      <c r="A201" s="13" t="s">
        <v>109</v>
      </c>
      <c r="B201" s="13">
        <v>441.95</v>
      </c>
      <c r="C201" s="13">
        <v>11923</v>
      </c>
      <c r="D201" s="13" t="s">
        <v>1101</v>
      </c>
      <c r="E201" s="13">
        <v>127888</v>
      </c>
      <c r="F201" s="13">
        <v>200452</v>
      </c>
      <c r="G201" t="s">
        <v>836</v>
      </c>
    </row>
    <row r="202" spans="1:7" x14ac:dyDescent="0.3">
      <c r="A202" s="13" t="s">
        <v>317</v>
      </c>
      <c r="B202" s="13">
        <v>358</v>
      </c>
      <c r="C202" s="13">
        <v>4606</v>
      </c>
      <c r="D202" s="13" t="s">
        <v>1102</v>
      </c>
      <c r="E202" s="13">
        <v>34749</v>
      </c>
      <c r="F202" s="13">
        <v>79706</v>
      </c>
      <c r="G202" t="s">
        <v>836</v>
      </c>
    </row>
    <row r="203" spans="1:7" x14ac:dyDescent="0.3">
      <c r="A203" s="13" t="s">
        <v>185</v>
      </c>
      <c r="B203" s="13">
        <v>2224.9</v>
      </c>
      <c r="C203" s="13">
        <v>4928</v>
      </c>
      <c r="D203" s="13" t="s">
        <v>1101</v>
      </c>
      <c r="E203" s="13">
        <v>8034</v>
      </c>
      <c r="F203" s="13">
        <v>28809</v>
      </c>
      <c r="G203" t="s">
        <v>836</v>
      </c>
    </row>
    <row r="204" spans="1:7" x14ac:dyDescent="0.3">
      <c r="A204" s="13" t="s">
        <v>177</v>
      </c>
      <c r="B204" s="13">
        <v>4900</v>
      </c>
      <c r="C204" s="13">
        <v>1789</v>
      </c>
      <c r="D204" s="13" t="s">
        <v>1102</v>
      </c>
      <c r="E204" s="13">
        <v>5858</v>
      </c>
      <c r="F204" s="13">
        <v>17669</v>
      </c>
      <c r="G204" t="s">
        <v>836</v>
      </c>
    </row>
    <row r="205" spans="1:7" x14ac:dyDescent="0.3">
      <c r="A205" s="13" t="s">
        <v>99</v>
      </c>
      <c r="B205" s="13">
        <v>127.5</v>
      </c>
      <c r="C205" s="13">
        <v>107501</v>
      </c>
      <c r="D205" s="13" t="s">
        <v>1101</v>
      </c>
      <c r="E205" s="13">
        <v>416213</v>
      </c>
      <c r="F205" s="13">
        <v>2051254</v>
      </c>
      <c r="G205" t="s">
        <v>836</v>
      </c>
    </row>
    <row r="206" spans="1:7" x14ac:dyDescent="0.3">
      <c r="A206" s="13" t="s">
        <v>974</v>
      </c>
      <c r="B206" s="13">
        <v>250.9</v>
      </c>
      <c r="C206" s="13">
        <v>9498</v>
      </c>
      <c r="D206" s="13" t="s">
        <v>1101</v>
      </c>
      <c r="E206" s="13">
        <v>92254</v>
      </c>
      <c r="F206" s="13">
        <v>217898</v>
      </c>
      <c r="G206" t="s">
        <v>836</v>
      </c>
    </row>
    <row r="207" spans="1:7" x14ac:dyDescent="0.3">
      <c r="A207" s="13" t="s">
        <v>61</v>
      </c>
      <c r="B207" s="13">
        <v>1373</v>
      </c>
      <c r="C207" s="13">
        <v>12273</v>
      </c>
      <c r="D207" s="13" t="s">
        <v>1101</v>
      </c>
      <c r="E207" s="13">
        <v>18543</v>
      </c>
      <c r="F207" s="13">
        <v>54796</v>
      </c>
      <c r="G207" t="s">
        <v>836</v>
      </c>
    </row>
    <row r="208" spans="1:7" x14ac:dyDescent="0.3">
      <c r="A208" s="13" t="s">
        <v>137</v>
      </c>
      <c r="B208" s="13">
        <v>1356</v>
      </c>
      <c r="C208" s="13">
        <v>3630</v>
      </c>
      <c r="D208" s="13" t="s">
        <v>1102</v>
      </c>
      <c r="E208" s="13">
        <v>5724</v>
      </c>
      <c r="F208" s="13">
        <v>20897</v>
      </c>
      <c r="G208" t="s">
        <v>836</v>
      </c>
    </row>
    <row r="209" spans="1:7" x14ac:dyDescent="0.3">
      <c r="A209" s="13" t="s">
        <v>256</v>
      </c>
      <c r="B209" s="13">
        <v>14450</v>
      </c>
      <c r="C209" s="13">
        <v>925</v>
      </c>
      <c r="D209" s="13" t="s">
        <v>1104</v>
      </c>
      <c r="E209" s="13">
        <v>4281</v>
      </c>
      <c r="F209" s="13">
        <v>5742</v>
      </c>
      <c r="G209" t="s">
        <v>836</v>
      </c>
    </row>
    <row r="210" spans="1:7" x14ac:dyDescent="0.3">
      <c r="A210" s="13" t="s">
        <v>854</v>
      </c>
      <c r="B210" s="13">
        <v>10939</v>
      </c>
      <c r="C210" s="13">
        <v>117</v>
      </c>
      <c r="D210" s="13" t="s">
        <v>1099</v>
      </c>
      <c r="E210" s="13">
        <v>496</v>
      </c>
      <c r="F210" s="13">
        <v>1591</v>
      </c>
      <c r="G210" t="s">
        <v>836</v>
      </c>
    </row>
    <row r="211" spans="1:7" x14ac:dyDescent="0.3">
      <c r="A211" s="13" t="s">
        <v>57</v>
      </c>
      <c r="B211" s="13">
        <v>1064.9000000000001</v>
      </c>
      <c r="C211" s="13">
        <v>1872</v>
      </c>
      <c r="D211" s="13" t="s">
        <v>1098</v>
      </c>
      <c r="E211" s="13">
        <v>6679</v>
      </c>
      <c r="F211" s="13">
        <v>15588</v>
      </c>
      <c r="G211" t="s">
        <v>836</v>
      </c>
    </row>
    <row r="215" spans="1:7" x14ac:dyDescent="0.3">
      <c r="A215" s="13" t="s">
        <v>995</v>
      </c>
      <c r="B215" s="13" t="s">
        <v>996</v>
      </c>
      <c r="C215" s="13" t="s">
        <v>997</v>
      </c>
      <c r="D215" s="13" t="s">
        <v>998</v>
      </c>
      <c r="E215" s="13" t="s">
        <v>999</v>
      </c>
      <c r="F215" s="13" t="s">
        <v>1000</v>
      </c>
      <c r="G215" t="s">
        <v>1010</v>
      </c>
    </row>
    <row r="216" spans="1:7" x14ac:dyDescent="0.3">
      <c r="A216" s="13" t="s">
        <v>840</v>
      </c>
      <c r="B216" s="13">
        <v>1079.8</v>
      </c>
      <c r="C216" s="13">
        <v>1708</v>
      </c>
      <c r="D216" s="13" t="s">
        <v>1003</v>
      </c>
      <c r="E216" s="13">
        <v>2868</v>
      </c>
      <c r="F216" s="13">
        <v>26691</v>
      </c>
      <c r="G216" t="s">
        <v>836</v>
      </c>
    </row>
    <row r="217" spans="1:7" x14ac:dyDescent="0.3">
      <c r="A217" s="13" t="s">
        <v>26</v>
      </c>
      <c r="B217" s="13">
        <v>7000</v>
      </c>
      <c r="C217" s="13">
        <v>346</v>
      </c>
      <c r="D217" s="13" t="s">
        <v>1004</v>
      </c>
      <c r="E217" s="13">
        <v>2590</v>
      </c>
      <c r="F217" s="13">
        <v>7267</v>
      </c>
      <c r="G217" t="s">
        <v>836</v>
      </c>
    </row>
    <row r="218" spans="1:7" x14ac:dyDescent="0.3">
      <c r="A218" s="13" t="s">
        <v>30</v>
      </c>
      <c r="B218" s="13">
        <v>390</v>
      </c>
      <c r="C218" s="13">
        <v>7480</v>
      </c>
      <c r="D218" s="13" t="s">
        <v>1004</v>
      </c>
      <c r="E218" s="13">
        <v>25877</v>
      </c>
      <c r="F218" s="13">
        <v>76735</v>
      </c>
      <c r="G218" t="s">
        <v>836</v>
      </c>
    </row>
    <row r="219" spans="1:7" x14ac:dyDescent="0.3">
      <c r="A219" s="13" t="s">
        <v>842</v>
      </c>
      <c r="B219" s="13">
        <v>1505</v>
      </c>
      <c r="C219" s="13">
        <v>7295</v>
      </c>
      <c r="D219" s="13" t="s">
        <v>1003</v>
      </c>
      <c r="E219" s="13">
        <v>6581</v>
      </c>
      <c r="F219" s="13">
        <v>77901</v>
      </c>
      <c r="G219" t="s">
        <v>836</v>
      </c>
    </row>
    <row r="220" spans="1:7" x14ac:dyDescent="0.3">
      <c r="A220" s="13" t="s">
        <v>37</v>
      </c>
      <c r="B220" s="13">
        <v>3020</v>
      </c>
      <c r="C220" s="13">
        <v>12151</v>
      </c>
      <c r="D220" s="13" t="s">
        <v>1004</v>
      </c>
      <c r="E220" s="13">
        <v>8010</v>
      </c>
      <c r="F220" s="13">
        <v>36220</v>
      </c>
      <c r="G220" t="s">
        <v>836</v>
      </c>
    </row>
    <row r="221" spans="1:7" x14ac:dyDescent="0.3">
      <c r="A221" s="13" t="s">
        <v>844</v>
      </c>
      <c r="B221" s="13">
        <v>1506.9</v>
      </c>
      <c r="C221" s="13">
        <v>12399</v>
      </c>
      <c r="D221" s="13" t="s">
        <v>1005</v>
      </c>
      <c r="E221" s="13">
        <v>9156</v>
      </c>
      <c r="F221" s="13">
        <v>62030</v>
      </c>
      <c r="G221" t="s">
        <v>836</v>
      </c>
    </row>
    <row r="222" spans="1:7" x14ac:dyDescent="0.3">
      <c r="A222" s="13" t="s">
        <v>39</v>
      </c>
      <c r="B222" s="13">
        <v>1809.5</v>
      </c>
      <c r="C222" s="13">
        <v>21741</v>
      </c>
      <c r="D222" s="13" t="s">
        <v>1006</v>
      </c>
      <c r="E222" s="13">
        <v>14668</v>
      </c>
      <c r="F222" s="13">
        <v>39639</v>
      </c>
      <c r="G222" t="s">
        <v>836</v>
      </c>
    </row>
    <row r="223" spans="1:7" x14ac:dyDescent="0.3">
      <c r="A223" s="13" t="s">
        <v>846</v>
      </c>
      <c r="B223" s="13">
        <v>228.12</v>
      </c>
      <c r="C223" s="13">
        <v>152297</v>
      </c>
      <c r="D223" s="13" t="s">
        <v>1006</v>
      </c>
      <c r="E223" s="13">
        <v>145493</v>
      </c>
      <c r="F223" s="13">
        <v>1060914</v>
      </c>
      <c r="G223" t="s">
        <v>836</v>
      </c>
    </row>
    <row r="224" spans="1:7" x14ac:dyDescent="0.3">
      <c r="A224" s="13" t="s">
        <v>41</v>
      </c>
      <c r="B224" s="13">
        <v>5429</v>
      </c>
      <c r="C224" s="13">
        <v>75</v>
      </c>
      <c r="D224" s="13" t="s">
        <v>1004</v>
      </c>
      <c r="E224" s="13">
        <v>496</v>
      </c>
      <c r="F224" s="13">
        <v>2609</v>
      </c>
      <c r="G224" t="s">
        <v>836</v>
      </c>
    </row>
    <row r="225" spans="1:7" x14ac:dyDescent="0.3">
      <c r="A225" s="13" t="s">
        <v>848</v>
      </c>
      <c r="B225" s="13">
        <v>7684</v>
      </c>
      <c r="C225" s="13">
        <v>516</v>
      </c>
      <c r="D225" s="13" t="s">
        <v>1004</v>
      </c>
      <c r="E225" s="13">
        <v>3179</v>
      </c>
      <c r="F225" s="13">
        <v>10598</v>
      </c>
      <c r="G225" t="s">
        <v>836</v>
      </c>
    </row>
    <row r="226" spans="1:7" x14ac:dyDescent="0.3">
      <c r="A226" s="13" t="s">
        <v>43</v>
      </c>
      <c r="B226" s="13">
        <v>421.55</v>
      </c>
      <c r="C226" s="13">
        <v>6602</v>
      </c>
      <c r="D226" s="13" t="s">
        <v>1004</v>
      </c>
      <c r="E226" s="13">
        <v>47737</v>
      </c>
      <c r="F226" s="13">
        <v>93314</v>
      </c>
      <c r="G226" t="s">
        <v>836</v>
      </c>
    </row>
    <row r="227" spans="1:7" x14ac:dyDescent="0.3">
      <c r="A227" s="13" t="s">
        <v>850</v>
      </c>
      <c r="B227" s="13">
        <v>332.5</v>
      </c>
      <c r="C227" s="13">
        <v>8544</v>
      </c>
      <c r="D227" s="13" t="s">
        <v>1003</v>
      </c>
      <c r="E227" s="13">
        <v>28962</v>
      </c>
      <c r="F227" s="13">
        <v>122205</v>
      </c>
      <c r="G227" t="s">
        <v>836</v>
      </c>
    </row>
    <row r="228" spans="1:7" x14ac:dyDescent="0.3">
      <c r="A228" s="13" t="s">
        <v>852</v>
      </c>
      <c r="B228" s="13">
        <v>1799.9</v>
      </c>
      <c r="C228" s="13">
        <v>684</v>
      </c>
      <c r="D228" s="13" t="s">
        <v>1007</v>
      </c>
      <c r="E228" s="13">
        <v>5068</v>
      </c>
      <c r="F228" s="13">
        <v>10785</v>
      </c>
      <c r="G228" t="s">
        <v>836</v>
      </c>
    </row>
    <row r="229" spans="1:7" x14ac:dyDescent="0.3">
      <c r="A229" s="13" t="s">
        <v>45</v>
      </c>
      <c r="B229" s="13">
        <v>8700</v>
      </c>
      <c r="C229" s="13">
        <v>12555</v>
      </c>
      <c r="D229" s="13" t="s">
        <v>1005</v>
      </c>
      <c r="E229" s="13">
        <v>2622</v>
      </c>
      <c r="F229" s="13">
        <v>2829</v>
      </c>
      <c r="G229" t="s">
        <v>836</v>
      </c>
    </row>
    <row r="230" spans="1:7" x14ac:dyDescent="0.3">
      <c r="A230" s="13" t="s">
        <v>49</v>
      </c>
      <c r="B230" s="13">
        <v>160</v>
      </c>
      <c r="C230" s="13">
        <v>250918</v>
      </c>
      <c r="D230" s="13" t="s">
        <v>1005</v>
      </c>
      <c r="E230" s="13">
        <v>224641</v>
      </c>
      <c r="F230" s="13">
        <v>808314</v>
      </c>
      <c r="G230" t="s">
        <v>836</v>
      </c>
    </row>
    <row r="231" spans="1:7" x14ac:dyDescent="0.3">
      <c r="A231" s="13" t="s">
        <v>51</v>
      </c>
      <c r="B231" s="13">
        <v>2631.3</v>
      </c>
      <c r="C231" s="13">
        <v>9984</v>
      </c>
      <c r="D231" s="13" t="s">
        <v>1006</v>
      </c>
      <c r="E231" s="13">
        <v>3921</v>
      </c>
      <c r="F231" s="13">
        <v>20913</v>
      </c>
      <c r="G231" t="s">
        <v>836</v>
      </c>
    </row>
    <row r="232" spans="1:7" x14ac:dyDescent="0.3">
      <c r="A232" s="13" t="s">
        <v>53</v>
      </c>
      <c r="B232" s="13">
        <v>1417</v>
      </c>
      <c r="C232" s="13">
        <v>20353</v>
      </c>
      <c r="D232" s="13" t="s">
        <v>1005</v>
      </c>
      <c r="E232" s="13">
        <v>4560</v>
      </c>
      <c r="F232" s="13">
        <v>101854</v>
      </c>
      <c r="G232" t="s">
        <v>836</v>
      </c>
    </row>
    <row r="233" spans="1:7" x14ac:dyDescent="0.3">
      <c r="A233" s="13" t="s">
        <v>57</v>
      </c>
      <c r="B233" s="13">
        <v>1033.9000000000001</v>
      </c>
      <c r="C233" s="13">
        <v>2172</v>
      </c>
      <c r="D233" s="13" t="s">
        <v>1004</v>
      </c>
      <c r="E233" s="13">
        <v>4571</v>
      </c>
      <c r="F233" s="13">
        <v>21391</v>
      </c>
      <c r="G233" t="s">
        <v>836</v>
      </c>
    </row>
    <row r="234" spans="1:7" x14ac:dyDescent="0.3">
      <c r="A234" s="13" t="s">
        <v>59</v>
      </c>
      <c r="B234" s="13">
        <v>1555.2</v>
      </c>
      <c r="C234" s="13">
        <v>21871</v>
      </c>
      <c r="D234" s="13" t="s">
        <v>1004</v>
      </c>
      <c r="E234" s="13">
        <v>14334</v>
      </c>
      <c r="F234" s="13">
        <v>21471</v>
      </c>
      <c r="G234" t="s">
        <v>836</v>
      </c>
    </row>
    <row r="235" spans="1:7" x14ac:dyDescent="0.3">
      <c r="A235" s="13" t="s">
        <v>61</v>
      </c>
      <c r="B235" s="13">
        <v>1392.6</v>
      </c>
      <c r="C235" s="13">
        <v>147232</v>
      </c>
      <c r="D235" s="13" t="s">
        <v>1004</v>
      </c>
      <c r="E235" s="13">
        <v>28774</v>
      </c>
      <c r="F235" s="13">
        <v>96551</v>
      </c>
      <c r="G235" t="s">
        <v>836</v>
      </c>
    </row>
    <row r="236" spans="1:7" x14ac:dyDescent="0.3">
      <c r="A236" s="13" t="s">
        <v>603</v>
      </c>
      <c r="B236" s="13">
        <v>9874</v>
      </c>
      <c r="C236" s="13">
        <v>2007</v>
      </c>
      <c r="D236" s="13" t="s">
        <v>1006</v>
      </c>
      <c r="E236" s="13">
        <v>2713</v>
      </c>
      <c r="F236" s="13">
        <v>7991</v>
      </c>
      <c r="G236" t="s">
        <v>836</v>
      </c>
    </row>
    <row r="237" spans="1:7" x14ac:dyDescent="0.3">
      <c r="A237" s="13" t="s">
        <v>65</v>
      </c>
      <c r="B237" s="13">
        <v>1764.6</v>
      </c>
      <c r="C237" s="13">
        <v>3119</v>
      </c>
      <c r="D237" s="13" t="s">
        <v>1003</v>
      </c>
      <c r="E237" s="13">
        <v>3792</v>
      </c>
      <c r="F237" s="13">
        <v>32437</v>
      </c>
      <c r="G237" t="s">
        <v>836</v>
      </c>
    </row>
    <row r="238" spans="1:7" x14ac:dyDescent="0.3">
      <c r="A238" s="13" t="s">
        <v>854</v>
      </c>
      <c r="B238" s="13">
        <v>10599</v>
      </c>
      <c r="C238" s="13">
        <v>135</v>
      </c>
      <c r="D238" s="13" t="s">
        <v>1003</v>
      </c>
      <c r="E238" s="13">
        <v>751</v>
      </c>
      <c r="F238" s="13">
        <v>1956</v>
      </c>
      <c r="G238" t="s">
        <v>836</v>
      </c>
    </row>
    <row r="239" spans="1:7" x14ac:dyDescent="0.3">
      <c r="A239" s="13" t="s">
        <v>67</v>
      </c>
      <c r="B239" s="13">
        <v>975.3</v>
      </c>
      <c r="C239" s="13">
        <v>174581</v>
      </c>
      <c r="D239" s="13" t="s">
        <v>1005</v>
      </c>
      <c r="E239" s="13">
        <v>65230</v>
      </c>
      <c r="F239" s="13">
        <v>113530</v>
      </c>
      <c r="G239" t="s">
        <v>836</v>
      </c>
    </row>
    <row r="240" spans="1:7" x14ac:dyDescent="0.3">
      <c r="A240" s="13" t="s">
        <v>73</v>
      </c>
      <c r="B240" s="13">
        <v>203.92</v>
      </c>
      <c r="C240" s="13">
        <v>100447</v>
      </c>
      <c r="D240" s="13" t="s">
        <v>1005</v>
      </c>
      <c r="E240" s="13">
        <v>341184</v>
      </c>
      <c r="F240" s="13">
        <v>364297</v>
      </c>
      <c r="G240" t="s">
        <v>836</v>
      </c>
    </row>
    <row r="241" spans="1:7" x14ac:dyDescent="0.3">
      <c r="A241" s="13" t="s">
        <v>75</v>
      </c>
      <c r="B241" s="13">
        <v>279.5</v>
      </c>
      <c r="C241" s="13">
        <v>29443</v>
      </c>
      <c r="D241" s="13" t="s">
        <v>1006</v>
      </c>
      <c r="E241" s="13">
        <v>93234</v>
      </c>
      <c r="F241" s="13">
        <v>423781</v>
      </c>
      <c r="G241" t="s">
        <v>836</v>
      </c>
    </row>
    <row r="242" spans="1:7" x14ac:dyDescent="0.3">
      <c r="A242" s="13" t="s">
        <v>856</v>
      </c>
      <c r="B242" s="13">
        <v>145</v>
      </c>
      <c r="C242" s="13">
        <v>20681</v>
      </c>
      <c r="D242" s="13" t="s">
        <v>1004</v>
      </c>
      <c r="E242" s="13">
        <v>48417</v>
      </c>
      <c r="F242" s="13">
        <v>334501</v>
      </c>
      <c r="G242" t="s">
        <v>836</v>
      </c>
    </row>
    <row r="243" spans="1:7" x14ac:dyDescent="0.3">
      <c r="A243" s="13" t="s">
        <v>858</v>
      </c>
      <c r="B243" s="13">
        <v>1368.4</v>
      </c>
      <c r="C243" s="13">
        <v>4373</v>
      </c>
      <c r="D243" s="13" t="s">
        <v>1003</v>
      </c>
      <c r="E243" s="13">
        <v>11927</v>
      </c>
      <c r="F243" s="13">
        <v>58156</v>
      </c>
      <c r="G243" t="s">
        <v>836</v>
      </c>
    </row>
    <row r="244" spans="1:7" x14ac:dyDescent="0.3">
      <c r="A244" s="13" t="s">
        <v>79</v>
      </c>
      <c r="B244" s="13">
        <v>406.8</v>
      </c>
      <c r="C244" s="13">
        <v>101340</v>
      </c>
      <c r="D244" s="13" t="s">
        <v>1006</v>
      </c>
      <c r="E244" s="13">
        <v>252279</v>
      </c>
      <c r="F244" s="13">
        <v>589782</v>
      </c>
      <c r="G244" t="s">
        <v>836</v>
      </c>
    </row>
    <row r="245" spans="1:7" x14ac:dyDescent="0.3">
      <c r="A245" s="13" t="s">
        <v>83</v>
      </c>
      <c r="B245" s="13">
        <v>2145.3000000000002</v>
      </c>
      <c r="C245" s="13">
        <v>3849</v>
      </c>
      <c r="D245" s="13" t="s">
        <v>1004</v>
      </c>
      <c r="E245" s="13">
        <v>2772</v>
      </c>
      <c r="F245" s="13">
        <v>11854</v>
      </c>
      <c r="G245" t="s">
        <v>836</v>
      </c>
    </row>
    <row r="246" spans="1:7" x14ac:dyDescent="0.3">
      <c r="A246" s="13" t="s">
        <v>85</v>
      </c>
      <c r="B246" s="13">
        <v>1837.1</v>
      </c>
      <c r="C246" s="13">
        <v>313784</v>
      </c>
      <c r="D246" s="13" t="s">
        <v>1006</v>
      </c>
      <c r="E246" s="13">
        <v>54456</v>
      </c>
      <c r="F246" s="13">
        <v>61915</v>
      </c>
      <c r="G246" t="s">
        <v>836</v>
      </c>
    </row>
    <row r="247" spans="1:7" x14ac:dyDescent="0.3">
      <c r="A247" s="13" t="s">
        <v>87</v>
      </c>
      <c r="B247" s="13">
        <v>402.7</v>
      </c>
      <c r="C247" s="13">
        <v>23398</v>
      </c>
      <c r="D247" s="13" t="s">
        <v>1003</v>
      </c>
      <c r="E247" s="13">
        <v>51838</v>
      </c>
      <c r="F247" s="13">
        <v>169735</v>
      </c>
      <c r="G247" t="s">
        <v>836</v>
      </c>
    </row>
    <row r="248" spans="1:7" x14ac:dyDescent="0.3">
      <c r="A248" s="13" t="s">
        <v>89</v>
      </c>
      <c r="B248" s="13">
        <v>416.8</v>
      </c>
      <c r="C248" s="13">
        <v>2738</v>
      </c>
      <c r="D248" s="13" t="s">
        <v>1006</v>
      </c>
      <c r="E248" s="13">
        <v>19810</v>
      </c>
      <c r="F248" s="13">
        <v>73694</v>
      </c>
      <c r="G248" t="s">
        <v>836</v>
      </c>
    </row>
    <row r="249" spans="1:7" x14ac:dyDescent="0.3">
      <c r="A249" s="13" t="s">
        <v>860</v>
      </c>
      <c r="B249" s="13">
        <v>1637.2</v>
      </c>
      <c r="C249" s="13">
        <v>345</v>
      </c>
      <c r="D249" s="13" t="s">
        <v>1007</v>
      </c>
      <c r="E249" s="13">
        <v>3442</v>
      </c>
      <c r="F249" s="13">
        <v>11938</v>
      </c>
      <c r="G249" t="s">
        <v>836</v>
      </c>
    </row>
    <row r="250" spans="1:7" x14ac:dyDescent="0.3">
      <c r="A250" s="13" t="s">
        <v>91</v>
      </c>
      <c r="B250" s="13">
        <v>40630</v>
      </c>
      <c r="C250" s="13">
        <v>174</v>
      </c>
      <c r="D250" s="13" t="s">
        <v>1003</v>
      </c>
      <c r="E250" s="13">
        <v>183</v>
      </c>
      <c r="F250" s="13">
        <v>796</v>
      </c>
      <c r="G250" t="s">
        <v>836</v>
      </c>
    </row>
    <row r="251" spans="1:7" x14ac:dyDescent="0.3">
      <c r="A251" s="13" t="s">
        <v>93</v>
      </c>
      <c r="B251" s="13">
        <v>308.7</v>
      </c>
      <c r="C251" s="13">
        <v>53191</v>
      </c>
      <c r="D251" s="13" t="s">
        <v>1006</v>
      </c>
      <c r="E251" s="13">
        <v>50332</v>
      </c>
      <c r="F251" s="13">
        <v>211194</v>
      </c>
      <c r="G251" t="s">
        <v>836</v>
      </c>
    </row>
    <row r="252" spans="1:7" x14ac:dyDescent="0.3">
      <c r="A252" s="13" t="s">
        <v>95</v>
      </c>
      <c r="B252" s="13">
        <v>5233</v>
      </c>
      <c r="C252" s="13">
        <v>547</v>
      </c>
      <c r="D252" s="13" t="s">
        <v>1003</v>
      </c>
      <c r="E252" s="13">
        <v>1704</v>
      </c>
      <c r="F252" s="13">
        <v>7971</v>
      </c>
      <c r="G252" t="s">
        <v>836</v>
      </c>
    </row>
    <row r="253" spans="1:7" x14ac:dyDescent="0.3">
      <c r="A253" s="13" t="s">
        <v>862</v>
      </c>
      <c r="B253" s="13">
        <v>3878</v>
      </c>
      <c r="C253" s="13">
        <v>17523</v>
      </c>
      <c r="D253" s="13" t="s">
        <v>1006</v>
      </c>
      <c r="E253" s="13">
        <v>31360</v>
      </c>
      <c r="F253" s="13">
        <v>102433</v>
      </c>
      <c r="G253" t="s">
        <v>836</v>
      </c>
    </row>
    <row r="254" spans="1:7" x14ac:dyDescent="0.3">
      <c r="A254" s="13" t="s">
        <v>864</v>
      </c>
      <c r="B254" s="13">
        <v>785</v>
      </c>
      <c r="C254" s="13">
        <v>15395</v>
      </c>
      <c r="D254" s="13" t="s">
        <v>1003</v>
      </c>
      <c r="E254" s="13">
        <v>10441</v>
      </c>
      <c r="F254" s="13">
        <v>82138</v>
      </c>
      <c r="G254" t="s">
        <v>836</v>
      </c>
    </row>
    <row r="255" spans="1:7" x14ac:dyDescent="0.3">
      <c r="A255" s="13" t="s">
        <v>99</v>
      </c>
      <c r="B255" s="13">
        <v>128.86000000000001</v>
      </c>
      <c r="C255" s="13">
        <v>57068</v>
      </c>
      <c r="D255" s="13" t="s">
        <v>1005</v>
      </c>
      <c r="E255" s="13">
        <v>314778</v>
      </c>
      <c r="F255" s="13">
        <v>1611740</v>
      </c>
      <c r="G255" t="s">
        <v>836</v>
      </c>
    </row>
    <row r="256" spans="1:7" x14ac:dyDescent="0.3">
      <c r="A256" s="13" t="s">
        <v>866</v>
      </c>
      <c r="B256" s="13">
        <v>1317</v>
      </c>
      <c r="C256" s="13">
        <v>7786</v>
      </c>
      <c r="D256" s="13" t="s">
        <v>1007</v>
      </c>
      <c r="E256" s="13">
        <v>20869</v>
      </c>
      <c r="F256" s="13">
        <v>70939</v>
      </c>
      <c r="G256" t="s">
        <v>836</v>
      </c>
    </row>
    <row r="257" spans="1:7" x14ac:dyDescent="0.3">
      <c r="A257" s="13" t="s">
        <v>868</v>
      </c>
      <c r="B257" s="13">
        <v>960.1</v>
      </c>
      <c r="C257" s="13">
        <v>39377</v>
      </c>
      <c r="D257" s="13" t="s">
        <v>1006</v>
      </c>
      <c r="E257" s="13">
        <v>45671</v>
      </c>
      <c r="F257" s="13">
        <v>63922</v>
      </c>
      <c r="G257" t="s">
        <v>836</v>
      </c>
    </row>
    <row r="258" spans="1:7" x14ac:dyDescent="0.3">
      <c r="A258" s="13" t="s">
        <v>105</v>
      </c>
      <c r="B258" s="13">
        <v>1814.6</v>
      </c>
      <c r="C258" s="13">
        <v>26108</v>
      </c>
      <c r="D258" s="13" t="s">
        <v>1006</v>
      </c>
      <c r="E258" s="13">
        <v>6116</v>
      </c>
      <c r="F258" s="13">
        <v>10671</v>
      </c>
      <c r="G258" t="s">
        <v>836</v>
      </c>
    </row>
    <row r="259" spans="1:7" x14ac:dyDescent="0.3">
      <c r="A259" s="13" t="s">
        <v>107</v>
      </c>
      <c r="B259" s="13">
        <v>1443.7</v>
      </c>
      <c r="C259" s="13">
        <v>2623</v>
      </c>
      <c r="D259" s="13" t="s">
        <v>1004</v>
      </c>
      <c r="E259" s="13">
        <v>9265</v>
      </c>
      <c r="F259" s="13">
        <v>27216</v>
      </c>
      <c r="G259" t="s">
        <v>836</v>
      </c>
    </row>
    <row r="260" spans="1:7" x14ac:dyDescent="0.3">
      <c r="A260" s="13" t="s">
        <v>109</v>
      </c>
      <c r="B260" s="13">
        <v>435.65</v>
      </c>
      <c r="C260" s="13">
        <v>23338</v>
      </c>
      <c r="D260" s="13" t="s">
        <v>1006</v>
      </c>
      <c r="E260" s="13">
        <v>116615</v>
      </c>
      <c r="F260" s="13">
        <v>136271</v>
      </c>
      <c r="G260" t="s">
        <v>836</v>
      </c>
    </row>
    <row r="261" spans="1:7" x14ac:dyDescent="0.3">
      <c r="A261" s="13" t="s">
        <v>870</v>
      </c>
      <c r="B261" s="13">
        <v>1458</v>
      </c>
      <c r="C261" s="13">
        <v>2638</v>
      </c>
      <c r="D261" s="13" t="s">
        <v>1004</v>
      </c>
      <c r="E261" s="13">
        <v>12974</v>
      </c>
      <c r="F261" s="13">
        <v>46067</v>
      </c>
      <c r="G261" t="s">
        <v>836</v>
      </c>
    </row>
    <row r="262" spans="1:7" x14ac:dyDescent="0.3">
      <c r="A262" s="13" t="s">
        <v>111</v>
      </c>
      <c r="B262" s="13">
        <v>1493.4</v>
      </c>
      <c r="C262" s="13">
        <v>14956</v>
      </c>
      <c r="D262" s="13" t="s">
        <v>1006</v>
      </c>
      <c r="E262" s="13">
        <v>18039</v>
      </c>
      <c r="F262" s="13">
        <v>75214</v>
      </c>
      <c r="G262" t="s">
        <v>836</v>
      </c>
    </row>
    <row r="263" spans="1:7" x14ac:dyDescent="0.3">
      <c r="A263" s="13" t="s">
        <v>113</v>
      </c>
      <c r="B263" s="13">
        <v>1993</v>
      </c>
      <c r="C263" s="13">
        <v>898</v>
      </c>
      <c r="D263" s="13" t="s">
        <v>1007</v>
      </c>
      <c r="E263" s="13">
        <v>4077</v>
      </c>
      <c r="F263" s="13">
        <v>11390</v>
      </c>
      <c r="G263" t="s">
        <v>836</v>
      </c>
    </row>
    <row r="264" spans="1:7" x14ac:dyDescent="0.3">
      <c r="A264" s="13" t="s">
        <v>115</v>
      </c>
      <c r="B264" s="13">
        <v>468.65</v>
      </c>
      <c r="C264" s="13">
        <v>1629</v>
      </c>
      <c r="D264" s="13" t="s">
        <v>1004</v>
      </c>
      <c r="E264" s="13">
        <v>18184</v>
      </c>
      <c r="F264" s="13">
        <v>152934</v>
      </c>
      <c r="G264" t="s">
        <v>836</v>
      </c>
    </row>
    <row r="265" spans="1:7" x14ac:dyDescent="0.3">
      <c r="A265" s="13" t="s">
        <v>119</v>
      </c>
      <c r="B265" s="13">
        <v>275.89999999999998</v>
      </c>
      <c r="C265" s="13">
        <v>3198</v>
      </c>
      <c r="D265" s="13" t="s">
        <v>1003</v>
      </c>
      <c r="E265" s="13">
        <v>15241</v>
      </c>
      <c r="F265" s="13">
        <v>62021</v>
      </c>
      <c r="G265" t="s">
        <v>836</v>
      </c>
    </row>
    <row r="266" spans="1:7" x14ac:dyDescent="0.3">
      <c r="A266" s="13" t="s">
        <v>123</v>
      </c>
      <c r="B266" s="13">
        <v>5699</v>
      </c>
      <c r="C266" s="13">
        <v>7404</v>
      </c>
      <c r="D266" s="13" t="s">
        <v>1005</v>
      </c>
      <c r="E266" s="13">
        <v>1522</v>
      </c>
      <c r="F266" s="13">
        <v>6172</v>
      </c>
      <c r="G266" t="s">
        <v>836</v>
      </c>
    </row>
    <row r="267" spans="1:7" x14ac:dyDescent="0.3">
      <c r="A267" s="13" t="s">
        <v>125</v>
      </c>
      <c r="B267" s="13">
        <v>425.35</v>
      </c>
      <c r="C267" s="13">
        <v>4505</v>
      </c>
      <c r="D267" s="13" t="s">
        <v>1005</v>
      </c>
      <c r="E267" s="13">
        <v>46543</v>
      </c>
      <c r="F267" s="13">
        <v>48982</v>
      </c>
      <c r="G267" t="s">
        <v>836</v>
      </c>
    </row>
    <row r="268" spans="1:7" x14ac:dyDescent="0.3">
      <c r="A268" s="13" t="s">
        <v>127</v>
      </c>
      <c r="B268" s="13">
        <v>1712</v>
      </c>
      <c r="C268" s="13">
        <v>510</v>
      </c>
      <c r="D268" s="13" t="s">
        <v>1005</v>
      </c>
      <c r="E268" s="13">
        <v>2040</v>
      </c>
      <c r="F268" s="13">
        <v>6644</v>
      </c>
      <c r="G268" t="s">
        <v>836</v>
      </c>
    </row>
    <row r="269" spans="1:7" x14ac:dyDescent="0.3">
      <c r="A269" s="13" t="s">
        <v>872</v>
      </c>
      <c r="B269" s="13">
        <v>461.2</v>
      </c>
      <c r="C269" s="13">
        <v>5995</v>
      </c>
      <c r="D269" s="13" t="s">
        <v>1008</v>
      </c>
      <c r="E269" s="13">
        <v>10078</v>
      </c>
      <c r="F269" s="13">
        <v>53849</v>
      </c>
      <c r="G269" t="s">
        <v>836</v>
      </c>
    </row>
    <row r="270" spans="1:7" x14ac:dyDescent="0.3">
      <c r="A270" s="13" t="s">
        <v>131</v>
      </c>
      <c r="B270" s="13">
        <v>6700</v>
      </c>
      <c r="C270" s="13">
        <v>478</v>
      </c>
      <c r="D270" s="13" t="s">
        <v>1006</v>
      </c>
      <c r="E270" s="13">
        <v>1104</v>
      </c>
      <c r="F270" s="13">
        <v>17890</v>
      </c>
      <c r="G270" t="s">
        <v>836</v>
      </c>
    </row>
    <row r="271" spans="1:7" x14ac:dyDescent="0.3">
      <c r="A271" s="13" t="s">
        <v>133</v>
      </c>
      <c r="B271" s="13">
        <v>12017</v>
      </c>
      <c r="C271" s="13">
        <v>1437</v>
      </c>
      <c r="D271" s="13" t="s">
        <v>1008</v>
      </c>
      <c r="E271" s="13">
        <v>4112</v>
      </c>
      <c r="F271" s="13">
        <v>11889</v>
      </c>
      <c r="G271" t="s">
        <v>836</v>
      </c>
    </row>
    <row r="272" spans="1:7" x14ac:dyDescent="0.3">
      <c r="A272" s="13" t="s">
        <v>135</v>
      </c>
      <c r="B272" s="13">
        <v>622</v>
      </c>
      <c r="C272" s="13">
        <v>3896</v>
      </c>
      <c r="D272" s="13" t="s">
        <v>1008</v>
      </c>
      <c r="E272" s="13">
        <v>17529</v>
      </c>
      <c r="F272" s="13">
        <v>62182</v>
      </c>
      <c r="G272" t="s">
        <v>836</v>
      </c>
    </row>
    <row r="273" spans="1:7" x14ac:dyDescent="0.3">
      <c r="A273" s="13" t="s">
        <v>874</v>
      </c>
      <c r="B273" s="13">
        <v>4290.1000000000004</v>
      </c>
      <c r="C273" s="13">
        <v>510</v>
      </c>
      <c r="D273" s="13" t="s">
        <v>1008</v>
      </c>
      <c r="E273" s="13">
        <v>2218</v>
      </c>
      <c r="F273" s="13">
        <v>9225</v>
      </c>
      <c r="G273" t="s">
        <v>836</v>
      </c>
    </row>
    <row r="274" spans="1:7" x14ac:dyDescent="0.3">
      <c r="A274" s="13" t="s">
        <v>137</v>
      </c>
      <c r="B274" s="13">
        <v>1388.4</v>
      </c>
      <c r="C274" s="13">
        <v>93831</v>
      </c>
      <c r="D274" s="13" t="s">
        <v>1005</v>
      </c>
      <c r="E274" s="13">
        <v>11050</v>
      </c>
      <c r="F274" s="13">
        <v>23164</v>
      </c>
      <c r="G274" t="s">
        <v>836</v>
      </c>
    </row>
    <row r="275" spans="1:7" x14ac:dyDescent="0.3">
      <c r="A275" s="13" t="s">
        <v>139</v>
      </c>
      <c r="B275" s="13">
        <v>7551</v>
      </c>
      <c r="C275" s="13">
        <v>9553</v>
      </c>
      <c r="D275" s="13" t="s">
        <v>1005</v>
      </c>
      <c r="E275" s="13">
        <v>4803</v>
      </c>
      <c r="F275" s="13">
        <v>9625</v>
      </c>
      <c r="G275" t="s">
        <v>836</v>
      </c>
    </row>
    <row r="276" spans="1:7" x14ac:dyDescent="0.3">
      <c r="A276" s="13" t="s">
        <v>876</v>
      </c>
      <c r="B276" s="13">
        <v>260</v>
      </c>
      <c r="C276" s="13">
        <v>974109</v>
      </c>
      <c r="D276" s="13" t="s">
        <v>1005</v>
      </c>
      <c r="E276" s="13">
        <v>183771</v>
      </c>
      <c r="F276" s="13">
        <v>327825</v>
      </c>
      <c r="G276" t="s">
        <v>836</v>
      </c>
    </row>
    <row r="277" spans="1:7" x14ac:dyDescent="0.3">
      <c r="A277" s="13" t="s">
        <v>143</v>
      </c>
      <c r="B277" s="13">
        <v>389.95</v>
      </c>
      <c r="C277" s="13">
        <v>6971</v>
      </c>
      <c r="D277" s="13" t="s">
        <v>1006</v>
      </c>
      <c r="E277" s="13">
        <v>26078</v>
      </c>
      <c r="F277" s="13">
        <v>47375</v>
      </c>
      <c r="G277" t="s">
        <v>836</v>
      </c>
    </row>
    <row r="278" spans="1:7" x14ac:dyDescent="0.3">
      <c r="A278" s="13" t="s">
        <v>145</v>
      </c>
      <c r="B278" s="13">
        <v>323</v>
      </c>
      <c r="C278" s="13">
        <v>11147</v>
      </c>
      <c r="D278" s="13" t="s">
        <v>1008</v>
      </c>
      <c r="E278" s="13">
        <v>40917</v>
      </c>
      <c r="F278" s="13">
        <v>86272</v>
      </c>
      <c r="G278" t="s">
        <v>836</v>
      </c>
    </row>
    <row r="279" spans="1:7" x14ac:dyDescent="0.3">
      <c r="A279" s="13" t="s">
        <v>878</v>
      </c>
      <c r="B279" s="13">
        <v>18415</v>
      </c>
      <c r="C279" s="13">
        <v>366</v>
      </c>
      <c r="D279" s="13" t="s">
        <v>1008</v>
      </c>
      <c r="E279" s="13">
        <v>1389</v>
      </c>
      <c r="F279" s="13">
        <v>3835</v>
      </c>
      <c r="G279" t="s">
        <v>836</v>
      </c>
    </row>
    <row r="280" spans="1:7" x14ac:dyDescent="0.3">
      <c r="A280" s="13" t="s">
        <v>880</v>
      </c>
      <c r="B280" s="13">
        <v>954.35</v>
      </c>
      <c r="C280" s="13">
        <v>1487</v>
      </c>
      <c r="D280" s="13" t="s">
        <v>1008</v>
      </c>
      <c r="E280" s="13">
        <v>5618</v>
      </c>
      <c r="F280" s="13">
        <v>16811</v>
      </c>
      <c r="G280" t="s">
        <v>836</v>
      </c>
    </row>
    <row r="281" spans="1:7" x14ac:dyDescent="0.3">
      <c r="A281" s="13" t="s">
        <v>147</v>
      </c>
      <c r="B281" s="13">
        <v>172.85</v>
      </c>
      <c r="C281" s="13">
        <v>11183</v>
      </c>
      <c r="D281" s="13" t="s">
        <v>1008</v>
      </c>
      <c r="E281" s="13">
        <v>63449</v>
      </c>
      <c r="F281" s="13">
        <v>278797</v>
      </c>
      <c r="G281" t="s">
        <v>836</v>
      </c>
    </row>
    <row r="282" spans="1:7" x14ac:dyDescent="0.3">
      <c r="A282" s="13" t="s">
        <v>149</v>
      </c>
      <c r="B282" s="13">
        <v>2169.9</v>
      </c>
      <c r="C282" s="13">
        <v>1618</v>
      </c>
      <c r="D282" s="13" t="s">
        <v>1005</v>
      </c>
      <c r="E282" s="13">
        <v>3419</v>
      </c>
      <c r="F282" s="13">
        <v>12548</v>
      </c>
      <c r="G282" t="s">
        <v>836</v>
      </c>
    </row>
    <row r="283" spans="1:7" x14ac:dyDescent="0.3">
      <c r="A283" s="13" t="s">
        <v>882</v>
      </c>
      <c r="B283" s="13">
        <v>108.44</v>
      </c>
      <c r="C283" s="13">
        <v>117082</v>
      </c>
      <c r="D283" s="13" t="s">
        <v>1008</v>
      </c>
      <c r="E283" s="13">
        <v>219386</v>
      </c>
      <c r="F283" s="13">
        <v>333684</v>
      </c>
      <c r="G283" t="s">
        <v>836</v>
      </c>
    </row>
    <row r="284" spans="1:7" x14ac:dyDescent="0.3">
      <c r="A284" s="13" t="s">
        <v>884</v>
      </c>
      <c r="B284" s="13">
        <v>2248</v>
      </c>
      <c r="C284" s="13">
        <v>350</v>
      </c>
      <c r="D284" s="13" t="s">
        <v>1005</v>
      </c>
      <c r="E284" s="13">
        <v>5325</v>
      </c>
      <c r="F284" s="13">
        <v>17671</v>
      </c>
      <c r="G284" t="s">
        <v>836</v>
      </c>
    </row>
    <row r="285" spans="1:7" x14ac:dyDescent="0.3">
      <c r="A285" s="13" t="s">
        <v>155</v>
      </c>
      <c r="B285" s="13">
        <v>1039</v>
      </c>
      <c r="C285" s="13">
        <v>1741</v>
      </c>
      <c r="D285" s="13" t="s">
        <v>1009</v>
      </c>
      <c r="E285" s="13">
        <v>14044</v>
      </c>
      <c r="F285" s="13">
        <v>37025</v>
      </c>
      <c r="G285" t="s">
        <v>836</v>
      </c>
    </row>
    <row r="286" spans="1:7" x14ac:dyDescent="0.3">
      <c r="A286" s="13" t="s">
        <v>157</v>
      </c>
      <c r="B286" s="13">
        <v>1850.1</v>
      </c>
      <c r="C286" s="13">
        <v>2013</v>
      </c>
      <c r="D286" s="13" t="s">
        <v>1009</v>
      </c>
      <c r="E286" s="13">
        <v>7339</v>
      </c>
      <c r="F286" s="13">
        <v>29717</v>
      </c>
      <c r="G286" t="s">
        <v>836</v>
      </c>
    </row>
    <row r="287" spans="1:7" x14ac:dyDescent="0.3">
      <c r="A287" s="13" t="s">
        <v>161</v>
      </c>
      <c r="B287" s="13">
        <v>3145</v>
      </c>
      <c r="C287" s="13">
        <v>1025</v>
      </c>
      <c r="D287" s="13" t="s">
        <v>1009</v>
      </c>
      <c r="E287" s="13">
        <v>2404</v>
      </c>
      <c r="F287" s="13">
        <v>5936</v>
      </c>
      <c r="G287" t="s">
        <v>836</v>
      </c>
    </row>
    <row r="288" spans="1:7" x14ac:dyDescent="0.3">
      <c r="A288" s="13" t="s">
        <v>886</v>
      </c>
      <c r="B288" s="13">
        <v>5057</v>
      </c>
      <c r="C288" s="13">
        <v>9015</v>
      </c>
      <c r="D288" s="13" t="s">
        <v>1006</v>
      </c>
      <c r="E288" s="13">
        <v>7096</v>
      </c>
      <c r="F288" s="13">
        <v>23408</v>
      </c>
      <c r="G288" t="s">
        <v>836</v>
      </c>
    </row>
    <row r="289" spans="1:7" x14ac:dyDescent="0.3">
      <c r="A289" s="13" t="s">
        <v>165</v>
      </c>
      <c r="B289" s="13">
        <v>4368</v>
      </c>
      <c r="C289" s="13">
        <v>2285</v>
      </c>
      <c r="D289" s="13" t="s">
        <v>1008</v>
      </c>
      <c r="E289" s="13">
        <v>10931</v>
      </c>
      <c r="F289" s="13">
        <v>21676</v>
      </c>
      <c r="G289" t="s">
        <v>836</v>
      </c>
    </row>
    <row r="290" spans="1:7" x14ac:dyDescent="0.3">
      <c r="A290" s="13" t="s">
        <v>167</v>
      </c>
      <c r="B290" s="13">
        <v>1178.3</v>
      </c>
      <c r="C290" s="13">
        <v>1687</v>
      </c>
      <c r="D290" s="13" t="s">
        <v>1009</v>
      </c>
      <c r="E290" s="13">
        <v>9408</v>
      </c>
      <c r="F290" s="13">
        <v>21081</v>
      </c>
      <c r="G290" t="s">
        <v>836</v>
      </c>
    </row>
    <row r="291" spans="1:7" x14ac:dyDescent="0.3">
      <c r="A291" s="13" t="s">
        <v>169</v>
      </c>
      <c r="B291" s="13">
        <v>1095.5999999999999</v>
      </c>
      <c r="C291" s="13">
        <v>34348</v>
      </c>
      <c r="D291" s="13" t="s">
        <v>1006</v>
      </c>
      <c r="E291" s="13">
        <v>37146</v>
      </c>
      <c r="F291" s="13">
        <v>160374</v>
      </c>
      <c r="G291" t="s">
        <v>836</v>
      </c>
    </row>
    <row r="292" spans="1:7" x14ac:dyDescent="0.3">
      <c r="A292" s="13" t="s">
        <v>171</v>
      </c>
      <c r="B292" s="13">
        <v>2638</v>
      </c>
      <c r="C292" s="13">
        <v>2429</v>
      </c>
      <c r="D292" s="13" t="s">
        <v>1008</v>
      </c>
      <c r="E292" s="13">
        <v>3942</v>
      </c>
      <c r="F292" s="13">
        <v>12723</v>
      </c>
      <c r="G292" t="s">
        <v>836</v>
      </c>
    </row>
    <row r="293" spans="1:7" x14ac:dyDescent="0.3">
      <c r="A293" s="13" t="s">
        <v>173</v>
      </c>
      <c r="B293" s="13">
        <v>800</v>
      </c>
      <c r="C293" s="13">
        <v>1521078</v>
      </c>
      <c r="D293" s="13" t="s">
        <v>1006</v>
      </c>
      <c r="E293" s="13">
        <v>417006</v>
      </c>
      <c r="F293" s="13">
        <v>831063</v>
      </c>
      <c r="G293" t="s">
        <v>836</v>
      </c>
    </row>
    <row r="294" spans="1:7" x14ac:dyDescent="0.3">
      <c r="A294" s="13" t="s">
        <v>175</v>
      </c>
      <c r="B294" s="13">
        <v>584.45000000000005</v>
      </c>
      <c r="C294" s="13">
        <v>8141</v>
      </c>
      <c r="D294" s="13" t="s">
        <v>1005</v>
      </c>
      <c r="E294" s="13">
        <v>37194</v>
      </c>
      <c r="F294" s="13">
        <v>36901</v>
      </c>
      <c r="G294" t="s">
        <v>822</v>
      </c>
    </row>
    <row r="295" spans="1:7" x14ac:dyDescent="0.3">
      <c r="A295" s="13" t="s">
        <v>177</v>
      </c>
      <c r="B295" s="13">
        <v>4859</v>
      </c>
      <c r="C295" s="13">
        <v>4840</v>
      </c>
      <c r="D295" s="13" t="s">
        <v>1008</v>
      </c>
      <c r="E295" s="13">
        <v>4369</v>
      </c>
      <c r="F295" s="13">
        <v>14274</v>
      </c>
      <c r="G295" t="s">
        <v>836</v>
      </c>
    </row>
    <row r="296" spans="1:7" x14ac:dyDescent="0.3">
      <c r="A296" s="13" t="s">
        <v>179</v>
      </c>
      <c r="B296" s="13">
        <v>952.1</v>
      </c>
      <c r="C296" s="13">
        <v>41595</v>
      </c>
      <c r="D296" s="13" t="s">
        <v>1005</v>
      </c>
      <c r="E296" s="13">
        <v>113138</v>
      </c>
      <c r="F296" s="13">
        <v>53119</v>
      </c>
      <c r="G296" t="s">
        <v>822</v>
      </c>
    </row>
    <row r="297" spans="1:7" x14ac:dyDescent="0.3">
      <c r="A297" s="13" t="s">
        <v>183</v>
      </c>
      <c r="B297" s="13">
        <v>405.3</v>
      </c>
      <c r="C297" s="13">
        <v>44867</v>
      </c>
      <c r="D297" s="13" t="s">
        <v>1006</v>
      </c>
      <c r="E297" s="13">
        <v>83789</v>
      </c>
      <c r="F297" s="13">
        <v>148536</v>
      </c>
      <c r="G297" t="s">
        <v>836</v>
      </c>
    </row>
    <row r="298" spans="1:7" x14ac:dyDescent="0.3">
      <c r="A298" s="13" t="s">
        <v>185</v>
      </c>
      <c r="B298" s="13">
        <v>2172</v>
      </c>
      <c r="C298" s="13">
        <v>5014</v>
      </c>
      <c r="D298" s="13" t="s">
        <v>1009</v>
      </c>
      <c r="E298" s="13">
        <v>11211</v>
      </c>
      <c r="F298" s="13">
        <v>35987</v>
      </c>
      <c r="G298" t="s">
        <v>836</v>
      </c>
    </row>
    <row r="299" spans="1:7" x14ac:dyDescent="0.3">
      <c r="A299" s="13" t="s">
        <v>888</v>
      </c>
      <c r="B299" s="13">
        <v>518.04999999999995</v>
      </c>
      <c r="C299" s="13">
        <v>29271</v>
      </c>
      <c r="D299" s="13" t="s">
        <v>1006</v>
      </c>
      <c r="E299" s="13">
        <v>81284</v>
      </c>
      <c r="F299" s="13">
        <v>176254</v>
      </c>
      <c r="G299" t="s">
        <v>836</v>
      </c>
    </row>
    <row r="300" spans="1:7" x14ac:dyDescent="0.3">
      <c r="A300" s="13" t="s">
        <v>890</v>
      </c>
      <c r="B300" s="13">
        <v>1960</v>
      </c>
      <c r="C300" s="13">
        <v>1342</v>
      </c>
      <c r="D300" s="13" t="s">
        <v>1008</v>
      </c>
      <c r="E300" s="13">
        <v>5565</v>
      </c>
      <c r="F300" s="13">
        <v>8534</v>
      </c>
      <c r="G300" t="s">
        <v>836</v>
      </c>
    </row>
    <row r="301" spans="1:7" x14ac:dyDescent="0.3">
      <c r="A301" s="13" t="s">
        <v>187</v>
      </c>
      <c r="B301" s="13">
        <v>1390</v>
      </c>
      <c r="C301" s="13">
        <v>527258</v>
      </c>
      <c r="D301" s="13" t="s">
        <v>1005</v>
      </c>
      <c r="E301" s="13">
        <v>59306</v>
      </c>
      <c r="F301" s="13">
        <v>202581</v>
      </c>
      <c r="G301" t="s">
        <v>836</v>
      </c>
    </row>
    <row r="302" spans="1:7" x14ac:dyDescent="0.3">
      <c r="A302" s="13" t="s">
        <v>189</v>
      </c>
      <c r="B302" s="13">
        <v>1810</v>
      </c>
      <c r="C302" s="13">
        <v>530</v>
      </c>
      <c r="D302" s="13" t="s">
        <v>1008</v>
      </c>
      <c r="E302" s="13">
        <v>1326</v>
      </c>
      <c r="F302" s="13">
        <v>2082</v>
      </c>
      <c r="G302" t="s">
        <v>836</v>
      </c>
    </row>
    <row r="303" spans="1:7" x14ac:dyDescent="0.3">
      <c r="A303" s="13" t="s">
        <v>191</v>
      </c>
      <c r="B303" s="13">
        <v>491.05</v>
      </c>
      <c r="C303" s="13">
        <v>1158</v>
      </c>
      <c r="D303" s="13" t="s">
        <v>1009</v>
      </c>
      <c r="E303" s="13">
        <v>10621</v>
      </c>
      <c r="F303" s="13">
        <v>21259</v>
      </c>
      <c r="G303" t="s">
        <v>836</v>
      </c>
    </row>
    <row r="304" spans="1:7" x14ac:dyDescent="0.3">
      <c r="A304" s="13" t="s">
        <v>193</v>
      </c>
      <c r="B304" s="13">
        <v>14.1</v>
      </c>
      <c r="C304" s="13">
        <v>2588829</v>
      </c>
      <c r="D304" s="13" t="s">
        <v>1006</v>
      </c>
      <c r="E304" s="13">
        <v>7475891</v>
      </c>
      <c r="F304" s="13">
        <v>20507746</v>
      </c>
      <c r="G304" t="s">
        <v>836</v>
      </c>
    </row>
    <row r="305" spans="1:7" x14ac:dyDescent="0.3">
      <c r="A305" s="13" t="s">
        <v>197</v>
      </c>
      <c r="B305" s="13">
        <v>79</v>
      </c>
      <c r="C305" s="13">
        <v>76271</v>
      </c>
      <c r="D305" s="13" t="s">
        <v>1005</v>
      </c>
      <c r="E305" s="13">
        <v>218705</v>
      </c>
      <c r="F305" s="13">
        <v>784928</v>
      </c>
      <c r="G305" t="s">
        <v>836</v>
      </c>
    </row>
    <row r="306" spans="1:7" x14ac:dyDescent="0.3">
      <c r="A306" s="13" t="s">
        <v>199</v>
      </c>
      <c r="B306" s="13">
        <v>124.86</v>
      </c>
      <c r="C306" s="13">
        <v>10675</v>
      </c>
      <c r="D306" s="13" t="s">
        <v>1008</v>
      </c>
      <c r="E306" s="13">
        <v>92915</v>
      </c>
      <c r="F306" s="13">
        <v>367699</v>
      </c>
      <c r="G306" t="s">
        <v>836</v>
      </c>
    </row>
    <row r="307" spans="1:7" x14ac:dyDescent="0.3">
      <c r="A307" s="13" t="s">
        <v>203</v>
      </c>
      <c r="B307" s="13">
        <v>720</v>
      </c>
      <c r="C307" s="13">
        <v>2869</v>
      </c>
      <c r="D307" s="13" t="s">
        <v>1008</v>
      </c>
      <c r="E307" s="13">
        <v>11324</v>
      </c>
      <c r="F307" s="13">
        <v>43470</v>
      </c>
      <c r="G307" t="s">
        <v>836</v>
      </c>
    </row>
    <row r="308" spans="1:7" x14ac:dyDescent="0.3">
      <c r="A308" s="13" t="s">
        <v>892</v>
      </c>
      <c r="B308" s="13">
        <v>833</v>
      </c>
      <c r="C308" s="13">
        <v>821</v>
      </c>
      <c r="D308" s="13" t="s">
        <v>1007</v>
      </c>
      <c r="E308" s="13">
        <v>13396</v>
      </c>
      <c r="F308" s="13">
        <v>39257</v>
      </c>
      <c r="G308" t="s">
        <v>836</v>
      </c>
    </row>
    <row r="309" spans="1:7" x14ac:dyDescent="0.3">
      <c r="A309" s="13" t="s">
        <v>209</v>
      </c>
      <c r="B309" s="13">
        <v>5400.9</v>
      </c>
      <c r="C309" s="13">
        <v>11677</v>
      </c>
      <c r="D309" s="13" t="s">
        <v>1006</v>
      </c>
      <c r="E309" s="13">
        <v>7678</v>
      </c>
      <c r="F309" s="13">
        <v>29784</v>
      </c>
      <c r="G309" t="s">
        <v>836</v>
      </c>
    </row>
    <row r="310" spans="1:7" x14ac:dyDescent="0.3">
      <c r="A310" s="13" t="s">
        <v>211</v>
      </c>
      <c r="B310" s="13">
        <v>918.95</v>
      </c>
      <c r="C310" s="13">
        <v>3468</v>
      </c>
      <c r="D310" s="13" t="s">
        <v>1009</v>
      </c>
      <c r="E310" s="13">
        <v>10949</v>
      </c>
      <c r="F310" s="13">
        <v>30683</v>
      </c>
      <c r="G310" t="s">
        <v>836</v>
      </c>
    </row>
    <row r="311" spans="1:7" x14ac:dyDescent="0.3">
      <c r="A311" s="13" t="s">
        <v>213</v>
      </c>
      <c r="B311" s="13">
        <v>394.9</v>
      </c>
      <c r="C311" s="13">
        <v>20188</v>
      </c>
      <c r="D311" s="13" t="s">
        <v>1008</v>
      </c>
      <c r="E311" s="13">
        <v>20685</v>
      </c>
      <c r="F311" s="13">
        <v>120956</v>
      </c>
      <c r="G311" t="s">
        <v>836</v>
      </c>
    </row>
    <row r="312" spans="1:7" x14ac:dyDescent="0.3">
      <c r="A312" s="13" t="s">
        <v>215</v>
      </c>
      <c r="B312" s="13">
        <v>1037.0999999999999</v>
      </c>
      <c r="C312" s="13">
        <v>184926</v>
      </c>
      <c r="D312" s="13" t="s">
        <v>1006</v>
      </c>
      <c r="E312" s="13">
        <v>164730</v>
      </c>
      <c r="F312" s="13">
        <v>153561</v>
      </c>
      <c r="G312" t="s">
        <v>822</v>
      </c>
    </row>
    <row r="313" spans="1:7" x14ac:dyDescent="0.3">
      <c r="A313" s="13" t="s">
        <v>894</v>
      </c>
      <c r="B313" s="13">
        <v>89.45</v>
      </c>
      <c r="C313" s="13">
        <v>12284</v>
      </c>
      <c r="D313" s="13" t="s">
        <v>1009</v>
      </c>
      <c r="E313" s="13">
        <v>87162</v>
      </c>
      <c r="F313" s="13">
        <v>630068</v>
      </c>
      <c r="G313" t="s">
        <v>836</v>
      </c>
    </row>
    <row r="314" spans="1:7" x14ac:dyDescent="0.3">
      <c r="A314" s="13" t="s">
        <v>217</v>
      </c>
      <c r="B314" s="13">
        <v>143.30000000000001</v>
      </c>
      <c r="C314" s="13">
        <v>73428</v>
      </c>
      <c r="D314" s="13" t="s">
        <v>1006</v>
      </c>
      <c r="E314" s="13">
        <v>211981</v>
      </c>
      <c r="F314" s="13">
        <v>1230285</v>
      </c>
      <c r="G314" t="s">
        <v>836</v>
      </c>
    </row>
    <row r="315" spans="1:7" x14ac:dyDescent="0.3">
      <c r="A315" s="13" t="s">
        <v>896</v>
      </c>
      <c r="B315" s="13">
        <v>126.9</v>
      </c>
      <c r="C315" s="13">
        <v>20960</v>
      </c>
      <c r="D315" s="13" t="s">
        <v>1008</v>
      </c>
      <c r="E315" s="13">
        <v>68921</v>
      </c>
      <c r="F315" s="13">
        <v>282483</v>
      </c>
      <c r="G315" t="s">
        <v>836</v>
      </c>
    </row>
    <row r="316" spans="1:7" x14ac:dyDescent="0.3">
      <c r="A316" s="13" t="s">
        <v>898</v>
      </c>
      <c r="B316" s="13">
        <v>91.8</v>
      </c>
      <c r="C316" s="13">
        <v>263143</v>
      </c>
      <c r="D316" s="13" t="s">
        <v>1005</v>
      </c>
      <c r="E316" s="13">
        <v>981023</v>
      </c>
      <c r="F316" s="13">
        <v>2607578</v>
      </c>
      <c r="G316" t="s">
        <v>836</v>
      </c>
    </row>
    <row r="317" spans="1:7" x14ac:dyDescent="0.3">
      <c r="A317" s="13" t="s">
        <v>223</v>
      </c>
      <c r="B317" s="13">
        <v>290.45</v>
      </c>
      <c r="C317" s="13">
        <v>69106</v>
      </c>
      <c r="D317" s="13" t="s">
        <v>1006</v>
      </c>
      <c r="E317" s="13">
        <v>241677</v>
      </c>
      <c r="F317" s="13">
        <v>686523</v>
      </c>
      <c r="G317" t="s">
        <v>836</v>
      </c>
    </row>
    <row r="318" spans="1:7" x14ac:dyDescent="0.3">
      <c r="A318" s="13" t="s">
        <v>225</v>
      </c>
      <c r="B318" s="13">
        <v>1059.5999999999999</v>
      </c>
      <c r="C318" s="13">
        <v>1573</v>
      </c>
      <c r="D318" s="13" t="s">
        <v>1008</v>
      </c>
      <c r="E318" s="13">
        <v>4647</v>
      </c>
      <c r="F318" s="13">
        <v>18908</v>
      </c>
      <c r="G318" t="s">
        <v>836</v>
      </c>
    </row>
    <row r="319" spans="1:7" x14ac:dyDescent="0.3">
      <c r="A319" s="13" t="s">
        <v>900</v>
      </c>
      <c r="B319" s="13">
        <v>239</v>
      </c>
      <c r="C319" s="13">
        <v>56275</v>
      </c>
      <c r="D319" s="13" t="s">
        <v>1006</v>
      </c>
      <c r="E319" s="13">
        <v>258482</v>
      </c>
      <c r="F319" s="13">
        <v>587643</v>
      </c>
      <c r="G319" t="s">
        <v>836</v>
      </c>
    </row>
    <row r="320" spans="1:7" x14ac:dyDescent="0.3">
      <c r="A320" s="13" t="s">
        <v>902</v>
      </c>
      <c r="B320" s="13">
        <v>573.45000000000005</v>
      </c>
      <c r="C320" s="13">
        <v>3629</v>
      </c>
      <c r="D320" s="13" t="s">
        <v>1008</v>
      </c>
      <c r="E320" s="13">
        <v>10282</v>
      </c>
      <c r="F320" s="13">
        <v>61728</v>
      </c>
      <c r="G320" t="s">
        <v>836</v>
      </c>
    </row>
    <row r="321" spans="1:7" x14ac:dyDescent="0.3">
      <c r="A321" s="13" t="s">
        <v>229</v>
      </c>
      <c r="B321" s="13">
        <v>1239</v>
      </c>
      <c r="C321" s="13">
        <v>4424</v>
      </c>
      <c r="D321" s="13" t="s">
        <v>1006</v>
      </c>
      <c r="E321" s="13">
        <v>6235</v>
      </c>
      <c r="F321" s="13">
        <v>23072</v>
      </c>
      <c r="G321" t="s">
        <v>836</v>
      </c>
    </row>
    <row r="322" spans="1:7" x14ac:dyDescent="0.3">
      <c r="A322" s="13" t="s">
        <v>231</v>
      </c>
      <c r="B322" s="13">
        <v>425.7</v>
      </c>
      <c r="C322" s="13">
        <v>3486</v>
      </c>
      <c r="D322" s="13" t="s">
        <v>1008</v>
      </c>
      <c r="E322" s="13">
        <v>15654</v>
      </c>
      <c r="F322" s="13">
        <v>47332</v>
      </c>
      <c r="G322" t="s">
        <v>836</v>
      </c>
    </row>
    <row r="323" spans="1:7" x14ac:dyDescent="0.3">
      <c r="A323" s="13" t="s">
        <v>904</v>
      </c>
      <c r="B323" s="13">
        <v>377.8</v>
      </c>
      <c r="C323" s="13">
        <v>8730</v>
      </c>
      <c r="D323" s="13" t="s">
        <v>1009</v>
      </c>
      <c r="E323" s="13">
        <v>51260</v>
      </c>
      <c r="F323" s="13">
        <v>159654</v>
      </c>
      <c r="G323" t="s">
        <v>836</v>
      </c>
    </row>
    <row r="324" spans="1:7" x14ac:dyDescent="0.3">
      <c r="A324" s="13" t="s">
        <v>906</v>
      </c>
      <c r="B324" s="13">
        <v>3264.6</v>
      </c>
      <c r="C324" s="13">
        <v>2772</v>
      </c>
      <c r="D324" s="13" t="s">
        <v>1008</v>
      </c>
      <c r="E324" s="13">
        <v>15066</v>
      </c>
      <c r="F324" s="13">
        <v>29434</v>
      </c>
      <c r="G324" t="s">
        <v>836</v>
      </c>
    </row>
    <row r="325" spans="1:7" x14ac:dyDescent="0.3">
      <c r="A325" s="13" t="s">
        <v>908</v>
      </c>
      <c r="B325" s="13">
        <v>5294</v>
      </c>
      <c r="C325" s="13">
        <v>499</v>
      </c>
      <c r="D325" s="13" t="s">
        <v>1008</v>
      </c>
      <c r="E325" s="13">
        <v>2103</v>
      </c>
      <c r="F325" s="13">
        <v>4189</v>
      </c>
      <c r="G325" t="s">
        <v>836</v>
      </c>
    </row>
    <row r="326" spans="1:7" x14ac:dyDescent="0.3">
      <c r="A326" s="13" t="s">
        <v>910</v>
      </c>
      <c r="B326" s="13">
        <v>874.15</v>
      </c>
      <c r="C326" s="13">
        <v>1740</v>
      </c>
      <c r="D326" s="13" t="s">
        <v>1008</v>
      </c>
      <c r="E326" s="13">
        <v>7107</v>
      </c>
      <c r="F326" s="13">
        <v>21427</v>
      </c>
      <c r="G326" t="s">
        <v>836</v>
      </c>
    </row>
    <row r="327" spans="1:7" x14ac:dyDescent="0.3">
      <c r="A327" s="13" t="s">
        <v>233</v>
      </c>
      <c r="B327" s="13">
        <v>402.5</v>
      </c>
      <c r="C327" s="13">
        <v>852064</v>
      </c>
      <c r="D327" s="13" t="s">
        <v>1006</v>
      </c>
      <c r="E327" s="13">
        <v>562916</v>
      </c>
      <c r="F327" s="13">
        <v>216427</v>
      </c>
      <c r="G327" t="s">
        <v>822</v>
      </c>
    </row>
    <row r="328" spans="1:7" x14ac:dyDescent="0.3">
      <c r="A328" s="13" t="s">
        <v>912</v>
      </c>
      <c r="B328" s="13">
        <v>738.9</v>
      </c>
      <c r="C328" s="13">
        <v>3251</v>
      </c>
      <c r="D328" s="13" t="s">
        <v>1008</v>
      </c>
      <c r="E328" s="13">
        <v>21316</v>
      </c>
      <c r="F328" s="13">
        <v>33177</v>
      </c>
      <c r="G328" t="s">
        <v>836</v>
      </c>
    </row>
    <row r="329" spans="1:7" x14ac:dyDescent="0.3">
      <c r="A329" s="13" t="s">
        <v>238</v>
      </c>
      <c r="B329" s="13">
        <v>1450</v>
      </c>
      <c r="C329" s="13">
        <v>2246</v>
      </c>
      <c r="D329" s="13" t="s">
        <v>1008</v>
      </c>
      <c r="E329" s="13">
        <v>7552</v>
      </c>
      <c r="F329" s="13">
        <v>17192</v>
      </c>
      <c r="G329" t="s">
        <v>836</v>
      </c>
    </row>
    <row r="330" spans="1:7" x14ac:dyDescent="0.3">
      <c r="A330" s="13" t="s">
        <v>240</v>
      </c>
      <c r="B330" s="13">
        <v>551</v>
      </c>
      <c r="C330" s="13">
        <v>4867</v>
      </c>
      <c r="D330" s="13" t="s">
        <v>1008</v>
      </c>
      <c r="E330" s="13">
        <v>11972</v>
      </c>
      <c r="F330" s="13">
        <v>26346</v>
      </c>
      <c r="G330" t="s">
        <v>836</v>
      </c>
    </row>
    <row r="331" spans="1:7" x14ac:dyDescent="0.3">
      <c r="A331" s="13" t="s">
        <v>914</v>
      </c>
      <c r="B331" s="13">
        <v>421</v>
      </c>
      <c r="C331" s="13">
        <v>14545</v>
      </c>
      <c r="D331" s="13" t="s">
        <v>1006</v>
      </c>
      <c r="E331" s="13">
        <v>93372</v>
      </c>
      <c r="F331" s="13">
        <v>242580</v>
      </c>
      <c r="G331" t="s">
        <v>836</v>
      </c>
    </row>
    <row r="332" spans="1:7" x14ac:dyDescent="0.3">
      <c r="A332" s="13" t="s">
        <v>916</v>
      </c>
      <c r="B332" s="13">
        <v>947</v>
      </c>
      <c r="C332" s="13">
        <v>21978</v>
      </c>
      <c r="D332" s="13" t="s">
        <v>1006</v>
      </c>
      <c r="E332" s="13">
        <v>14376</v>
      </c>
      <c r="F332" s="13">
        <v>31102</v>
      </c>
      <c r="G332" t="s">
        <v>836</v>
      </c>
    </row>
    <row r="333" spans="1:7" x14ac:dyDescent="0.3">
      <c r="A333" s="13" t="s">
        <v>242</v>
      </c>
      <c r="B333" s="13">
        <v>4225</v>
      </c>
      <c r="C333" s="13">
        <v>20267</v>
      </c>
      <c r="D333" s="13" t="s">
        <v>1006</v>
      </c>
      <c r="E333" s="13">
        <v>27126</v>
      </c>
      <c r="F333" s="13">
        <v>39767</v>
      </c>
      <c r="G333" t="s">
        <v>836</v>
      </c>
    </row>
    <row r="334" spans="1:7" x14ac:dyDescent="0.3">
      <c r="A334" s="13" t="s">
        <v>918</v>
      </c>
      <c r="B334" s="13">
        <v>299</v>
      </c>
      <c r="C334" s="13">
        <v>17966</v>
      </c>
      <c r="D334" s="13" t="s">
        <v>1008</v>
      </c>
      <c r="E334" s="13">
        <v>34739</v>
      </c>
      <c r="F334" s="13">
        <v>192091</v>
      </c>
      <c r="G334" t="s">
        <v>836</v>
      </c>
    </row>
    <row r="335" spans="1:7" x14ac:dyDescent="0.3">
      <c r="A335" s="13" t="s">
        <v>920</v>
      </c>
      <c r="B335" s="13">
        <v>3775.5</v>
      </c>
      <c r="C335" s="13">
        <v>1041</v>
      </c>
      <c r="D335" s="13" t="s">
        <v>1008</v>
      </c>
      <c r="E335" s="13">
        <v>4904</v>
      </c>
      <c r="F335" s="13">
        <v>12844</v>
      </c>
      <c r="G335" t="s">
        <v>836</v>
      </c>
    </row>
    <row r="336" spans="1:7" x14ac:dyDescent="0.3">
      <c r="A336" s="13" t="s">
        <v>248</v>
      </c>
      <c r="B336" s="13">
        <v>2350</v>
      </c>
      <c r="C336" s="13">
        <v>3336</v>
      </c>
      <c r="D336" s="13" t="s">
        <v>1007</v>
      </c>
      <c r="E336" s="13">
        <v>3246</v>
      </c>
      <c r="F336" s="13">
        <v>24385</v>
      </c>
      <c r="G336" t="s">
        <v>836</v>
      </c>
    </row>
    <row r="337" spans="1:7" x14ac:dyDescent="0.3">
      <c r="A337" s="13" t="s">
        <v>606</v>
      </c>
      <c r="B337" s="13">
        <v>3143.4</v>
      </c>
      <c r="C337" s="13">
        <v>170135</v>
      </c>
      <c r="D337" s="13" t="s">
        <v>1006</v>
      </c>
      <c r="E337" s="13">
        <v>117109</v>
      </c>
      <c r="F337" s="13">
        <v>40922</v>
      </c>
      <c r="G337" t="s">
        <v>822</v>
      </c>
    </row>
    <row r="338" spans="1:7" x14ac:dyDescent="0.3">
      <c r="A338" s="13" t="s">
        <v>252</v>
      </c>
      <c r="B338" s="13">
        <v>316.55</v>
      </c>
      <c r="C338" s="13">
        <v>9440</v>
      </c>
      <c r="D338" s="13" t="s">
        <v>1006</v>
      </c>
      <c r="E338" s="13">
        <v>28632</v>
      </c>
      <c r="F338" s="13">
        <v>73882</v>
      </c>
      <c r="G338" t="s">
        <v>836</v>
      </c>
    </row>
    <row r="339" spans="1:7" x14ac:dyDescent="0.3">
      <c r="A339" s="13" t="s">
        <v>922</v>
      </c>
      <c r="B339" s="13">
        <v>2462.8000000000002</v>
      </c>
      <c r="C339" s="13">
        <v>526</v>
      </c>
      <c r="D339" s="13" t="s">
        <v>1008</v>
      </c>
      <c r="E339" s="13">
        <v>2584</v>
      </c>
      <c r="F339" s="13">
        <v>7683</v>
      </c>
      <c r="G339" t="s">
        <v>836</v>
      </c>
    </row>
    <row r="340" spans="1:7" x14ac:dyDescent="0.3">
      <c r="A340" s="13" t="s">
        <v>254</v>
      </c>
      <c r="B340" s="13">
        <v>824.6</v>
      </c>
      <c r="C340" s="13">
        <v>9852</v>
      </c>
      <c r="D340" s="13" t="s">
        <v>1006</v>
      </c>
      <c r="E340" s="13">
        <v>12551</v>
      </c>
      <c r="F340" s="13">
        <v>9510</v>
      </c>
      <c r="G340" t="s">
        <v>822</v>
      </c>
    </row>
    <row r="341" spans="1:7" x14ac:dyDescent="0.3">
      <c r="A341" s="13" t="s">
        <v>256</v>
      </c>
      <c r="B341" s="13">
        <v>13740</v>
      </c>
      <c r="C341" s="13">
        <v>1952</v>
      </c>
      <c r="D341" s="13" t="s">
        <v>1009</v>
      </c>
      <c r="E341" s="13">
        <v>4833</v>
      </c>
      <c r="F341" s="13">
        <v>6968</v>
      </c>
      <c r="G341" t="s">
        <v>836</v>
      </c>
    </row>
    <row r="342" spans="1:7" x14ac:dyDescent="0.3">
      <c r="A342" s="13" t="s">
        <v>924</v>
      </c>
      <c r="B342" s="13">
        <v>1125</v>
      </c>
      <c r="C342" s="13">
        <v>8541</v>
      </c>
      <c r="D342" s="13" t="s">
        <v>1006</v>
      </c>
      <c r="E342" s="13">
        <v>10699</v>
      </c>
      <c r="F342" s="13">
        <v>30692</v>
      </c>
      <c r="G342" t="s">
        <v>836</v>
      </c>
    </row>
    <row r="343" spans="1:7" x14ac:dyDescent="0.3">
      <c r="A343" s="13" t="s">
        <v>926</v>
      </c>
      <c r="B343" s="13">
        <v>2465</v>
      </c>
      <c r="C343" s="13">
        <v>2131</v>
      </c>
      <c r="D343" s="13" t="s">
        <v>1009</v>
      </c>
      <c r="E343" s="13">
        <v>11333</v>
      </c>
      <c r="F343" s="13">
        <v>50223</v>
      </c>
      <c r="G343" t="s">
        <v>836</v>
      </c>
    </row>
    <row r="344" spans="1:7" x14ac:dyDescent="0.3">
      <c r="A344" s="13" t="s">
        <v>259</v>
      </c>
      <c r="B344" s="13">
        <v>2822</v>
      </c>
      <c r="C344" s="13">
        <v>4321</v>
      </c>
      <c r="D344" s="13" t="s">
        <v>1006</v>
      </c>
      <c r="E344" s="13">
        <v>33283</v>
      </c>
      <c r="F344" s="13">
        <v>45381</v>
      </c>
      <c r="G344" t="s">
        <v>836</v>
      </c>
    </row>
    <row r="345" spans="1:7" x14ac:dyDescent="0.3">
      <c r="A345" s="13" t="s">
        <v>263</v>
      </c>
      <c r="B345" s="13">
        <v>1619.4</v>
      </c>
      <c r="C345" s="13">
        <v>556</v>
      </c>
      <c r="D345" s="13" t="s">
        <v>1009</v>
      </c>
      <c r="E345" s="13">
        <v>2599</v>
      </c>
      <c r="F345" s="13">
        <v>7402</v>
      </c>
      <c r="G345" t="s">
        <v>836</v>
      </c>
    </row>
    <row r="346" spans="1:7" x14ac:dyDescent="0.3">
      <c r="A346" s="13" t="s">
        <v>267</v>
      </c>
      <c r="B346" s="13">
        <v>151.71</v>
      </c>
      <c r="C346" s="13">
        <v>234655</v>
      </c>
      <c r="D346" s="13" t="s">
        <v>1005</v>
      </c>
      <c r="E346" s="13">
        <v>222046</v>
      </c>
      <c r="F346" s="13">
        <v>372414</v>
      </c>
      <c r="G346" t="s">
        <v>836</v>
      </c>
    </row>
    <row r="347" spans="1:7" x14ac:dyDescent="0.3">
      <c r="A347" s="13" t="s">
        <v>928</v>
      </c>
      <c r="B347" s="13">
        <v>946.15</v>
      </c>
      <c r="C347" s="13">
        <v>4077</v>
      </c>
      <c r="D347" s="13" t="s">
        <v>1008</v>
      </c>
      <c r="E347" s="13">
        <v>4353</v>
      </c>
      <c r="F347" s="13">
        <v>44908</v>
      </c>
      <c r="G347" t="s">
        <v>836</v>
      </c>
    </row>
    <row r="348" spans="1:7" x14ac:dyDescent="0.3">
      <c r="A348" s="13" t="s">
        <v>269</v>
      </c>
      <c r="B348" s="13">
        <v>2270</v>
      </c>
      <c r="C348" s="13">
        <v>315</v>
      </c>
      <c r="D348" s="13" t="s">
        <v>1005</v>
      </c>
      <c r="E348" s="13">
        <v>3429</v>
      </c>
      <c r="F348" s="13">
        <v>15468</v>
      </c>
      <c r="G348" t="s">
        <v>836</v>
      </c>
    </row>
    <row r="349" spans="1:7" x14ac:dyDescent="0.3">
      <c r="A349" s="13" t="s">
        <v>273</v>
      </c>
      <c r="B349" s="13">
        <v>3026</v>
      </c>
      <c r="C349" s="13">
        <v>2304</v>
      </c>
      <c r="D349" s="13" t="s">
        <v>1008</v>
      </c>
      <c r="E349" s="13">
        <v>6309</v>
      </c>
      <c r="F349" s="13">
        <v>6766</v>
      </c>
      <c r="G349" t="s">
        <v>836</v>
      </c>
    </row>
    <row r="350" spans="1:7" x14ac:dyDescent="0.3">
      <c r="A350" s="13" t="s">
        <v>930</v>
      </c>
      <c r="B350" s="13">
        <v>1129.5</v>
      </c>
      <c r="C350" s="13">
        <v>1698</v>
      </c>
      <c r="D350" s="13" t="s">
        <v>1006</v>
      </c>
      <c r="E350" s="13">
        <v>3400</v>
      </c>
      <c r="F350" s="13">
        <v>18839</v>
      </c>
      <c r="G350" t="s">
        <v>836</v>
      </c>
    </row>
    <row r="351" spans="1:7" x14ac:dyDescent="0.3">
      <c r="A351" s="13" t="s">
        <v>275</v>
      </c>
      <c r="B351" s="13">
        <v>334.05</v>
      </c>
      <c r="C351" s="13">
        <v>54397</v>
      </c>
      <c r="D351" s="13" t="s">
        <v>1006</v>
      </c>
      <c r="E351" s="13">
        <v>104868</v>
      </c>
      <c r="F351" s="13">
        <v>231112</v>
      </c>
      <c r="G351" t="s">
        <v>836</v>
      </c>
    </row>
    <row r="352" spans="1:7" x14ac:dyDescent="0.3">
      <c r="A352" s="13" t="s">
        <v>277</v>
      </c>
      <c r="B352" s="13">
        <v>988.75</v>
      </c>
      <c r="C352" s="13">
        <v>5651</v>
      </c>
      <c r="D352" s="13" t="s">
        <v>1008</v>
      </c>
      <c r="E352" s="13">
        <v>15487</v>
      </c>
      <c r="F352" s="13">
        <v>30174</v>
      </c>
      <c r="G352" t="s">
        <v>836</v>
      </c>
    </row>
    <row r="353" spans="1:7" x14ac:dyDescent="0.3">
      <c r="A353" s="13" t="s">
        <v>932</v>
      </c>
      <c r="B353" s="13">
        <v>107</v>
      </c>
      <c r="C353" s="13">
        <v>39293</v>
      </c>
      <c r="D353" s="13" t="s">
        <v>1008</v>
      </c>
      <c r="E353" s="13">
        <v>104175</v>
      </c>
      <c r="F353" s="13">
        <v>672614</v>
      </c>
      <c r="G353" t="s">
        <v>836</v>
      </c>
    </row>
    <row r="354" spans="1:7" x14ac:dyDescent="0.3">
      <c r="A354" s="13" t="s">
        <v>281</v>
      </c>
      <c r="B354" s="13">
        <v>1424</v>
      </c>
      <c r="C354" s="13">
        <v>43483</v>
      </c>
      <c r="D354" s="13" t="s">
        <v>1005</v>
      </c>
      <c r="E354" s="13">
        <v>8077</v>
      </c>
      <c r="F354" s="13">
        <v>35298</v>
      </c>
      <c r="G354" t="s">
        <v>836</v>
      </c>
    </row>
    <row r="355" spans="1:7" x14ac:dyDescent="0.3">
      <c r="A355" s="13" t="s">
        <v>934</v>
      </c>
      <c r="B355" s="13">
        <v>78.52</v>
      </c>
      <c r="C355" s="13">
        <v>89806</v>
      </c>
      <c r="D355" s="13" t="s">
        <v>1006</v>
      </c>
      <c r="E355" s="13">
        <v>198929</v>
      </c>
      <c r="F355" s="13">
        <v>1112911</v>
      </c>
      <c r="G355" t="s">
        <v>836</v>
      </c>
    </row>
    <row r="356" spans="1:7" x14ac:dyDescent="0.3">
      <c r="A356" s="13" t="s">
        <v>283</v>
      </c>
      <c r="B356" s="13">
        <v>85</v>
      </c>
      <c r="C356" s="13">
        <v>159085</v>
      </c>
      <c r="D356" s="13" t="s">
        <v>1009</v>
      </c>
      <c r="E356" s="13">
        <v>278272</v>
      </c>
      <c r="F356" s="13">
        <v>850988</v>
      </c>
      <c r="G356" t="s">
        <v>836</v>
      </c>
    </row>
    <row r="357" spans="1:7" x14ac:dyDescent="0.3">
      <c r="A357" s="13" t="s">
        <v>285</v>
      </c>
      <c r="B357" s="13">
        <v>352</v>
      </c>
      <c r="C357" s="13">
        <v>78006</v>
      </c>
      <c r="D357" s="13" t="s">
        <v>1005</v>
      </c>
      <c r="E357" s="13">
        <v>234400</v>
      </c>
      <c r="F357" s="13">
        <v>102425</v>
      </c>
      <c r="G357" t="s">
        <v>822</v>
      </c>
    </row>
    <row r="358" spans="1:7" x14ac:dyDescent="0.3">
      <c r="A358" s="13" t="s">
        <v>936</v>
      </c>
      <c r="B358" s="13">
        <v>1731.1</v>
      </c>
      <c r="C358" s="13">
        <v>1311</v>
      </c>
      <c r="D358" s="13" t="s">
        <v>1008</v>
      </c>
      <c r="E358" s="13">
        <v>1545</v>
      </c>
      <c r="F358" s="13">
        <v>5264</v>
      </c>
      <c r="G358" t="s">
        <v>836</v>
      </c>
    </row>
    <row r="359" spans="1:7" x14ac:dyDescent="0.3">
      <c r="A359" s="13" t="s">
        <v>938</v>
      </c>
      <c r="B359" s="13">
        <v>301.3</v>
      </c>
      <c r="C359" s="13">
        <v>13730</v>
      </c>
      <c r="D359" s="13" t="s">
        <v>1006</v>
      </c>
      <c r="E359" s="13">
        <v>8984</v>
      </c>
      <c r="F359" s="13">
        <v>35343</v>
      </c>
      <c r="G359" t="s">
        <v>836</v>
      </c>
    </row>
    <row r="360" spans="1:7" x14ac:dyDescent="0.3">
      <c r="A360" s="13" t="s">
        <v>287</v>
      </c>
      <c r="B360" s="13">
        <v>1751</v>
      </c>
      <c r="C360" s="13">
        <v>971</v>
      </c>
      <c r="D360" s="13" t="s">
        <v>1008</v>
      </c>
      <c r="E360" s="13">
        <v>2364</v>
      </c>
      <c r="F360" s="13">
        <v>14400</v>
      </c>
      <c r="G360" t="s">
        <v>836</v>
      </c>
    </row>
    <row r="361" spans="1:7" x14ac:dyDescent="0.3">
      <c r="A361" s="13" t="s">
        <v>289</v>
      </c>
      <c r="B361" s="13">
        <v>10974.5</v>
      </c>
      <c r="C361" s="13">
        <v>1775</v>
      </c>
      <c r="D361" s="13" t="s">
        <v>1008</v>
      </c>
      <c r="E361" s="13">
        <v>1904</v>
      </c>
      <c r="F361" s="13">
        <v>3778</v>
      </c>
      <c r="G361" t="s">
        <v>836</v>
      </c>
    </row>
    <row r="362" spans="1:7" x14ac:dyDescent="0.3">
      <c r="A362" s="13" t="s">
        <v>940</v>
      </c>
      <c r="B362" s="13">
        <v>408.75</v>
      </c>
      <c r="C362" s="13">
        <v>6161</v>
      </c>
      <c r="D362" s="13" t="s">
        <v>1008</v>
      </c>
      <c r="E362" s="13">
        <v>43061</v>
      </c>
      <c r="F362" s="13">
        <v>87225</v>
      </c>
      <c r="G362" t="s">
        <v>836</v>
      </c>
    </row>
    <row r="363" spans="1:7" x14ac:dyDescent="0.3">
      <c r="A363" s="13" t="s">
        <v>291</v>
      </c>
      <c r="B363" s="13">
        <v>234</v>
      </c>
      <c r="C363" s="13">
        <v>143476</v>
      </c>
      <c r="D363" s="13" t="s">
        <v>1005</v>
      </c>
      <c r="E363" s="13">
        <v>266281</v>
      </c>
      <c r="F363" s="13">
        <v>453089</v>
      </c>
      <c r="G363" t="s">
        <v>836</v>
      </c>
    </row>
    <row r="364" spans="1:7" x14ac:dyDescent="0.3">
      <c r="A364" s="13" t="s">
        <v>293</v>
      </c>
      <c r="B364" s="13">
        <v>41000</v>
      </c>
      <c r="C364" s="13">
        <v>403</v>
      </c>
      <c r="D364" s="13" t="s">
        <v>1006</v>
      </c>
      <c r="E364" s="13">
        <v>134</v>
      </c>
      <c r="F364" s="13">
        <v>528</v>
      </c>
      <c r="G364" t="s">
        <v>836</v>
      </c>
    </row>
    <row r="365" spans="1:7" x14ac:dyDescent="0.3">
      <c r="A365" s="13" t="s">
        <v>942</v>
      </c>
      <c r="B365" s="13">
        <v>413.45</v>
      </c>
      <c r="C365" s="13">
        <v>11579</v>
      </c>
      <c r="D365" s="13" t="s">
        <v>1008</v>
      </c>
      <c r="E365" s="13">
        <v>22034</v>
      </c>
      <c r="F365" s="13">
        <v>24858</v>
      </c>
      <c r="G365" t="s">
        <v>836</v>
      </c>
    </row>
    <row r="366" spans="1:7" x14ac:dyDescent="0.3">
      <c r="A366" s="13" t="s">
        <v>944</v>
      </c>
      <c r="B366" s="13">
        <v>1130.0999999999999</v>
      </c>
      <c r="C366" s="13">
        <v>9329</v>
      </c>
      <c r="D366" s="13" t="s">
        <v>1006</v>
      </c>
      <c r="E366" s="13">
        <v>19773</v>
      </c>
      <c r="F366" s="13">
        <v>40693</v>
      </c>
      <c r="G366" t="s">
        <v>836</v>
      </c>
    </row>
    <row r="367" spans="1:7" x14ac:dyDescent="0.3">
      <c r="A367" s="13" t="s">
        <v>297</v>
      </c>
      <c r="B367" s="13">
        <v>4500</v>
      </c>
      <c r="C367" s="13">
        <v>82868</v>
      </c>
      <c r="D367" s="13" t="s">
        <v>1006</v>
      </c>
      <c r="E367" s="13">
        <v>10897</v>
      </c>
      <c r="F367" s="13">
        <v>113121</v>
      </c>
      <c r="G367" t="s">
        <v>836</v>
      </c>
    </row>
    <row r="368" spans="1:7" x14ac:dyDescent="0.3">
      <c r="A368" s="13" t="s">
        <v>299</v>
      </c>
      <c r="B368" s="13">
        <v>282.25</v>
      </c>
      <c r="C368" s="13">
        <v>7071</v>
      </c>
      <c r="D368" s="13" t="s">
        <v>1006</v>
      </c>
      <c r="E368" s="13">
        <v>21908</v>
      </c>
      <c r="F368" s="13">
        <v>56149</v>
      </c>
      <c r="G368" t="s">
        <v>836</v>
      </c>
    </row>
    <row r="369" spans="1:7" x14ac:dyDescent="0.3">
      <c r="A369" s="13" t="s">
        <v>301</v>
      </c>
      <c r="B369" s="13">
        <v>430.1</v>
      </c>
      <c r="C369" s="13">
        <v>92984</v>
      </c>
      <c r="D369" s="13" t="s">
        <v>1006</v>
      </c>
      <c r="E369" s="13">
        <v>70970</v>
      </c>
      <c r="F369" s="13">
        <v>180521</v>
      </c>
      <c r="G369" t="s">
        <v>836</v>
      </c>
    </row>
    <row r="370" spans="1:7" x14ac:dyDescent="0.3">
      <c r="A370" s="13" t="s">
        <v>946</v>
      </c>
      <c r="B370" s="13">
        <v>546</v>
      </c>
      <c r="C370" s="13">
        <v>3425</v>
      </c>
      <c r="D370" s="13" t="s">
        <v>1008</v>
      </c>
      <c r="E370" s="13">
        <v>8109</v>
      </c>
      <c r="F370" s="13">
        <v>73581</v>
      </c>
      <c r="G370" t="s">
        <v>836</v>
      </c>
    </row>
    <row r="371" spans="1:7" x14ac:dyDescent="0.3">
      <c r="A371" s="13" t="s">
        <v>948</v>
      </c>
      <c r="B371" s="13">
        <v>1894</v>
      </c>
      <c r="C371" s="13">
        <v>6945</v>
      </c>
      <c r="D371" s="13" t="s">
        <v>1006</v>
      </c>
      <c r="E371" s="13">
        <v>1491</v>
      </c>
      <c r="F371" s="13">
        <v>3910</v>
      </c>
      <c r="G371" t="s">
        <v>836</v>
      </c>
    </row>
    <row r="372" spans="1:7" x14ac:dyDescent="0.3">
      <c r="A372" s="13" t="s">
        <v>303</v>
      </c>
      <c r="B372" s="13">
        <v>1597.7</v>
      </c>
      <c r="C372" s="13">
        <v>9200</v>
      </c>
      <c r="D372" s="13" t="s">
        <v>1006</v>
      </c>
      <c r="E372" s="13">
        <v>5237</v>
      </c>
      <c r="F372" s="13">
        <v>18762</v>
      </c>
      <c r="G372" t="s">
        <v>836</v>
      </c>
    </row>
    <row r="373" spans="1:7" x14ac:dyDescent="0.3">
      <c r="A373" s="13" t="s">
        <v>305</v>
      </c>
      <c r="B373" s="13">
        <v>2684.9</v>
      </c>
      <c r="C373" s="13">
        <v>359</v>
      </c>
      <c r="D373" s="13" t="s">
        <v>1009</v>
      </c>
      <c r="E373" s="13">
        <v>3834</v>
      </c>
      <c r="F373" s="13">
        <v>7989</v>
      </c>
      <c r="G373" t="s">
        <v>836</v>
      </c>
    </row>
    <row r="374" spans="1:7" x14ac:dyDescent="0.3">
      <c r="A374" s="13" t="s">
        <v>307</v>
      </c>
      <c r="B374" s="13">
        <v>107.55</v>
      </c>
      <c r="C374" s="13">
        <v>41479</v>
      </c>
      <c r="D374" s="13" t="s">
        <v>1006</v>
      </c>
      <c r="E374" s="13">
        <v>206956</v>
      </c>
      <c r="F374" s="13">
        <v>1197550</v>
      </c>
      <c r="G374" t="s">
        <v>836</v>
      </c>
    </row>
    <row r="375" spans="1:7" x14ac:dyDescent="0.3">
      <c r="A375" s="13" t="s">
        <v>950</v>
      </c>
      <c r="B375" s="13">
        <v>1038.9000000000001</v>
      </c>
      <c r="C375" s="13">
        <v>2412</v>
      </c>
      <c r="D375" s="13" t="s">
        <v>1008</v>
      </c>
      <c r="E375" s="13">
        <v>11288</v>
      </c>
      <c r="F375" s="13">
        <v>12093</v>
      </c>
      <c r="G375" t="s">
        <v>836</v>
      </c>
    </row>
    <row r="376" spans="1:7" x14ac:dyDescent="0.3">
      <c r="A376" s="13" t="s">
        <v>952</v>
      </c>
      <c r="B376" s="13">
        <v>1621.7</v>
      </c>
      <c r="C376" s="13">
        <v>1994</v>
      </c>
      <c r="D376" s="13" t="s">
        <v>1008</v>
      </c>
      <c r="E376" s="13">
        <v>3757</v>
      </c>
      <c r="F376" s="13">
        <v>6492</v>
      </c>
      <c r="G376" t="s">
        <v>836</v>
      </c>
    </row>
    <row r="377" spans="1:7" x14ac:dyDescent="0.3">
      <c r="A377" s="13" t="s">
        <v>309</v>
      </c>
      <c r="B377" s="13">
        <v>9664</v>
      </c>
      <c r="C377" s="13">
        <v>4124</v>
      </c>
      <c r="D377" s="13" t="s">
        <v>1006</v>
      </c>
      <c r="E377" s="13">
        <v>1957</v>
      </c>
      <c r="F377" s="13">
        <v>11049</v>
      </c>
      <c r="G377" t="s">
        <v>836</v>
      </c>
    </row>
    <row r="378" spans="1:7" x14ac:dyDescent="0.3">
      <c r="A378" s="13" t="s">
        <v>311</v>
      </c>
      <c r="B378" s="13">
        <v>287</v>
      </c>
      <c r="C378" s="13">
        <v>176141</v>
      </c>
      <c r="D378" s="13" t="s">
        <v>1005</v>
      </c>
      <c r="E378" s="13">
        <v>162530</v>
      </c>
      <c r="F378" s="13">
        <v>132037</v>
      </c>
      <c r="G378" t="s">
        <v>822</v>
      </c>
    </row>
    <row r="379" spans="1:7" x14ac:dyDescent="0.3">
      <c r="A379" s="13" t="s">
        <v>954</v>
      </c>
      <c r="B379" s="13">
        <v>34005</v>
      </c>
      <c r="C379" s="13">
        <v>435</v>
      </c>
      <c r="D379" s="13" t="s">
        <v>1006</v>
      </c>
      <c r="E379" s="13">
        <v>1188</v>
      </c>
      <c r="F379" s="13">
        <v>2837</v>
      </c>
      <c r="G379" t="s">
        <v>836</v>
      </c>
    </row>
    <row r="380" spans="1:7" x14ac:dyDescent="0.3">
      <c r="A380" s="13" t="s">
        <v>956</v>
      </c>
      <c r="B380" s="13">
        <v>1050.5999999999999</v>
      </c>
      <c r="C380" s="13">
        <v>1482</v>
      </c>
      <c r="D380" s="13" t="s">
        <v>1008</v>
      </c>
      <c r="E380" s="13">
        <v>13945</v>
      </c>
      <c r="F380" s="13">
        <v>36390</v>
      </c>
      <c r="G380" t="s">
        <v>836</v>
      </c>
    </row>
    <row r="381" spans="1:7" x14ac:dyDescent="0.3">
      <c r="A381" s="13" t="s">
        <v>958</v>
      </c>
      <c r="B381" s="13">
        <v>1572</v>
      </c>
      <c r="C381" s="13">
        <v>2679</v>
      </c>
      <c r="D381" s="13" t="s">
        <v>1008</v>
      </c>
      <c r="E381" s="13">
        <v>4905</v>
      </c>
      <c r="F381" s="13">
        <v>6044</v>
      </c>
      <c r="G381" t="s">
        <v>836</v>
      </c>
    </row>
    <row r="382" spans="1:7" x14ac:dyDescent="0.3">
      <c r="A382" s="13" t="s">
        <v>960</v>
      </c>
      <c r="B382" s="13">
        <v>3841.8</v>
      </c>
      <c r="C382" s="13">
        <v>1769</v>
      </c>
      <c r="D382" s="13" t="s">
        <v>1006</v>
      </c>
      <c r="E382" s="13">
        <v>4044</v>
      </c>
      <c r="F382" s="13">
        <v>4608</v>
      </c>
      <c r="G382" t="s">
        <v>836</v>
      </c>
    </row>
    <row r="383" spans="1:7" x14ac:dyDescent="0.3">
      <c r="A383" s="13" t="s">
        <v>317</v>
      </c>
      <c r="B383" s="13">
        <v>371.5</v>
      </c>
      <c r="C383" s="13">
        <v>14250</v>
      </c>
      <c r="D383" s="13" t="s">
        <v>1007</v>
      </c>
      <c r="E383" s="13">
        <v>16317</v>
      </c>
      <c r="F383" s="13">
        <v>76552</v>
      </c>
      <c r="G383" t="s">
        <v>836</v>
      </c>
    </row>
    <row r="384" spans="1:7" x14ac:dyDescent="0.3">
      <c r="A384" s="13" t="s">
        <v>319</v>
      </c>
      <c r="B384" s="13">
        <v>365.55</v>
      </c>
      <c r="C384" s="13">
        <v>181852</v>
      </c>
      <c r="D384" s="13" t="s">
        <v>1006</v>
      </c>
      <c r="E384" s="13">
        <v>278216</v>
      </c>
      <c r="F384" s="13">
        <v>322835</v>
      </c>
      <c r="G384" t="s">
        <v>836</v>
      </c>
    </row>
    <row r="385" spans="1:7" x14ac:dyDescent="0.3">
      <c r="A385" s="13" t="s">
        <v>321</v>
      </c>
      <c r="B385" s="13">
        <v>1308</v>
      </c>
      <c r="C385" s="13">
        <v>431596</v>
      </c>
      <c r="D385" s="13" t="s">
        <v>1006</v>
      </c>
      <c r="E385" s="13">
        <v>236605</v>
      </c>
      <c r="F385" s="13">
        <v>317579</v>
      </c>
      <c r="G385" t="s">
        <v>836</v>
      </c>
    </row>
    <row r="386" spans="1:7" x14ac:dyDescent="0.3">
      <c r="A386" s="13" t="s">
        <v>962</v>
      </c>
      <c r="B386" s="13">
        <v>240.25</v>
      </c>
      <c r="C386" s="13">
        <v>25104</v>
      </c>
      <c r="D386" s="13" t="s">
        <v>1006</v>
      </c>
      <c r="E386" s="13">
        <v>82874</v>
      </c>
      <c r="F386" s="13">
        <v>450114</v>
      </c>
      <c r="G386" t="s">
        <v>836</v>
      </c>
    </row>
    <row r="387" spans="1:7" x14ac:dyDescent="0.3">
      <c r="A387" s="13" t="s">
        <v>323</v>
      </c>
      <c r="B387" s="13">
        <v>170.79</v>
      </c>
      <c r="C387" s="13">
        <v>37438</v>
      </c>
      <c r="D387" s="13" t="s">
        <v>1006</v>
      </c>
      <c r="E387" s="13">
        <v>59002</v>
      </c>
      <c r="F387" s="13">
        <v>237516</v>
      </c>
      <c r="G387" t="s">
        <v>836</v>
      </c>
    </row>
    <row r="388" spans="1:7" x14ac:dyDescent="0.3">
      <c r="A388" s="13" t="s">
        <v>964</v>
      </c>
      <c r="B388" s="13">
        <v>170</v>
      </c>
      <c r="C388" s="13">
        <v>23559</v>
      </c>
      <c r="D388" s="13" t="s">
        <v>1008</v>
      </c>
      <c r="E388" s="13">
        <v>274536</v>
      </c>
      <c r="F388" s="13">
        <v>501591</v>
      </c>
      <c r="G388" t="s">
        <v>836</v>
      </c>
    </row>
    <row r="389" spans="1:7" x14ac:dyDescent="0.3">
      <c r="A389" s="13" t="s">
        <v>325</v>
      </c>
      <c r="B389" s="13">
        <v>624.6</v>
      </c>
      <c r="C389" s="13">
        <v>1616</v>
      </c>
      <c r="D389" s="13" t="s">
        <v>1006</v>
      </c>
      <c r="E389" s="13">
        <v>14831</v>
      </c>
      <c r="F389" s="13">
        <v>41314</v>
      </c>
      <c r="G389" t="s">
        <v>836</v>
      </c>
    </row>
    <row r="390" spans="1:7" x14ac:dyDescent="0.3">
      <c r="A390" s="13" t="s">
        <v>327</v>
      </c>
      <c r="B390" s="13">
        <v>1759.6</v>
      </c>
      <c r="C390" s="13">
        <v>2428</v>
      </c>
      <c r="D390" s="13" t="s">
        <v>1006</v>
      </c>
      <c r="E390" s="13">
        <v>6189</v>
      </c>
      <c r="F390" s="13">
        <v>11572</v>
      </c>
      <c r="G390" t="s">
        <v>836</v>
      </c>
    </row>
    <row r="391" spans="1:7" x14ac:dyDescent="0.3">
      <c r="A391" s="13" t="s">
        <v>329</v>
      </c>
      <c r="B391" s="13">
        <v>1044.45</v>
      </c>
      <c r="C391" s="13">
        <v>76761</v>
      </c>
      <c r="D391" s="13" t="s">
        <v>1005</v>
      </c>
      <c r="E391" s="13">
        <v>64338</v>
      </c>
      <c r="F391" s="13">
        <v>275650</v>
      </c>
      <c r="G391" t="s">
        <v>836</v>
      </c>
    </row>
    <row r="392" spans="1:7" x14ac:dyDescent="0.3">
      <c r="A392" s="13" t="s">
        <v>331</v>
      </c>
      <c r="B392" s="13">
        <v>25865</v>
      </c>
      <c r="C392" s="13">
        <v>54</v>
      </c>
      <c r="D392" s="13" t="s">
        <v>1007</v>
      </c>
      <c r="E392" s="13">
        <v>367</v>
      </c>
      <c r="F392" s="13">
        <v>361</v>
      </c>
      <c r="G392" t="s">
        <v>822</v>
      </c>
    </row>
    <row r="393" spans="1:7" x14ac:dyDescent="0.3">
      <c r="A393" s="13" t="s">
        <v>333</v>
      </c>
      <c r="B393" s="13">
        <v>1036.95</v>
      </c>
      <c r="C393" s="13">
        <v>116680</v>
      </c>
      <c r="D393" s="13" t="s">
        <v>1006</v>
      </c>
      <c r="E393" s="13">
        <v>55166</v>
      </c>
      <c r="F393" s="13">
        <v>102984</v>
      </c>
      <c r="G393" t="s">
        <v>836</v>
      </c>
    </row>
    <row r="394" spans="1:7" x14ac:dyDescent="0.3">
      <c r="A394" s="13" t="s">
        <v>335</v>
      </c>
      <c r="B394" s="13">
        <v>3650</v>
      </c>
      <c r="C394" s="13">
        <v>377</v>
      </c>
      <c r="D394" s="13" t="s">
        <v>1005</v>
      </c>
      <c r="E394" s="13">
        <v>3654</v>
      </c>
      <c r="F394" s="13">
        <v>7700</v>
      </c>
      <c r="G394" t="s">
        <v>836</v>
      </c>
    </row>
    <row r="395" spans="1:7" x14ac:dyDescent="0.3">
      <c r="A395" s="13" t="s">
        <v>966</v>
      </c>
      <c r="B395" s="13">
        <v>17429</v>
      </c>
      <c r="C395" s="13">
        <v>221</v>
      </c>
      <c r="D395" s="13" t="s">
        <v>1009</v>
      </c>
      <c r="E395" s="13">
        <v>1185</v>
      </c>
      <c r="F395" s="13">
        <v>4213</v>
      </c>
      <c r="G395" t="s">
        <v>836</v>
      </c>
    </row>
    <row r="396" spans="1:7" x14ac:dyDescent="0.3">
      <c r="A396" s="13" t="s">
        <v>968</v>
      </c>
      <c r="B396" s="13">
        <v>619.25</v>
      </c>
      <c r="C396" s="13">
        <v>1693</v>
      </c>
      <c r="D396" s="13" t="s">
        <v>1005</v>
      </c>
      <c r="E396" s="13">
        <v>9388</v>
      </c>
      <c r="F396" s="13">
        <v>52800</v>
      </c>
      <c r="G396" t="s">
        <v>836</v>
      </c>
    </row>
    <row r="397" spans="1:7" x14ac:dyDescent="0.3">
      <c r="A397" s="13" t="s">
        <v>337</v>
      </c>
      <c r="B397" s="13">
        <v>2732.9</v>
      </c>
      <c r="C397" s="13">
        <v>273</v>
      </c>
      <c r="D397" s="13" t="s">
        <v>1006</v>
      </c>
      <c r="E397" s="13">
        <v>7807</v>
      </c>
      <c r="F397" s="13">
        <v>10163</v>
      </c>
      <c r="G397" t="s">
        <v>836</v>
      </c>
    </row>
    <row r="398" spans="1:7" x14ac:dyDescent="0.3">
      <c r="A398" s="13" t="s">
        <v>339</v>
      </c>
      <c r="B398" s="13">
        <v>1876.8</v>
      </c>
      <c r="C398" s="13">
        <v>18549</v>
      </c>
      <c r="D398" s="13" t="s">
        <v>1005</v>
      </c>
      <c r="E398" s="13">
        <v>4482</v>
      </c>
      <c r="F398" s="13">
        <v>22591</v>
      </c>
      <c r="G398" t="s">
        <v>836</v>
      </c>
    </row>
    <row r="399" spans="1:7" x14ac:dyDescent="0.3">
      <c r="A399" s="13" t="s">
        <v>970</v>
      </c>
      <c r="B399" s="13">
        <v>3397.7</v>
      </c>
      <c r="C399" s="13">
        <v>1365</v>
      </c>
      <c r="D399" s="13" t="s">
        <v>1005</v>
      </c>
      <c r="E399" s="13">
        <v>2337</v>
      </c>
      <c r="F399" s="13">
        <v>4283</v>
      </c>
      <c r="G399" t="s">
        <v>836</v>
      </c>
    </row>
    <row r="400" spans="1:7" x14ac:dyDescent="0.3">
      <c r="A400" s="13" t="s">
        <v>972</v>
      </c>
      <c r="B400" s="13">
        <v>58</v>
      </c>
      <c r="C400" s="13">
        <v>847989</v>
      </c>
      <c r="D400" s="13" t="s">
        <v>1006</v>
      </c>
      <c r="E400" s="13">
        <v>1743285</v>
      </c>
      <c r="F400" s="13">
        <v>4380273</v>
      </c>
      <c r="G400" t="s">
        <v>836</v>
      </c>
    </row>
    <row r="401" spans="1:7" x14ac:dyDescent="0.3">
      <c r="A401" s="13" t="s">
        <v>974</v>
      </c>
      <c r="B401" s="13">
        <v>240.75</v>
      </c>
      <c r="C401" s="13">
        <v>27891</v>
      </c>
      <c r="D401" s="13" t="s">
        <v>1008</v>
      </c>
      <c r="E401" s="13">
        <v>120785</v>
      </c>
      <c r="F401" s="13">
        <v>209672</v>
      </c>
      <c r="G401" t="s">
        <v>836</v>
      </c>
    </row>
    <row r="402" spans="1:7" x14ac:dyDescent="0.3">
      <c r="A402" s="13" t="s">
        <v>349</v>
      </c>
      <c r="B402" s="13">
        <v>1142.5999999999999</v>
      </c>
      <c r="C402" s="13">
        <v>23365</v>
      </c>
      <c r="D402" s="13" t="s">
        <v>1006</v>
      </c>
      <c r="E402" s="13">
        <v>21424</v>
      </c>
      <c r="F402" s="13">
        <v>28346</v>
      </c>
      <c r="G402" t="s">
        <v>836</v>
      </c>
    </row>
    <row r="403" spans="1:7" x14ac:dyDescent="0.3">
      <c r="A403" s="13" t="s">
        <v>976</v>
      </c>
      <c r="B403" s="13">
        <v>4041</v>
      </c>
      <c r="C403" s="13">
        <v>1115</v>
      </c>
      <c r="D403" s="13" t="s">
        <v>1006</v>
      </c>
      <c r="E403" s="13">
        <v>6125</v>
      </c>
      <c r="F403" s="13">
        <v>8623</v>
      </c>
      <c r="G403" t="s">
        <v>836</v>
      </c>
    </row>
    <row r="404" spans="1:7" x14ac:dyDescent="0.3">
      <c r="A404" s="13" t="s">
        <v>353</v>
      </c>
      <c r="B404" s="13">
        <v>388.95</v>
      </c>
      <c r="C404" s="13">
        <v>39076</v>
      </c>
      <c r="D404" s="13" t="s">
        <v>1005</v>
      </c>
      <c r="E404" s="13">
        <v>80366</v>
      </c>
      <c r="F404" s="13">
        <v>244224</v>
      </c>
      <c r="G404" t="s">
        <v>836</v>
      </c>
    </row>
    <row r="405" spans="1:7" x14ac:dyDescent="0.3">
      <c r="A405" s="13" t="s">
        <v>355</v>
      </c>
      <c r="B405" s="13">
        <v>188.73</v>
      </c>
      <c r="C405" s="13">
        <v>94578</v>
      </c>
      <c r="D405" s="13" t="s">
        <v>1006</v>
      </c>
      <c r="E405" s="13">
        <v>263770</v>
      </c>
      <c r="F405" s="13">
        <v>744584</v>
      </c>
      <c r="G405" t="s">
        <v>836</v>
      </c>
    </row>
    <row r="406" spans="1:7" x14ac:dyDescent="0.3">
      <c r="A406" s="13" t="s">
        <v>357</v>
      </c>
      <c r="B406" s="13">
        <v>2090</v>
      </c>
      <c r="C406" s="13">
        <v>43428</v>
      </c>
      <c r="D406" s="13" t="s">
        <v>1006</v>
      </c>
      <c r="E406" s="13">
        <v>48244</v>
      </c>
      <c r="F406" s="13">
        <v>126719</v>
      </c>
      <c r="G406" t="s">
        <v>836</v>
      </c>
    </row>
    <row r="407" spans="1:7" x14ac:dyDescent="0.3">
      <c r="A407" s="13" t="s">
        <v>359</v>
      </c>
      <c r="B407" s="13">
        <v>1439.7</v>
      </c>
      <c r="C407" s="13">
        <v>30024</v>
      </c>
      <c r="D407" s="13" t="s">
        <v>1006</v>
      </c>
      <c r="E407" s="13">
        <v>14412</v>
      </c>
      <c r="F407" s="13">
        <v>38589</v>
      </c>
      <c r="G407" t="s">
        <v>836</v>
      </c>
    </row>
    <row r="408" spans="1:7" x14ac:dyDescent="0.3">
      <c r="A408" s="13" t="s">
        <v>978</v>
      </c>
      <c r="B408" s="13">
        <v>3077.7</v>
      </c>
      <c r="C408" s="13">
        <v>612</v>
      </c>
      <c r="D408" s="13" t="s">
        <v>1006</v>
      </c>
      <c r="E408" s="13">
        <v>3271</v>
      </c>
      <c r="F408" s="13">
        <v>5240</v>
      </c>
      <c r="G408" t="s">
        <v>836</v>
      </c>
    </row>
    <row r="409" spans="1:7" x14ac:dyDescent="0.3">
      <c r="A409" s="13" t="s">
        <v>361</v>
      </c>
      <c r="B409" s="13">
        <v>4285</v>
      </c>
      <c r="C409" s="13">
        <v>8520</v>
      </c>
      <c r="D409" s="13" t="s">
        <v>1005</v>
      </c>
      <c r="E409" s="13">
        <v>4093</v>
      </c>
      <c r="F409" s="13">
        <v>13725</v>
      </c>
      <c r="G409" t="s">
        <v>836</v>
      </c>
    </row>
    <row r="410" spans="1:7" x14ac:dyDescent="0.3">
      <c r="A410" s="13" t="s">
        <v>980</v>
      </c>
      <c r="B410" s="13">
        <v>350</v>
      </c>
      <c r="C410" s="13">
        <v>125634</v>
      </c>
      <c r="D410" s="13" t="s">
        <v>1006</v>
      </c>
      <c r="E410" s="13">
        <v>109928</v>
      </c>
      <c r="F410" s="13">
        <v>380895</v>
      </c>
      <c r="G410" t="s">
        <v>836</v>
      </c>
    </row>
    <row r="411" spans="1:7" x14ac:dyDescent="0.3">
      <c r="A411" s="13" t="s">
        <v>363</v>
      </c>
      <c r="B411" s="13">
        <v>4516.2</v>
      </c>
      <c r="C411" s="13">
        <v>831</v>
      </c>
      <c r="D411" s="13" t="s">
        <v>1007</v>
      </c>
      <c r="E411" s="13">
        <v>636</v>
      </c>
      <c r="F411" s="13">
        <v>2966</v>
      </c>
      <c r="G411" t="s">
        <v>836</v>
      </c>
    </row>
    <row r="412" spans="1:7" x14ac:dyDescent="0.3">
      <c r="A412" s="13" t="s">
        <v>365</v>
      </c>
      <c r="B412" s="13">
        <v>3225.3</v>
      </c>
      <c r="C412" s="13">
        <v>4161</v>
      </c>
      <c r="D412" s="13" t="s">
        <v>1008</v>
      </c>
      <c r="E412" s="13">
        <v>9238</v>
      </c>
      <c r="F412" s="13">
        <v>19213</v>
      </c>
      <c r="G412" t="s">
        <v>836</v>
      </c>
    </row>
    <row r="413" spans="1:7" x14ac:dyDescent="0.3">
      <c r="A413" s="13" t="s">
        <v>367</v>
      </c>
      <c r="B413" s="13">
        <v>3542.4</v>
      </c>
      <c r="C413" s="13">
        <v>11639</v>
      </c>
      <c r="D413" s="13" t="s">
        <v>1006</v>
      </c>
      <c r="E413" s="13">
        <v>5802</v>
      </c>
      <c r="F413" s="13">
        <v>13041</v>
      </c>
      <c r="G413" t="s">
        <v>836</v>
      </c>
    </row>
    <row r="414" spans="1:7" x14ac:dyDescent="0.3">
      <c r="A414" s="13" t="s">
        <v>371</v>
      </c>
      <c r="B414" s="13">
        <v>11457</v>
      </c>
      <c r="C414" s="13">
        <v>500</v>
      </c>
      <c r="D414" s="13" t="s">
        <v>1006</v>
      </c>
      <c r="E414" s="13">
        <v>1218</v>
      </c>
      <c r="F414" s="13">
        <v>5402</v>
      </c>
      <c r="G414" t="s">
        <v>836</v>
      </c>
    </row>
    <row r="415" spans="1:7" x14ac:dyDescent="0.3">
      <c r="A415" s="13" t="s">
        <v>982</v>
      </c>
      <c r="B415" s="13">
        <v>175</v>
      </c>
      <c r="C415" s="13">
        <v>33115</v>
      </c>
      <c r="D415" s="13" t="s">
        <v>1006</v>
      </c>
      <c r="E415" s="13">
        <v>133473</v>
      </c>
      <c r="F415" s="13">
        <v>678022</v>
      </c>
      <c r="G415" t="s">
        <v>836</v>
      </c>
    </row>
    <row r="416" spans="1:7" x14ac:dyDescent="0.3">
      <c r="A416" s="13" t="s">
        <v>984</v>
      </c>
      <c r="B416" s="13">
        <v>1375</v>
      </c>
      <c r="C416" s="13">
        <v>5539</v>
      </c>
      <c r="D416" s="13" t="s">
        <v>1009</v>
      </c>
      <c r="E416" s="13">
        <v>1766</v>
      </c>
      <c r="F416" s="13">
        <v>42057</v>
      </c>
      <c r="G416" t="s">
        <v>836</v>
      </c>
    </row>
    <row r="417" spans="1:7" x14ac:dyDescent="0.3">
      <c r="A417" s="13" t="s">
        <v>986</v>
      </c>
      <c r="B417" s="13">
        <v>1140</v>
      </c>
      <c r="C417" s="13">
        <v>2075</v>
      </c>
      <c r="D417" s="13" t="s">
        <v>1006</v>
      </c>
      <c r="E417" s="13">
        <v>13854</v>
      </c>
      <c r="F417" s="13">
        <v>20879</v>
      </c>
      <c r="G417" t="s">
        <v>836</v>
      </c>
    </row>
    <row r="418" spans="1:7" x14ac:dyDescent="0.3">
      <c r="A418" s="13" t="s">
        <v>373</v>
      </c>
      <c r="B418" s="13">
        <v>590.5</v>
      </c>
      <c r="C418" s="13">
        <v>2305</v>
      </c>
      <c r="D418" s="13" t="s">
        <v>1009</v>
      </c>
      <c r="E418" s="13">
        <v>19197</v>
      </c>
      <c r="F418" s="13">
        <v>28522</v>
      </c>
      <c r="G418" t="s">
        <v>836</v>
      </c>
    </row>
    <row r="419" spans="1:7" x14ac:dyDescent="0.3">
      <c r="A419" s="13" t="s">
        <v>988</v>
      </c>
      <c r="B419" s="13">
        <v>507.65</v>
      </c>
      <c r="C419" s="13">
        <v>12382</v>
      </c>
      <c r="D419" s="13" t="s">
        <v>1009</v>
      </c>
      <c r="E419" s="13">
        <v>35736</v>
      </c>
      <c r="F419" s="13">
        <v>205335</v>
      </c>
      <c r="G419" t="s">
        <v>836</v>
      </c>
    </row>
    <row r="420" spans="1:7" x14ac:dyDescent="0.3">
      <c r="A420" s="13" t="s">
        <v>375</v>
      </c>
      <c r="B420" s="13">
        <v>270.5</v>
      </c>
      <c r="C420" s="13">
        <v>182673</v>
      </c>
      <c r="D420" s="13" t="s">
        <v>1006</v>
      </c>
      <c r="E420" s="13">
        <v>223379</v>
      </c>
      <c r="F420" s="13">
        <v>710537</v>
      </c>
      <c r="G420" t="s">
        <v>836</v>
      </c>
    </row>
    <row r="421" spans="1:7" x14ac:dyDescent="0.3">
      <c r="A421" s="13" t="s">
        <v>990</v>
      </c>
      <c r="B421" s="13">
        <v>116.4</v>
      </c>
      <c r="C421" s="13">
        <v>21978</v>
      </c>
      <c r="D421" s="13" t="s">
        <v>1009</v>
      </c>
      <c r="E421" s="13">
        <v>107685</v>
      </c>
      <c r="F421" s="13">
        <v>517659</v>
      </c>
      <c r="G421" t="s">
        <v>836</v>
      </c>
    </row>
    <row r="422" spans="1:7" x14ac:dyDescent="0.3">
      <c r="A422" s="13" t="s">
        <v>377</v>
      </c>
      <c r="B422" s="13">
        <v>1303.2</v>
      </c>
      <c r="C422" s="13">
        <v>1178</v>
      </c>
      <c r="D422" s="13" t="s">
        <v>1009</v>
      </c>
      <c r="E422" s="13">
        <v>6661</v>
      </c>
      <c r="F422" s="13">
        <v>28348</v>
      </c>
      <c r="G422" t="s">
        <v>836</v>
      </c>
    </row>
    <row r="423" spans="1:7" x14ac:dyDescent="0.3">
      <c r="A423" s="13" t="s">
        <v>992</v>
      </c>
      <c r="B423" s="13">
        <v>3020</v>
      </c>
      <c r="C423" s="13">
        <v>13388</v>
      </c>
      <c r="D423" s="13" t="s">
        <v>1007</v>
      </c>
      <c r="E423" s="13">
        <v>29909</v>
      </c>
      <c r="F423" s="13">
        <v>62653</v>
      </c>
      <c r="G423" t="s">
        <v>836</v>
      </c>
    </row>
    <row r="424" spans="1:7" x14ac:dyDescent="0.3">
      <c r="A424" s="13" t="s">
        <v>379</v>
      </c>
      <c r="B424" s="13">
        <v>176.28</v>
      </c>
      <c r="C424" s="13">
        <v>293453</v>
      </c>
      <c r="D424" s="13" t="s">
        <v>1006</v>
      </c>
      <c r="E424" s="13">
        <v>484257</v>
      </c>
      <c r="F424" s="13">
        <v>1602794</v>
      </c>
      <c r="G424" t="s">
        <v>836</v>
      </c>
    </row>
    <row r="425" spans="1:7" x14ac:dyDescent="0.3">
      <c r="A425" s="13" t="s">
        <v>994</v>
      </c>
      <c r="B425" s="13">
        <v>24.87</v>
      </c>
      <c r="C425" s="13">
        <v>535747</v>
      </c>
      <c r="D425" s="13" t="s">
        <v>1006</v>
      </c>
      <c r="E425" s="13">
        <v>2416148</v>
      </c>
      <c r="F425" s="13">
        <v>5237639</v>
      </c>
      <c r="G425" t="s">
        <v>836</v>
      </c>
    </row>
    <row r="426" spans="1:7" x14ac:dyDescent="0.3">
      <c r="A426" s="13" t="s">
        <v>383</v>
      </c>
      <c r="B426" s="13">
        <v>1104.7</v>
      </c>
      <c r="C426" s="13">
        <v>3390</v>
      </c>
      <c r="D426" s="13" t="s">
        <v>1008</v>
      </c>
      <c r="E426" s="13">
        <v>7471</v>
      </c>
      <c r="F426" s="13">
        <v>31372</v>
      </c>
      <c r="G426" t="s">
        <v>836</v>
      </c>
    </row>
    <row r="428" spans="1:7" x14ac:dyDescent="0.3">
      <c r="A428" s="13" t="s">
        <v>995</v>
      </c>
      <c r="B428" s="13" t="s">
        <v>996</v>
      </c>
      <c r="C428" s="13" t="s">
        <v>997</v>
      </c>
      <c r="D428" s="13" t="s">
        <v>998</v>
      </c>
      <c r="E428" s="13" t="s">
        <v>999</v>
      </c>
      <c r="F428" s="13" t="s">
        <v>1000</v>
      </c>
      <c r="G428" t="s">
        <v>1010</v>
      </c>
    </row>
    <row r="429" spans="1:7" x14ac:dyDescent="0.3">
      <c r="A429" s="13" t="s">
        <v>840</v>
      </c>
      <c r="B429" s="13">
        <v>1083.0999999999999</v>
      </c>
      <c r="C429" s="13">
        <v>940</v>
      </c>
      <c r="D429" s="34">
        <v>46203.380648148152</v>
      </c>
      <c r="E429" s="13">
        <v>4223</v>
      </c>
      <c r="F429" s="13">
        <v>17024</v>
      </c>
      <c r="G429" t="s">
        <v>836</v>
      </c>
    </row>
    <row r="430" spans="1:7" x14ac:dyDescent="0.3">
      <c r="A430" s="13" t="s">
        <v>26</v>
      </c>
      <c r="B430" s="13">
        <v>7070</v>
      </c>
      <c r="C430" s="13">
        <v>2443</v>
      </c>
      <c r="D430" s="13" t="s">
        <v>1025</v>
      </c>
      <c r="E430" s="13">
        <v>4647</v>
      </c>
      <c r="F430" s="13">
        <v>8752</v>
      </c>
      <c r="G430" t="s">
        <v>836</v>
      </c>
    </row>
    <row r="431" spans="1:7" x14ac:dyDescent="0.3">
      <c r="A431" s="13" t="s">
        <v>30</v>
      </c>
      <c r="B431" s="13">
        <v>387.9</v>
      </c>
      <c r="C431" s="13">
        <v>5465</v>
      </c>
      <c r="D431" s="13" t="s">
        <v>1026</v>
      </c>
      <c r="E431" s="13">
        <v>19606</v>
      </c>
      <c r="F431" s="13">
        <v>56821</v>
      </c>
      <c r="G431" t="s">
        <v>836</v>
      </c>
    </row>
    <row r="432" spans="1:7" x14ac:dyDescent="0.3">
      <c r="A432" s="13" t="s">
        <v>842</v>
      </c>
      <c r="B432" s="13">
        <v>1494</v>
      </c>
      <c r="C432" s="13">
        <v>3228</v>
      </c>
      <c r="D432" s="13" t="s">
        <v>1027</v>
      </c>
      <c r="E432" s="13">
        <v>11373</v>
      </c>
      <c r="F432" s="13">
        <v>74194</v>
      </c>
      <c r="G432" t="s">
        <v>836</v>
      </c>
    </row>
    <row r="433" spans="1:7" x14ac:dyDescent="0.3">
      <c r="A433" s="13" t="s">
        <v>37</v>
      </c>
      <c r="B433" s="13">
        <v>2980</v>
      </c>
      <c r="C433" s="13">
        <v>2184</v>
      </c>
      <c r="D433" s="13" t="s">
        <v>1025</v>
      </c>
      <c r="E433" s="13">
        <v>14178</v>
      </c>
      <c r="F433" s="13">
        <v>19733</v>
      </c>
      <c r="G433" t="s">
        <v>836</v>
      </c>
    </row>
    <row r="434" spans="1:7" x14ac:dyDescent="0.3">
      <c r="A434" s="13" t="s">
        <v>844</v>
      </c>
      <c r="B434" s="13">
        <v>1504</v>
      </c>
      <c r="C434" s="13">
        <v>1873</v>
      </c>
      <c r="D434" s="13" t="s">
        <v>1028</v>
      </c>
      <c r="E434" s="13">
        <v>19759</v>
      </c>
      <c r="F434" s="13">
        <v>46135</v>
      </c>
      <c r="G434" t="s">
        <v>836</v>
      </c>
    </row>
    <row r="435" spans="1:7" x14ac:dyDescent="0.3">
      <c r="A435" s="13" t="s">
        <v>39</v>
      </c>
      <c r="B435" s="13">
        <v>1786.9</v>
      </c>
      <c r="C435" s="13">
        <v>6718</v>
      </c>
      <c r="D435" s="13" t="s">
        <v>1027</v>
      </c>
      <c r="E435" s="13">
        <v>14607</v>
      </c>
      <c r="F435" s="13">
        <v>37208</v>
      </c>
      <c r="G435" t="s">
        <v>836</v>
      </c>
    </row>
    <row r="436" spans="1:7" x14ac:dyDescent="0.3">
      <c r="A436" s="13" t="s">
        <v>846</v>
      </c>
      <c r="B436" s="13">
        <v>228</v>
      </c>
      <c r="C436" s="13">
        <v>67792</v>
      </c>
      <c r="D436" s="13" t="s">
        <v>1027</v>
      </c>
      <c r="E436" s="13">
        <v>245230</v>
      </c>
      <c r="F436" s="13">
        <v>737522</v>
      </c>
      <c r="G436" t="s">
        <v>836</v>
      </c>
    </row>
    <row r="437" spans="1:7" x14ac:dyDescent="0.3">
      <c r="A437" s="13" t="s">
        <v>41</v>
      </c>
      <c r="B437" s="13">
        <v>5416.5</v>
      </c>
      <c r="C437" s="13">
        <v>88</v>
      </c>
      <c r="D437" s="13" t="s">
        <v>1029</v>
      </c>
      <c r="E437" s="13">
        <v>640</v>
      </c>
      <c r="F437" s="13">
        <v>1454</v>
      </c>
      <c r="G437" t="s">
        <v>836</v>
      </c>
    </row>
    <row r="438" spans="1:7" x14ac:dyDescent="0.3">
      <c r="A438" s="13" t="s">
        <v>848</v>
      </c>
      <c r="B438" s="13">
        <v>7442.5</v>
      </c>
      <c r="C438" s="13">
        <v>307</v>
      </c>
      <c r="D438" s="13" t="s">
        <v>1025</v>
      </c>
      <c r="E438" s="13">
        <v>2873</v>
      </c>
      <c r="F438" s="13">
        <v>6403</v>
      </c>
      <c r="G438" t="s">
        <v>836</v>
      </c>
    </row>
    <row r="439" spans="1:7" x14ac:dyDescent="0.3">
      <c r="A439" s="13" t="s">
        <v>43</v>
      </c>
      <c r="B439" s="13">
        <v>425</v>
      </c>
      <c r="C439" s="13">
        <v>2660</v>
      </c>
      <c r="D439" s="13" t="s">
        <v>1025</v>
      </c>
      <c r="E439" s="13">
        <v>47493</v>
      </c>
      <c r="F439" s="13">
        <v>96442</v>
      </c>
      <c r="G439" t="s">
        <v>836</v>
      </c>
    </row>
    <row r="440" spans="1:7" x14ac:dyDescent="0.3">
      <c r="A440" s="13" t="s">
        <v>850</v>
      </c>
      <c r="B440" s="13">
        <v>329.75</v>
      </c>
      <c r="C440" s="13">
        <v>6005</v>
      </c>
      <c r="D440" s="13" t="s">
        <v>1026</v>
      </c>
      <c r="E440" s="13">
        <v>59426</v>
      </c>
      <c r="F440" s="13">
        <v>122641</v>
      </c>
      <c r="G440" t="s">
        <v>836</v>
      </c>
    </row>
    <row r="441" spans="1:7" x14ac:dyDescent="0.3">
      <c r="A441" s="13" t="s">
        <v>852</v>
      </c>
      <c r="B441" s="13">
        <v>1780.6</v>
      </c>
      <c r="C441" s="13">
        <v>472</v>
      </c>
      <c r="D441" s="13" t="s">
        <v>1026</v>
      </c>
      <c r="E441" s="13">
        <v>3575</v>
      </c>
      <c r="F441" s="13">
        <v>5746</v>
      </c>
      <c r="G441" t="s">
        <v>836</v>
      </c>
    </row>
    <row r="442" spans="1:7" x14ac:dyDescent="0.3">
      <c r="A442" s="13" t="s">
        <v>45</v>
      </c>
      <c r="B442" s="13">
        <v>8654.5</v>
      </c>
      <c r="C442" s="13">
        <v>744</v>
      </c>
      <c r="D442" s="13" t="s">
        <v>1025</v>
      </c>
      <c r="E442" s="13">
        <v>1432</v>
      </c>
      <c r="F442" s="13">
        <v>3790</v>
      </c>
      <c r="G442" t="s">
        <v>836</v>
      </c>
    </row>
    <row r="443" spans="1:7" x14ac:dyDescent="0.3">
      <c r="A443" s="13" t="s">
        <v>49</v>
      </c>
      <c r="B443" s="13">
        <v>159.06</v>
      </c>
      <c r="C443" s="13">
        <v>89799</v>
      </c>
      <c r="D443" s="13" t="s">
        <v>1027</v>
      </c>
      <c r="E443" s="13">
        <v>262058</v>
      </c>
      <c r="F443" s="13">
        <v>513672</v>
      </c>
      <c r="G443" t="s">
        <v>836</v>
      </c>
    </row>
    <row r="444" spans="1:7" x14ac:dyDescent="0.3">
      <c r="A444" s="13" t="s">
        <v>51</v>
      </c>
      <c r="B444" s="13">
        <v>2658</v>
      </c>
      <c r="C444" s="13">
        <v>1593</v>
      </c>
      <c r="D444" s="13" t="s">
        <v>1027</v>
      </c>
      <c r="E444" s="13">
        <v>4710</v>
      </c>
      <c r="F444" s="13">
        <v>20001</v>
      </c>
      <c r="G444" t="s">
        <v>836</v>
      </c>
    </row>
    <row r="445" spans="1:7" x14ac:dyDescent="0.3">
      <c r="A445" s="13" t="s">
        <v>53</v>
      </c>
      <c r="B445" s="13">
        <v>1381.6</v>
      </c>
      <c r="C445" s="13">
        <v>2284</v>
      </c>
      <c r="D445" s="13" t="s">
        <v>1027</v>
      </c>
      <c r="E445" s="13">
        <v>26870</v>
      </c>
      <c r="F445" s="13">
        <v>22745</v>
      </c>
      <c r="G445" t="s">
        <v>822</v>
      </c>
    </row>
    <row r="446" spans="1:7" x14ac:dyDescent="0.3">
      <c r="A446" s="13" t="s">
        <v>57</v>
      </c>
      <c r="B446" s="13">
        <v>1035</v>
      </c>
      <c r="C446" s="13">
        <v>1728</v>
      </c>
      <c r="D446" s="13" t="s">
        <v>1027</v>
      </c>
      <c r="E446" s="13">
        <v>6419</v>
      </c>
      <c r="F446" s="13">
        <v>20751</v>
      </c>
      <c r="G446" t="s">
        <v>836</v>
      </c>
    </row>
    <row r="447" spans="1:7" x14ac:dyDescent="0.3">
      <c r="A447" s="13" t="s">
        <v>59</v>
      </c>
      <c r="B447" s="13">
        <v>1551</v>
      </c>
      <c r="C447" s="13">
        <v>416</v>
      </c>
      <c r="D447" s="13" t="s">
        <v>1026</v>
      </c>
      <c r="E447" s="13">
        <v>4169</v>
      </c>
      <c r="F447" s="13">
        <v>14225</v>
      </c>
      <c r="G447" t="s">
        <v>836</v>
      </c>
    </row>
    <row r="448" spans="1:7" x14ac:dyDescent="0.3">
      <c r="A448" s="13" t="s">
        <v>61</v>
      </c>
      <c r="B448" s="13">
        <v>1357.7</v>
      </c>
      <c r="C448" s="13">
        <v>61441</v>
      </c>
      <c r="D448" s="13" t="s">
        <v>1028</v>
      </c>
      <c r="E448" s="13">
        <v>40224</v>
      </c>
      <c r="F448" s="13">
        <v>38977</v>
      </c>
      <c r="G448" t="s">
        <v>822</v>
      </c>
    </row>
    <row r="449" spans="1:7" x14ac:dyDescent="0.3">
      <c r="A449" s="13" t="s">
        <v>603</v>
      </c>
      <c r="B449" s="13">
        <v>9665</v>
      </c>
      <c r="C449" s="13">
        <v>1055</v>
      </c>
      <c r="D449" s="13" t="s">
        <v>1027</v>
      </c>
      <c r="E449" s="13">
        <v>4875</v>
      </c>
      <c r="F449" s="13">
        <v>5882</v>
      </c>
      <c r="G449" t="s">
        <v>836</v>
      </c>
    </row>
    <row r="450" spans="1:7" x14ac:dyDescent="0.3">
      <c r="A450" s="13" t="s">
        <v>65</v>
      </c>
      <c r="B450" s="13">
        <v>1760</v>
      </c>
      <c r="C450" s="13">
        <v>792</v>
      </c>
      <c r="D450" s="13" t="s">
        <v>1026</v>
      </c>
      <c r="E450" s="13">
        <v>3252</v>
      </c>
      <c r="F450" s="13">
        <v>26164</v>
      </c>
      <c r="G450" t="s">
        <v>836</v>
      </c>
    </row>
    <row r="451" spans="1:7" x14ac:dyDescent="0.3">
      <c r="A451" s="13" t="s">
        <v>854</v>
      </c>
      <c r="B451" s="13">
        <v>10545</v>
      </c>
      <c r="C451" s="13">
        <v>187</v>
      </c>
      <c r="D451" s="13" t="s">
        <v>1024</v>
      </c>
      <c r="E451" s="13">
        <v>540</v>
      </c>
      <c r="F451" s="13">
        <v>1998</v>
      </c>
      <c r="G451" t="s">
        <v>836</v>
      </c>
    </row>
    <row r="452" spans="1:7" x14ac:dyDescent="0.3">
      <c r="A452" s="13" t="s">
        <v>67</v>
      </c>
      <c r="B452" s="13">
        <v>986.9</v>
      </c>
      <c r="C452" s="13">
        <v>15388</v>
      </c>
      <c r="D452" s="13" t="s">
        <v>1028</v>
      </c>
      <c r="E452" s="13">
        <v>23451</v>
      </c>
      <c r="F452" s="13">
        <v>78944</v>
      </c>
      <c r="G452" t="s">
        <v>836</v>
      </c>
    </row>
    <row r="453" spans="1:7" x14ac:dyDescent="0.3">
      <c r="A453" s="13" t="s">
        <v>73</v>
      </c>
      <c r="B453" s="13">
        <v>199.85</v>
      </c>
      <c r="C453" s="13">
        <v>77500</v>
      </c>
      <c r="D453" s="13" t="s">
        <v>1027</v>
      </c>
      <c r="E453" s="13">
        <v>105493</v>
      </c>
      <c r="F453" s="13">
        <v>358363</v>
      </c>
      <c r="G453" t="s">
        <v>836</v>
      </c>
    </row>
    <row r="454" spans="1:7" x14ac:dyDescent="0.3">
      <c r="A454" s="13" t="s">
        <v>75</v>
      </c>
      <c r="B454" s="13">
        <v>273.8</v>
      </c>
      <c r="C454" s="13">
        <v>17109</v>
      </c>
      <c r="D454" s="13" t="s">
        <v>1027</v>
      </c>
      <c r="E454" s="13">
        <v>143908</v>
      </c>
      <c r="F454" s="13">
        <v>179335</v>
      </c>
      <c r="G454" t="s">
        <v>836</v>
      </c>
    </row>
    <row r="455" spans="1:7" x14ac:dyDescent="0.3">
      <c r="A455" s="13" t="s">
        <v>856</v>
      </c>
      <c r="B455" s="13">
        <v>143</v>
      </c>
      <c r="C455" s="13">
        <v>8683</v>
      </c>
      <c r="D455" s="13" t="s">
        <v>1025</v>
      </c>
      <c r="E455" s="13">
        <v>92805</v>
      </c>
      <c r="F455" s="13">
        <v>217802</v>
      </c>
      <c r="G455" t="s">
        <v>836</v>
      </c>
    </row>
    <row r="456" spans="1:7" x14ac:dyDescent="0.3">
      <c r="A456" s="13" t="s">
        <v>858</v>
      </c>
      <c r="B456" s="13">
        <v>1335.1</v>
      </c>
      <c r="C456" s="13">
        <v>3426</v>
      </c>
      <c r="D456" s="13" t="s">
        <v>1026</v>
      </c>
      <c r="E456" s="13">
        <v>16621</v>
      </c>
      <c r="F456" s="13">
        <v>38531</v>
      </c>
      <c r="G456" t="s">
        <v>836</v>
      </c>
    </row>
    <row r="457" spans="1:7" x14ac:dyDescent="0.3">
      <c r="A457" s="13" t="s">
        <v>79</v>
      </c>
      <c r="B457" s="13">
        <v>413.5</v>
      </c>
      <c r="C457" s="13">
        <v>56941</v>
      </c>
      <c r="D457" s="13" t="s">
        <v>1027</v>
      </c>
      <c r="E457" s="13">
        <v>267420</v>
      </c>
      <c r="F457" s="13">
        <v>621691</v>
      </c>
      <c r="G457" t="s">
        <v>836</v>
      </c>
    </row>
    <row r="458" spans="1:7" x14ac:dyDescent="0.3">
      <c r="A458" s="13" t="s">
        <v>83</v>
      </c>
      <c r="B458" s="13">
        <v>2114.1</v>
      </c>
      <c r="C458" s="13">
        <v>17696</v>
      </c>
      <c r="D458" s="13" t="s">
        <v>1027</v>
      </c>
      <c r="E458" s="13">
        <v>1318</v>
      </c>
      <c r="F458" s="13">
        <v>18364</v>
      </c>
      <c r="G458" t="s">
        <v>836</v>
      </c>
    </row>
    <row r="459" spans="1:7" x14ac:dyDescent="0.3">
      <c r="A459" s="13" t="s">
        <v>85</v>
      </c>
      <c r="B459" s="13">
        <v>1853</v>
      </c>
      <c r="C459" s="13">
        <v>185875</v>
      </c>
      <c r="D459" s="13" t="s">
        <v>1028</v>
      </c>
      <c r="E459" s="13">
        <v>76308</v>
      </c>
      <c r="F459" s="13">
        <v>61775</v>
      </c>
      <c r="G459" t="s">
        <v>822</v>
      </c>
    </row>
    <row r="460" spans="1:7" x14ac:dyDescent="0.3">
      <c r="A460" s="13" t="s">
        <v>87</v>
      </c>
      <c r="B460" s="13">
        <v>414.55</v>
      </c>
      <c r="C460" s="13">
        <v>55566</v>
      </c>
      <c r="D460" s="13" t="s">
        <v>1027</v>
      </c>
      <c r="E460" s="13">
        <v>176828</v>
      </c>
      <c r="F460" s="13">
        <v>313419</v>
      </c>
      <c r="G460" t="s">
        <v>836</v>
      </c>
    </row>
    <row r="461" spans="1:7" x14ac:dyDescent="0.3">
      <c r="A461" s="13" t="s">
        <v>89</v>
      </c>
      <c r="B461" s="13">
        <v>416.15</v>
      </c>
      <c r="C461" s="13">
        <v>1371</v>
      </c>
      <c r="D461" s="13" t="s">
        <v>1028</v>
      </c>
      <c r="E461" s="13">
        <v>13911</v>
      </c>
      <c r="F461" s="13">
        <v>68131</v>
      </c>
      <c r="G461" t="s">
        <v>836</v>
      </c>
    </row>
    <row r="462" spans="1:7" x14ac:dyDescent="0.3">
      <c r="A462" s="13" t="s">
        <v>860</v>
      </c>
      <c r="B462" s="13">
        <v>1639.1</v>
      </c>
      <c r="C462" s="13">
        <v>194</v>
      </c>
      <c r="D462" s="13" t="s">
        <v>1026</v>
      </c>
      <c r="E462" s="13">
        <v>3785</v>
      </c>
      <c r="F462" s="13">
        <v>11603</v>
      </c>
      <c r="G462" t="s">
        <v>836</v>
      </c>
    </row>
    <row r="463" spans="1:7" x14ac:dyDescent="0.3">
      <c r="A463" s="13" t="s">
        <v>91</v>
      </c>
      <c r="B463" s="13">
        <v>40200</v>
      </c>
      <c r="C463" s="13">
        <v>59</v>
      </c>
      <c r="D463" s="13" t="s">
        <v>1026</v>
      </c>
      <c r="E463" s="13">
        <v>553</v>
      </c>
      <c r="F463" s="13">
        <v>627</v>
      </c>
      <c r="G463" t="s">
        <v>836</v>
      </c>
    </row>
    <row r="464" spans="1:7" x14ac:dyDescent="0.3">
      <c r="A464" s="13" t="s">
        <v>93</v>
      </c>
      <c r="B464" s="13">
        <v>301.2</v>
      </c>
      <c r="C464" s="13">
        <v>14323</v>
      </c>
      <c r="D464" s="13" t="s">
        <v>1028</v>
      </c>
      <c r="E464" s="13">
        <v>78560</v>
      </c>
      <c r="F464" s="13">
        <v>154781</v>
      </c>
      <c r="G464" t="s">
        <v>836</v>
      </c>
    </row>
    <row r="465" spans="1:7" x14ac:dyDescent="0.3">
      <c r="A465" s="13" t="s">
        <v>95</v>
      </c>
      <c r="B465" s="13">
        <v>5112</v>
      </c>
      <c r="C465" s="13">
        <v>35</v>
      </c>
      <c r="D465" s="13" t="s">
        <v>1026</v>
      </c>
      <c r="E465" s="13">
        <v>2538</v>
      </c>
      <c r="F465" s="13">
        <v>6701</v>
      </c>
      <c r="G465" t="s">
        <v>836</v>
      </c>
    </row>
    <row r="466" spans="1:7" x14ac:dyDescent="0.3">
      <c r="A466" s="13" t="s">
        <v>862</v>
      </c>
      <c r="B466" s="13">
        <v>3900</v>
      </c>
      <c r="C466" s="13">
        <v>23169</v>
      </c>
      <c r="D466" s="13" t="s">
        <v>1028</v>
      </c>
      <c r="E466" s="13">
        <v>39819</v>
      </c>
      <c r="F466" s="13">
        <v>136114</v>
      </c>
      <c r="G466" t="s">
        <v>836</v>
      </c>
    </row>
    <row r="467" spans="1:7" x14ac:dyDescent="0.3">
      <c r="A467" s="13" t="s">
        <v>864</v>
      </c>
      <c r="B467" s="13">
        <v>784.1</v>
      </c>
      <c r="C467" s="13">
        <v>11615</v>
      </c>
      <c r="D467" s="13" t="s">
        <v>1025</v>
      </c>
      <c r="E467" s="13">
        <v>19746</v>
      </c>
      <c r="F467" s="13">
        <v>30888</v>
      </c>
      <c r="G467" t="s">
        <v>836</v>
      </c>
    </row>
    <row r="468" spans="1:7" x14ac:dyDescent="0.3">
      <c r="A468" s="13" t="s">
        <v>99</v>
      </c>
      <c r="B468" s="13">
        <v>126.9</v>
      </c>
      <c r="C468" s="13">
        <v>78556</v>
      </c>
      <c r="D468" s="13" t="s">
        <v>1028</v>
      </c>
      <c r="E468" s="13">
        <v>499834</v>
      </c>
      <c r="F468" s="13">
        <v>564768</v>
      </c>
      <c r="G468" t="s">
        <v>836</v>
      </c>
    </row>
    <row r="469" spans="1:7" x14ac:dyDescent="0.3">
      <c r="A469" s="13" t="s">
        <v>866</v>
      </c>
      <c r="B469" s="13">
        <v>1301.8</v>
      </c>
      <c r="C469" s="13">
        <v>2886</v>
      </c>
      <c r="D469" s="13" t="s">
        <v>1025</v>
      </c>
      <c r="E469" s="13">
        <v>22277</v>
      </c>
      <c r="F469" s="13">
        <v>56126</v>
      </c>
      <c r="G469" t="s">
        <v>836</v>
      </c>
    </row>
    <row r="470" spans="1:7" x14ac:dyDescent="0.3">
      <c r="A470" s="13" t="s">
        <v>868</v>
      </c>
      <c r="B470" s="13">
        <v>963.1</v>
      </c>
      <c r="C470" s="13">
        <v>9908</v>
      </c>
      <c r="D470" s="13" t="s">
        <v>1027</v>
      </c>
      <c r="E470" s="13">
        <v>69319</v>
      </c>
      <c r="F470" s="13">
        <v>87412</v>
      </c>
      <c r="G470" t="s">
        <v>836</v>
      </c>
    </row>
    <row r="471" spans="1:7" x14ac:dyDescent="0.3">
      <c r="A471" s="13" t="s">
        <v>105</v>
      </c>
      <c r="B471" s="13">
        <v>1782.7</v>
      </c>
      <c r="C471" s="13">
        <v>451</v>
      </c>
      <c r="D471" s="13" t="s">
        <v>1026</v>
      </c>
      <c r="E471" s="13">
        <v>4720</v>
      </c>
      <c r="F471" s="13">
        <v>3357</v>
      </c>
      <c r="G471" t="s">
        <v>822</v>
      </c>
    </row>
    <row r="472" spans="1:7" x14ac:dyDescent="0.3">
      <c r="A472" s="13" t="s">
        <v>107</v>
      </c>
      <c r="B472" s="13">
        <v>1455.7</v>
      </c>
      <c r="C472" s="13">
        <v>2313</v>
      </c>
      <c r="D472" s="13" t="s">
        <v>1027</v>
      </c>
      <c r="E472" s="13">
        <v>6497</v>
      </c>
      <c r="F472" s="13">
        <v>34477</v>
      </c>
      <c r="G472" t="s">
        <v>836</v>
      </c>
    </row>
    <row r="473" spans="1:7" x14ac:dyDescent="0.3">
      <c r="A473" s="13" t="s">
        <v>109</v>
      </c>
      <c r="B473" s="13">
        <v>445.6</v>
      </c>
      <c r="C473" s="13">
        <v>29949</v>
      </c>
      <c r="D473" s="13" t="s">
        <v>1028</v>
      </c>
      <c r="E473" s="13">
        <v>96696</v>
      </c>
      <c r="F473" s="13">
        <v>241088</v>
      </c>
      <c r="G473" t="s">
        <v>836</v>
      </c>
    </row>
    <row r="474" spans="1:7" x14ac:dyDescent="0.3">
      <c r="A474" s="13" t="s">
        <v>870</v>
      </c>
      <c r="B474" s="13">
        <v>1434</v>
      </c>
      <c r="C474" s="13">
        <v>1787</v>
      </c>
      <c r="D474" s="13" t="s">
        <v>1025</v>
      </c>
      <c r="E474" s="13">
        <v>28497</v>
      </c>
      <c r="F474" s="13">
        <v>35256</v>
      </c>
      <c r="G474" t="s">
        <v>836</v>
      </c>
    </row>
    <row r="475" spans="1:7" x14ac:dyDescent="0.3">
      <c r="A475" s="13" t="s">
        <v>111</v>
      </c>
      <c r="B475" s="13">
        <v>1496.9</v>
      </c>
      <c r="C475" s="13">
        <v>3434</v>
      </c>
      <c r="D475" s="13" t="s">
        <v>1027</v>
      </c>
      <c r="E475" s="13">
        <v>15311</v>
      </c>
      <c r="F475" s="13">
        <v>37357</v>
      </c>
      <c r="G475" t="s">
        <v>836</v>
      </c>
    </row>
    <row r="476" spans="1:7" x14ac:dyDescent="0.3">
      <c r="A476" s="13" t="s">
        <v>113</v>
      </c>
      <c r="B476" s="13">
        <v>2000</v>
      </c>
      <c r="C476" s="13">
        <v>90</v>
      </c>
      <c r="D476" s="13" t="s">
        <v>1025</v>
      </c>
      <c r="E476" s="13">
        <v>3767</v>
      </c>
      <c r="F476" s="13">
        <v>13731</v>
      </c>
      <c r="G476" t="s">
        <v>836</v>
      </c>
    </row>
    <row r="477" spans="1:7" x14ac:dyDescent="0.3">
      <c r="A477" s="13" t="s">
        <v>115</v>
      </c>
      <c r="B477" s="13">
        <v>473</v>
      </c>
      <c r="C477" s="13">
        <v>1791</v>
      </c>
      <c r="D477" s="13" t="s">
        <v>1025</v>
      </c>
      <c r="E477" s="13">
        <v>15494</v>
      </c>
      <c r="F477" s="13">
        <v>148524</v>
      </c>
      <c r="G477" t="s">
        <v>836</v>
      </c>
    </row>
    <row r="478" spans="1:7" x14ac:dyDescent="0.3">
      <c r="A478" s="13" t="s">
        <v>119</v>
      </c>
      <c r="B478" s="13">
        <v>276.25</v>
      </c>
      <c r="C478" s="13">
        <v>1944</v>
      </c>
      <c r="D478" s="13" t="s">
        <v>1026</v>
      </c>
      <c r="E478" s="13">
        <v>40445</v>
      </c>
      <c r="F478" s="13">
        <v>57712</v>
      </c>
      <c r="G478" t="s">
        <v>836</v>
      </c>
    </row>
    <row r="479" spans="1:7" x14ac:dyDescent="0.3">
      <c r="A479" s="13" t="s">
        <v>123</v>
      </c>
      <c r="B479" s="13">
        <v>5582.5</v>
      </c>
      <c r="C479" s="13">
        <v>238</v>
      </c>
      <c r="D479" s="13" t="s">
        <v>1026</v>
      </c>
      <c r="E479" s="13">
        <v>2703</v>
      </c>
      <c r="F479" s="13">
        <v>3528</v>
      </c>
      <c r="G479" t="s">
        <v>836</v>
      </c>
    </row>
    <row r="480" spans="1:7" x14ac:dyDescent="0.3">
      <c r="A480" s="13" t="s">
        <v>125</v>
      </c>
      <c r="B480" s="13">
        <v>426.8</v>
      </c>
      <c r="C480" s="13">
        <v>884</v>
      </c>
      <c r="D480" s="13" t="s">
        <v>1028</v>
      </c>
      <c r="E480" s="13">
        <v>30783</v>
      </c>
      <c r="F480" s="13">
        <v>88484</v>
      </c>
      <c r="G480" t="s">
        <v>836</v>
      </c>
    </row>
    <row r="481" spans="1:7" x14ac:dyDescent="0.3">
      <c r="A481" s="13" t="s">
        <v>127</v>
      </c>
      <c r="B481" s="13">
        <v>1714</v>
      </c>
      <c r="C481" s="13">
        <v>60</v>
      </c>
      <c r="D481" s="13" t="s">
        <v>1027</v>
      </c>
      <c r="E481" s="13">
        <v>3023</v>
      </c>
      <c r="F481" s="13">
        <v>5611</v>
      </c>
      <c r="G481" t="s">
        <v>836</v>
      </c>
    </row>
    <row r="482" spans="1:7" x14ac:dyDescent="0.3">
      <c r="A482" s="13" t="s">
        <v>872</v>
      </c>
      <c r="B482" s="13">
        <v>465.45</v>
      </c>
      <c r="C482" s="13">
        <v>1015</v>
      </c>
      <c r="D482" s="13" t="s">
        <v>1029</v>
      </c>
      <c r="E482" s="13">
        <v>24720</v>
      </c>
      <c r="F482" s="13">
        <v>48199</v>
      </c>
      <c r="G482" t="s">
        <v>836</v>
      </c>
    </row>
    <row r="483" spans="1:7" x14ac:dyDescent="0.3">
      <c r="A483" s="13" t="s">
        <v>131</v>
      </c>
      <c r="B483" s="13">
        <v>6560.5</v>
      </c>
      <c r="C483" s="13">
        <v>152</v>
      </c>
      <c r="D483" s="13" t="s">
        <v>1030</v>
      </c>
      <c r="E483" s="13">
        <v>10655</v>
      </c>
      <c r="F483" s="13">
        <v>5046</v>
      </c>
      <c r="G483" t="s">
        <v>822</v>
      </c>
    </row>
    <row r="484" spans="1:7" x14ac:dyDescent="0.3">
      <c r="A484" s="13" t="s">
        <v>133</v>
      </c>
      <c r="B484" s="13">
        <v>11894</v>
      </c>
      <c r="C484" s="13">
        <v>521</v>
      </c>
      <c r="D484" s="13" t="s">
        <v>1030</v>
      </c>
      <c r="E484" s="13">
        <v>3806</v>
      </c>
      <c r="F484" s="13">
        <v>7110</v>
      </c>
      <c r="G484" t="s">
        <v>836</v>
      </c>
    </row>
    <row r="485" spans="1:7" x14ac:dyDescent="0.3">
      <c r="A485" s="13" t="s">
        <v>135</v>
      </c>
      <c r="B485" s="13">
        <v>614.29999999999995</v>
      </c>
      <c r="C485" s="13">
        <v>5329</v>
      </c>
      <c r="D485" s="13" t="s">
        <v>1029</v>
      </c>
      <c r="E485" s="13">
        <v>32946</v>
      </c>
      <c r="F485" s="13">
        <v>52559</v>
      </c>
      <c r="G485" t="s">
        <v>836</v>
      </c>
    </row>
    <row r="486" spans="1:7" x14ac:dyDescent="0.3">
      <c r="A486" s="13" t="s">
        <v>874</v>
      </c>
      <c r="B486" s="13">
        <v>4357.8999999999996</v>
      </c>
      <c r="C486" s="13">
        <v>167</v>
      </c>
      <c r="D486" s="13" t="s">
        <v>1029</v>
      </c>
      <c r="E486" s="13">
        <v>2530</v>
      </c>
      <c r="F486" s="13">
        <v>10749</v>
      </c>
      <c r="G486" t="s">
        <v>836</v>
      </c>
    </row>
    <row r="487" spans="1:7" x14ac:dyDescent="0.3">
      <c r="A487" s="13" t="s">
        <v>137</v>
      </c>
      <c r="B487" s="13">
        <v>1375</v>
      </c>
      <c r="C487" s="13">
        <v>15883</v>
      </c>
      <c r="D487" s="13" t="s">
        <v>1031</v>
      </c>
      <c r="E487" s="13">
        <v>11969</v>
      </c>
      <c r="F487" s="13">
        <v>43379</v>
      </c>
      <c r="G487" t="s">
        <v>836</v>
      </c>
    </row>
    <row r="488" spans="1:7" x14ac:dyDescent="0.3">
      <c r="A488" s="13" t="s">
        <v>139</v>
      </c>
      <c r="B488" s="13">
        <v>7392</v>
      </c>
      <c r="C488" s="13">
        <v>7907</v>
      </c>
      <c r="D488" s="13" t="s">
        <v>1027</v>
      </c>
      <c r="E488" s="13">
        <v>3850</v>
      </c>
      <c r="F488" s="13">
        <v>13662</v>
      </c>
      <c r="G488" t="s">
        <v>836</v>
      </c>
    </row>
    <row r="489" spans="1:7" x14ac:dyDescent="0.3">
      <c r="A489" s="13" t="s">
        <v>876</v>
      </c>
      <c r="B489" s="13">
        <v>260.2</v>
      </c>
      <c r="C489" s="13">
        <v>88566</v>
      </c>
      <c r="D489" s="13" t="s">
        <v>1028</v>
      </c>
      <c r="E489" s="13">
        <v>97381</v>
      </c>
      <c r="F489" s="13">
        <v>638925</v>
      </c>
      <c r="G489" t="s">
        <v>836</v>
      </c>
    </row>
    <row r="490" spans="1:7" x14ac:dyDescent="0.3">
      <c r="A490" s="13" t="s">
        <v>143</v>
      </c>
      <c r="B490" s="13">
        <v>387</v>
      </c>
      <c r="C490" s="13">
        <v>1661</v>
      </c>
      <c r="D490" s="13" t="s">
        <v>1028</v>
      </c>
      <c r="E490" s="13">
        <v>23064</v>
      </c>
      <c r="F490" s="13">
        <v>54145</v>
      </c>
      <c r="G490" t="s">
        <v>836</v>
      </c>
    </row>
    <row r="491" spans="1:7" x14ac:dyDescent="0.3">
      <c r="A491" s="13" t="s">
        <v>145</v>
      </c>
      <c r="B491" s="13">
        <v>324.8</v>
      </c>
      <c r="C491" s="13">
        <v>5849</v>
      </c>
      <c r="D491" s="13" t="s">
        <v>1029</v>
      </c>
      <c r="E491" s="13">
        <v>26980</v>
      </c>
      <c r="F491" s="13">
        <v>73293</v>
      </c>
      <c r="G491" t="s">
        <v>836</v>
      </c>
    </row>
    <row r="492" spans="1:7" x14ac:dyDescent="0.3">
      <c r="A492" s="13" t="s">
        <v>878</v>
      </c>
      <c r="B492" s="13">
        <v>17945</v>
      </c>
      <c r="C492" s="13">
        <v>244</v>
      </c>
      <c r="D492" s="13" t="s">
        <v>1029</v>
      </c>
      <c r="E492" s="13">
        <v>1743</v>
      </c>
      <c r="F492" s="13">
        <v>2102</v>
      </c>
      <c r="G492" t="s">
        <v>836</v>
      </c>
    </row>
    <row r="493" spans="1:7" x14ac:dyDescent="0.3">
      <c r="A493" s="13" t="s">
        <v>880</v>
      </c>
      <c r="B493" s="13">
        <v>956.6</v>
      </c>
      <c r="C493" s="13">
        <v>1310</v>
      </c>
      <c r="D493" s="13" t="s">
        <v>1030</v>
      </c>
      <c r="E493" s="13">
        <v>7941</v>
      </c>
      <c r="F493" s="13">
        <v>12957</v>
      </c>
      <c r="G493" t="s">
        <v>836</v>
      </c>
    </row>
    <row r="494" spans="1:7" x14ac:dyDescent="0.3">
      <c r="A494" s="13" t="s">
        <v>147</v>
      </c>
      <c r="B494" s="13">
        <v>172.95</v>
      </c>
      <c r="C494" s="13">
        <v>18849</v>
      </c>
      <c r="D494" s="13" t="s">
        <v>1024</v>
      </c>
      <c r="E494" s="13">
        <v>54450</v>
      </c>
      <c r="F494" s="13">
        <v>239087</v>
      </c>
      <c r="G494" t="s">
        <v>836</v>
      </c>
    </row>
    <row r="495" spans="1:7" x14ac:dyDescent="0.3">
      <c r="A495" s="13" t="s">
        <v>149</v>
      </c>
      <c r="B495" s="13">
        <v>2186.6999999999998</v>
      </c>
      <c r="C495" s="13">
        <v>213</v>
      </c>
      <c r="D495" s="13" t="s">
        <v>1027</v>
      </c>
      <c r="E495" s="13">
        <v>2740</v>
      </c>
      <c r="F495" s="13">
        <v>14598</v>
      </c>
      <c r="G495" t="s">
        <v>836</v>
      </c>
    </row>
    <row r="496" spans="1:7" x14ac:dyDescent="0.3">
      <c r="A496" s="13" t="s">
        <v>882</v>
      </c>
      <c r="B496" s="13">
        <v>110</v>
      </c>
      <c r="C496" s="13">
        <v>25573</v>
      </c>
      <c r="D496" s="13" t="s">
        <v>1030</v>
      </c>
      <c r="E496" s="13">
        <v>108079</v>
      </c>
      <c r="F496" s="13">
        <v>499452</v>
      </c>
      <c r="G496" t="s">
        <v>836</v>
      </c>
    </row>
    <row r="497" spans="1:7" x14ac:dyDescent="0.3">
      <c r="A497" s="13" t="s">
        <v>884</v>
      </c>
      <c r="B497" s="13">
        <v>2210</v>
      </c>
      <c r="C497" s="13">
        <v>501</v>
      </c>
      <c r="D497" s="13" t="s">
        <v>1028</v>
      </c>
      <c r="E497" s="13">
        <v>5224</v>
      </c>
      <c r="F497" s="13">
        <v>19487</v>
      </c>
      <c r="G497" t="s">
        <v>836</v>
      </c>
    </row>
    <row r="498" spans="1:7" x14ac:dyDescent="0.3">
      <c r="A498" s="13" t="s">
        <v>155</v>
      </c>
      <c r="B498" s="13">
        <v>1022</v>
      </c>
      <c r="C498" s="13">
        <v>998</v>
      </c>
      <c r="D498" s="13" t="s">
        <v>1029</v>
      </c>
      <c r="E498" s="13">
        <v>4658</v>
      </c>
      <c r="F498" s="13">
        <v>35495</v>
      </c>
      <c r="G498" t="s">
        <v>836</v>
      </c>
    </row>
    <row r="499" spans="1:7" x14ac:dyDescent="0.3">
      <c r="A499" s="13" t="s">
        <v>157</v>
      </c>
      <c r="B499" s="13">
        <v>1845</v>
      </c>
      <c r="C499" s="13">
        <v>693</v>
      </c>
      <c r="D499" s="13" t="s">
        <v>1030</v>
      </c>
      <c r="E499" s="13">
        <v>4286</v>
      </c>
      <c r="F499" s="13">
        <v>10195</v>
      </c>
      <c r="G499" t="s">
        <v>836</v>
      </c>
    </row>
    <row r="500" spans="1:7" x14ac:dyDescent="0.3">
      <c r="A500" s="13" t="s">
        <v>161</v>
      </c>
      <c r="B500" s="13">
        <v>3085</v>
      </c>
      <c r="C500" s="13">
        <v>283</v>
      </c>
      <c r="D500" s="13" t="s">
        <v>1029</v>
      </c>
      <c r="E500" s="13">
        <v>2006</v>
      </c>
      <c r="F500" s="13">
        <v>3830</v>
      </c>
      <c r="G500" t="s">
        <v>836</v>
      </c>
    </row>
    <row r="501" spans="1:7" x14ac:dyDescent="0.3">
      <c r="A501" s="13" t="s">
        <v>886</v>
      </c>
      <c r="B501" s="13">
        <v>4979.5</v>
      </c>
      <c r="C501" s="13">
        <v>2507</v>
      </c>
      <c r="D501" s="13" t="s">
        <v>1027</v>
      </c>
      <c r="E501" s="13">
        <v>7713</v>
      </c>
      <c r="F501" s="13">
        <v>13086</v>
      </c>
      <c r="G501" t="s">
        <v>836</v>
      </c>
    </row>
    <row r="502" spans="1:7" x14ac:dyDescent="0.3">
      <c r="A502" s="13" t="s">
        <v>165</v>
      </c>
      <c r="B502" s="13">
        <v>4356.3</v>
      </c>
      <c r="C502" s="13">
        <v>1343</v>
      </c>
      <c r="D502" s="13" t="s">
        <v>1030</v>
      </c>
      <c r="E502" s="13">
        <v>10075</v>
      </c>
      <c r="F502" s="13">
        <v>17264</v>
      </c>
      <c r="G502" t="s">
        <v>836</v>
      </c>
    </row>
    <row r="503" spans="1:7" x14ac:dyDescent="0.3">
      <c r="A503" s="13" t="s">
        <v>167</v>
      </c>
      <c r="B503" s="13">
        <v>1161.8</v>
      </c>
      <c r="C503" s="13">
        <v>325</v>
      </c>
      <c r="D503" s="13" t="s">
        <v>1029</v>
      </c>
      <c r="E503" s="13">
        <v>10327</v>
      </c>
      <c r="F503" s="13">
        <v>11672</v>
      </c>
      <c r="G503" t="s">
        <v>836</v>
      </c>
    </row>
    <row r="504" spans="1:7" x14ac:dyDescent="0.3">
      <c r="A504" s="13" t="s">
        <v>169</v>
      </c>
      <c r="B504" s="13">
        <v>1102.5</v>
      </c>
      <c r="C504" s="13">
        <v>6083</v>
      </c>
      <c r="D504" s="13" t="s">
        <v>1028</v>
      </c>
      <c r="E504" s="13">
        <v>35068</v>
      </c>
      <c r="F504" s="13">
        <v>138412</v>
      </c>
      <c r="G504" t="s">
        <v>836</v>
      </c>
    </row>
    <row r="505" spans="1:7" x14ac:dyDescent="0.3">
      <c r="A505" s="13" t="s">
        <v>171</v>
      </c>
      <c r="B505" s="13">
        <v>2625.8</v>
      </c>
      <c r="C505" s="13">
        <v>412</v>
      </c>
      <c r="D505" s="13" t="s">
        <v>1028</v>
      </c>
      <c r="E505" s="13">
        <v>4052</v>
      </c>
      <c r="F505" s="13">
        <v>9337</v>
      </c>
      <c r="G505" t="s">
        <v>836</v>
      </c>
    </row>
    <row r="506" spans="1:7" x14ac:dyDescent="0.3">
      <c r="A506" s="13" t="s">
        <v>173</v>
      </c>
      <c r="B506" s="13">
        <v>806.1</v>
      </c>
      <c r="C506" s="13">
        <v>769108</v>
      </c>
      <c r="D506" s="13" t="s">
        <v>1028</v>
      </c>
      <c r="E506" s="13">
        <v>449978</v>
      </c>
      <c r="F506" s="13">
        <v>867405</v>
      </c>
      <c r="G506" t="s">
        <v>836</v>
      </c>
    </row>
    <row r="507" spans="1:7" x14ac:dyDescent="0.3">
      <c r="A507" s="13" t="s">
        <v>175</v>
      </c>
      <c r="B507" s="13">
        <v>583.70000000000005</v>
      </c>
      <c r="C507" s="13">
        <v>1440</v>
      </c>
      <c r="D507" s="13" t="s">
        <v>1030</v>
      </c>
      <c r="E507" s="13">
        <v>12546</v>
      </c>
      <c r="F507" s="13">
        <v>35147</v>
      </c>
      <c r="G507" t="s">
        <v>836</v>
      </c>
    </row>
    <row r="508" spans="1:7" x14ac:dyDescent="0.3">
      <c r="A508" s="13" t="s">
        <v>177</v>
      </c>
      <c r="B508" s="13">
        <v>4815.5</v>
      </c>
      <c r="C508" s="13">
        <v>2313</v>
      </c>
      <c r="D508" s="13" t="s">
        <v>1027</v>
      </c>
      <c r="E508" s="13">
        <v>6294</v>
      </c>
      <c r="F508" s="13">
        <v>15738</v>
      </c>
      <c r="G508" t="s">
        <v>836</v>
      </c>
    </row>
    <row r="509" spans="1:7" x14ac:dyDescent="0.3">
      <c r="A509" s="13" t="s">
        <v>179</v>
      </c>
      <c r="B509" s="13">
        <v>957</v>
      </c>
      <c r="C509" s="13">
        <v>26951</v>
      </c>
      <c r="D509" s="13" t="s">
        <v>1027</v>
      </c>
      <c r="E509" s="13">
        <v>36423</v>
      </c>
      <c r="F509" s="13">
        <v>36990</v>
      </c>
      <c r="G509" t="s">
        <v>836</v>
      </c>
    </row>
    <row r="510" spans="1:7" x14ac:dyDescent="0.3">
      <c r="A510" s="13" t="s">
        <v>183</v>
      </c>
      <c r="B510" s="13">
        <v>393.15</v>
      </c>
      <c r="C510" s="13">
        <v>20660</v>
      </c>
      <c r="D510" s="13" t="s">
        <v>1027</v>
      </c>
      <c r="E510" s="13">
        <v>106961</v>
      </c>
      <c r="F510" s="13">
        <v>98006</v>
      </c>
      <c r="G510" t="s">
        <v>822</v>
      </c>
    </row>
    <row r="511" spans="1:7" x14ac:dyDescent="0.3">
      <c r="A511" s="13" t="s">
        <v>185</v>
      </c>
      <c r="B511" s="13">
        <v>2151</v>
      </c>
      <c r="C511" s="13">
        <v>2724</v>
      </c>
      <c r="D511" s="13" t="s">
        <v>1030</v>
      </c>
      <c r="E511" s="13">
        <v>10800</v>
      </c>
      <c r="F511" s="13">
        <v>24774</v>
      </c>
      <c r="G511" t="s">
        <v>836</v>
      </c>
    </row>
    <row r="512" spans="1:7" x14ac:dyDescent="0.3">
      <c r="A512" s="13" t="s">
        <v>888</v>
      </c>
      <c r="B512" s="13">
        <v>525.4</v>
      </c>
      <c r="C512" s="13">
        <v>8412</v>
      </c>
      <c r="D512" s="13" t="s">
        <v>1027</v>
      </c>
      <c r="E512" s="13">
        <v>56206</v>
      </c>
      <c r="F512" s="13">
        <v>168388</v>
      </c>
      <c r="G512" t="s">
        <v>836</v>
      </c>
    </row>
    <row r="513" spans="1:7" x14ac:dyDescent="0.3">
      <c r="A513" s="13" t="s">
        <v>890</v>
      </c>
      <c r="B513" s="13">
        <v>1901</v>
      </c>
      <c r="C513" s="13">
        <v>2446</v>
      </c>
      <c r="D513" s="13" t="s">
        <v>1027</v>
      </c>
      <c r="E513" s="13">
        <v>9711</v>
      </c>
      <c r="F513" s="13">
        <v>7103</v>
      </c>
      <c r="G513" t="s">
        <v>822</v>
      </c>
    </row>
    <row r="514" spans="1:7" x14ac:dyDescent="0.3">
      <c r="A514" s="13" t="s">
        <v>187</v>
      </c>
      <c r="B514" s="13">
        <v>1402</v>
      </c>
      <c r="C514" s="13">
        <v>106829</v>
      </c>
      <c r="D514" s="13" t="s">
        <v>1028</v>
      </c>
      <c r="E514" s="13">
        <v>49447</v>
      </c>
      <c r="F514" s="13">
        <v>109509</v>
      </c>
      <c r="G514" t="s">
        <v>836</v>
      </c>
    </row>
    <row r="515" spans="1:7" x14ac:dyDescent="0.3">
      <c r="A515" s="13" t="s">
        <v>189</v>
      </c>
      <c r="B515" s="13">
        <v>1775</v>
      </c>
      <c r="C515" s="13">
        <v>38</v>
      </c>
      <c r="D515" s="13" t="s">
        <v>1030</v>
      </c>
      <c r="E515" s="13">
        <v>1705</v>
      </c>
      <c r="F515" s="13">
        <v>1746</v>
      </c>
      <c r="G515" t="s">
        <v>836</v>
      </c>
    </row>
    <row r="516" spans="1:7" x14ac:dyDescent="0.3">
      <c r="A516" s="13" t="s">
        <v>191</v>
      </c>
      <c r="B516" s="13">
        <v>490.65</v>
      </c>
      <c r="C516" s="13">
        <v>1358</v>
      </c>
      <c r="D516" s="13" t="s">
        <v>1030</v>
      </c>
      <c r="E516" s="13">
        <v>22866</v>
      </c>
      <c r="F516" s="13">
        <v>19290</v>
      </c>
      <c r="G516" t="s">
        <v>822</v>
      </c>
    </row>
    <row r="517" spans="1:7" x14ac:dyDescent="0.3">
      <c r="A517" s="13" t="s">
        <v>193</v>
      </c>
      <c r="B517" s="13">
        <v>14.45</v>
      </c>
      <c r="C517" s="13">
        <v>1587900</v>
      </c>
      <c r="D517" s="13" t="s">
        <v>1027</v>
      </c>
      <c r="E517" s="13">
        <v>6367982</v>
      </c>
      <c r="F517" s="13">
        <v>32852303</v>
      </c>
      <c r="G517" t="s">
        <v>836</v>
      </c>
    </row>
    <row r="518" spans="1:7" x14ac:dyDescent="0.3">
      <c r="A518" s="13" t="s">
        <v>197</v>
      </c>
      <c r="B518" s="13">
        <v>78.39</v>
      </c>
      <c r="C518" s="13">
        <v>36630</v>
      </c>
      <c r="D518" s="13" t="s">
        <v>1029</v>
      </c>
      <c r="E518" s="13">
        <v>235614</v>
      </c>
      <c r="F518" s="13">
        <v>619445</v>
      </c>
      <c r="G518" t="s">
        <v>836</v>
      </c>
    </row>
    <row r="519" spans="1:7" x14ac:dyDescent="0.3">
      <c r="A519" s="13" t="s">
        <v>199</v>
      </c>
      <c r="B519" s="13">
        <v>125.2</v>
      </c>
      <c r="C519" s="13">
        <v>6197</v>
      </c>
      <c r="D519" s="13" t="s">
        <v>1030</v>
      </c>
      <c r="E519" s="13">
        <v>115462</v>
      </c>
      <c r="F519" s="13">
        <v>405010</v>
      </c>
      <c r="G519" t="s">
        <v>836</v>
      </c>
    </row>
    <row r="520" spans="1:7" x14ac:dyDescent="0.3">
      <c r="A520" s="13" t="s">
        <v>203</v>
      </c>
      <c r="B520" s="13">
        <v>706.05</v>
      </c>
      <c r="C520" s="13">
        <v>4195</v>
      </c>
      <c r="D520" s="13" t="s">
        <v>1024</v>
      </c>
      <c r="E520" s="13">
        <v>11009</v>
      </c>
      <c r="F520" s="13">
        <v>32586</v>
      </c>
      <c r="G520" t="s">
        <v>836</v>
      </c>
    </row>
    <row r="521" spans="1:7" x14ac:dyDescent="0.3">
      <c r="A521" s="13" t="s">
        <v>892</v>
      </c>
      <c r="B521" s="13">
        <v>820</v>
      </c>
      <c r="C521" s="13">
        <v>1942</v>
      </c>
      <c r="D521" s="13" t="s">
        <v>1029</v>
      </c>
      <c r="E521" s="13">
        <v>27310</v>
      </c>
      <c r="F521" s="13">
        <v>28068</v>
      </c>
      <c r="G521" t="s">
        <v>836</v>
      </c>
    </row>
    <row r="522" spans="1:7" x14ac:dyDescent="0.3">
      <c r="A522" s="13" t="s">
        <v>209</v>
      </c>
      <c r="B522" s="13">
        <v>5320</v>
      </c>
      <c r="C522" s="13">
        <v>1694</v>
      </c>
      <c r="D522" s="13" t="s">
        <v>1030</v>
      </c>
      <c r="E522" s="13">
        <v>9959</v>
      </c>
      <c r="F522" s="13">
        <v>11900</v>
      </c>
      <c r="G522" t="s">
        <v>836</v>
      </c>
    </row>
    <row r="523" spans="1:7" x14ac:dyDescent="0.3">
      <c r="A523" s="13" t="s">
        <v>211</v>
      </c>
      <c r="B523" s="13">
        <v>916.45</v>
      </c>
      <c r="C523" s="13">
        <v>1357</v>
      </c>
      <c r="D523" s="13" t="s">
        <v>1029</v>
      </c>
      <c r="E523" s="13">
        <v>16162</v>
      </c>
      <c r="F523" s="13">
        <v>26876</v>
      </c>
      <c r="G523" t="s">
        <v>836</v>
      </c>
    </row>
    <row r="524" spans="1:7" x14ac:dyDescent="0.3">
      <c r="A524" s="13" t="s">
        <v>213</v>
      </c>
      <c r="B524" s="13">
        <v>394.9</v>
      </c>
      <c r="C524" s="13">
        <v>2191</v>
      </c>
      <c r="D524" s="13" t="s">
        <v>1030</v>
      </c>
      <c r="E524" s="13">
        <v>22606</v>
      </c>
      <c r="F524" s="13">
        <v>128563</v>
      </c>
      <c r="G524" t="s">
        <v>836</v>
      </c>
    </row>
    <row r="525" spans="1:7" x14ac:dyDescent="0.3">
      <c r="A525" s="13" t="s">
        <v>215</v>
      </c>
      <c r="B525" s="13">
        <v>1030</v>
      </c>
      <c r="C525" s="13">
        <v>107506</v>
      </c>
      <c r="D525" s="13" t="s">
        <v>1028</v>
      </c>
      <c r="E525" s="13">
        <v>122233</v>
      </c>
      <c r="F525" s="13">
        <v>188936</v>
      </c>
      <c r="G525" t="s">
        <v>836</v>
      </c>
    </row>
    <row r="526" spans="1:7" x14ac:dyDescent="0.3">
      <c r="A526" s="13" t="s">
        <v>894</v>
      </c>
      <c r="B526" s="13">
        <v>88.5</v>
      </c>
      <c r="C526" s="13">
        <v>15418</v>
      </c>
      <c r="D526" s="13" t="s">
        <v>1030</v>
      </c>
      <c r="E526" s="13">
        <v>114869</v>
      </c>
      <c r="F526" s="13">
        <v>434639</v>
      </c>
      <c r="G526" t="s">
        <v>836</v>
      </c>
    </row>
    <row r="527" spans="1:7" x14ac:dyDescent="0.3">
      <c r="A527" s="13" t="s">
        <v>217</v>
      </c>
      <c r="B527" s="13">
        <v>139.51</v>
      </c>
      <c r="C527" s="13">
        <v>53751</v>
      </c>
      <c r="D527" s="13" t="s">
        <v>1027</v>
      </c>
      <c r="E527" s="13">
        <v>609566</v>
      </c>
      <c r="F527" s="13">
        <v>448188</v>
      </c>
      <c r="G527" t="s">
        <v>822</v>
      </c>
    </row>
    <row r="528" spans="1:7" x14ac:dyDescent="0.3">
      <c r="A528" s="13" t="s">
        <v>896</v>
      </c>
      <c r="B528" s="13">
        <v>127.75</v>
      </c>
      <c r="C528" s="13">
        <v>10081</v>
      </c>
      <c r="D528" s="13" t="s">
        <v>1029</v>
      </c>
      <c r="E528" s="13">
        <v>130231</v>
      </c>
      <c r="F528" s="13">
        <v>321325</v>
      </c>
      <c r="G528" t="s">
        <v>836</v>
      </c>
    </row>
    <row r="529" spans="1:7" x14ac:dyDescent="0.3">
      <c r="A529" s="13" t="s">
        <v>898</v>
      </c>
      <c r="B529" s="13">
        <v>90.95</v>
      </c>
      <c r="C529" s="13">
        <v>65321</v>
      </c>
      <c r="D529" s="13" t="s">
        <v>1027</v>
      </c>
      <c r="E529" s="13">
        <v>712619</v>
      </c>
      <c r="F529" s="13">
        <v>1758293</v>
      </c>
      <c r="G529" t="s">
        <v>836</v>
      </c>
    </row>
    <row r="530" spans="1:7" x14ac:dyDescent="0.3">
      <c r="A530" s="13" t="s">
        <v>223</v>
      </c>
      <c r="B530" s="13">
        <v>291.5</v>
      </c>
      <c r="C530" s="13">
        <v>44176</v>
      </c>
      <c r="D530" s="13" t="s">
        <v>1027</v>
      </c>
      <c r="E530" s="13">
        <v>220437</v>
      </c>
      <c r="F530" s="13">
        <v>628695</v>
      </c>
      <c r="G530" t="s">
        <v>836</v>
      </c>
    </row>
    <row r="531" spans="1:7" x14ac:dyDescent="0.3">
      <c r="A531" s="13" t="s">
        <v>225</v>
      </c>
      <c r="B531" s="13">
        <v>1068.8</v>
      </c>
      <c r="C531" s="13">
        <v>570</v>
      </c>
      <c r="D531" s="13" t="s">
        <v>1029</v>
      </c>
      <c r="E531" s="13">
        <v>3316</v>
      </c>
      <c r="F531" s="13">
        <v>13678</v>
      </c>
      <c r="G531" t="s">
        <v>836</v>
      </c>
    </row>
    <row r="532" spans="1:7" x14ac:dyDescent="0.3">
      <c r="A532" s="13" t="s">
        <v>900</v>
      </c>
      <c r="B532" s="13">
        <v>237</v>
      </c>
      <c r="C532" s="13">
        <v>23800</v>
      </c>
      <c r="D532" s="13" t="s">
        <v>1027</v>
      </c>
      <c r="E532" s="13">
        <v>340454</v>
      </c>
      <c r="F532" s="13">
        <v>433906</v>
      </c>
      <c r="G532" t="s">
        <v>836</v>
      </c>
    </row>
    <row r="533" spans="1:7" x14ac:dyDescent="0.3">
      <c r="A533" s="13" t="s">
        <v>902</v>
      </c>
      <c r="B533" s="13">
        <v>588</v>
      </c>
      <c r="C533" s="13">
        <v>8186</v>
      </c>
      <c r="D533" s="13" t="s">
        <v>1029</v>
      </c>
      <c r="E533" s="13">
        <v>23549</v>
      </c>
      <c r="F533" s="13">
        <v>72652</v>
      </c>
      <c r="G533" t="s">
        <v>836</v>
      </c>
    </row>
    <row r="534" spans="1:7" x14ac:dyDescent="0.3">
      <c r="A534" s="13" t="s">
        <v>229</v>
      </c>
      <c r="B534" s="13">
        <v>1232</v>
      </c>
      <c r="C534" s="13">
        <v>1319</v>
      </c>
      <c r="D534" s="13" t="s">
        <v>1027</v>
      </c>
      <c r="E534" s="13">
        <v>4402</v>
      </c>
      <c r="F534" s="13">
        <v>16713</v>
      </c>
      <c r="G534" t="s">
        <v>836</v>
      </c>
    </row>
    <row r="535" spans="1:7" x14ac:dyDescent="0.3">
      <c r="A535" s="13" t="s">
        <v>231</v>
      </c>
      <c r="B535" s="13">
        <v>420</v>
      </c>
      <c r="C535" s="13">
        <v>4179</v>
      </c>
      <c r="D535" s="13" t="s">
        <v>1027</v>
      </c>
      <c r="E535" s="13">
        <v>31418</v>
      </c>
      <c r="F535" s="13">
        <v>39514</v>
      </c>
      <c r="G535" t="s">
        <v>836</v>
      </c>
    </row>
    <row r="536" spans="1:7" x14ac:dyDescent="0.3">
      <c r="A536" s="13" t="s">
        <v>904</v>
      </c>
      <c r="B536" s="13">
        <v>379.5</v>
      </c>
      <c r="C536" s="13">
        <v>3126</v>
      </c>
      <c r="D536" s="13" t="s">
        <v>1027</v>
      </c>
      <c r="E536" s="13">
        <v>24311</v>
      </c>
      <c r="F536" s="13">
        <v>143806</v>
      </c>
      <c r="G536" t="s">
        <v>836</v>
      </c>
    </row>
    <row r="537" spans="1:7" x14ac:dyDescent="0.3">
      <c r="A537" s="13" t="s">
        <v>906</v>
      </c>
      <c r="B537" s="13">
        <v>3175</v>
      </c>
      <c r="C537" s="13">
        <v>2395</v>
      </c>
      <c r="D537" s="13" t="s">
        <v>1027</v>
      </c>
      <c r="E537" s="13">
        <v>24676</v>
      </c>
      <c r="F537" s="13">
        <v>16383</v>
      </c>
      <c r="G537" t="s">
        <v>822</v>
      </c>
    </row>
    <row r="538" spans="1:7" x14ac:dyDescent="0.3">
      <c r="A538" s="13" t="s">
        <v>908</v>
      </c>
      <c r="B538" s="13">
        <v>5390</v>
      </c>
      <c r="C538" s="13">
        <v>2347</v>
      </c>
      <c r="D538" s="13" t="s">
        <v>1027</v>
      </c>
      <c r="E538" s="13">
        <v>973</v>
      </c>
      <c r="F538" s="13">
        <v>4624</v>
      </c>
      <c r="G538" t="s">
        <v>836</v>
      </c>
    </row>
    <row r="539" spans="1:7" x14ac:dyDescent="0.3">
      <c r="A539" s="13" t="s">
        <v>910</v>
      </c>
      <c r="B539" s="13">
        <v>875.9</v>
      </c>
      <c r="C539" s="13">
        <v>949</v>
      </c>
      <c r="D539" s="13" t="s">
        <v>1025</v>
      </c>
      <c r="E539" s="13">
        <v>6953</v>
      </c>
      <c r="F539" s="13">
        <v>17863</v>
      </c>
      <c r="G539" t="s">
        <v>836</v>
      </c>
    </row>
    <row r="540" spans="1:7" x14ac:dyDescent="0.3">
      <c r="A540" s="13" t="s">
        <v>233</v>
      </c>
      <c r="B540" s="13">
        <v>395.5</v>
      </c>
      <c r="C540" s="13">
        <v>78790</v>
      </c>
      <c r="D540" s="13" t="s">
        <v>1028</v>
      </c>
      <c r="E540" s="13">
        <v>124914</v>
      </c>
      <c r="F540" s="13">
        <v>106202</v>
      </c>
      <c r="G540" t="s">
        <v>822</v>
      </c>
    </row>
    <row r="541" spans="1:7" x14ac:dyDescent="0.3">
      <c r="A541" s="13" t="s">
        <v>912</v>
      </c>
      <c r="B541" s="13">
        <v>712.5</v>
      </c>
      <c r="C541" s="13">
        <v>4098</v>
      </c>
      <c r="D541" s="13" t="s">
        <v>1025</v>
      </c>
      <c r="E541" s="13">
        <v>28317</v>
      </c>
      <c r="F541" s="13">
        <v>26667</v>
      </c>
      <c r="G541" t="s">
        <v>822</v>
      </c>
    </row>
    <row r="542" spans="1:7" x14ac:dyDescent="0.3">
      <c r="A542" s="13" t="s">
        <v>238</v>
      </c>
      <c r="B542" s="13">
        <v>1500.3</v>
      </c>
      <c r="C542" s="13">
        <v>6391</v>
      </c>
      <c r="D542" s="13" t="s">
        <v>1031</v>
      </c>
      <c r="E542" s="13">
        <v>11658</v>
      </c>
      <c r="F542" s="13">
        <v>50390</v>
      </c>
      <c r="G542" t="s">
        <v>836</v>
      </c>
    </row>
    <row r="543" spans="1:7" x14ac:dyDescent="0.3">
      <c r="A543" s="13" t="s">
        <v>240</v>
      </c>
      <c r="B543" s="13">
        <v>564</v>
      </c>
      <c r="C543" s="13">
        <v>1888</v>
      </c>
      <c r="D543" s="13" t="s">
        <v>1025</v>
      </c>
      <c r="E543" s="13">
        <v>29915</v>
      </c>
      <c r="F543" s="13">
        <v>44806</v>
      </c>
      <c r="G543" t="s">
        <v>836</v>
      </c>
    </row>
    <row r="544" spans="1:7" x14ac:dyDescent="0.3">
      <c r="A544" s="13" t="s">
        <v>914</v>
      </c>
      <c r="B544" s="13">
        <v>433.4</v>
      </c>
      <c r="C544" s="13">
        <v>13115</v>
      </c>
      <c r="D544" s="13" t="s">
        <v>1027</v>
      </c>
      <c r="E544" s="13">
        <v>106442</v>
      </c>
      <c r="F544" s="13">
        <v>282694</v>
      </c>
      <c r="G544" t="s">
        <v>836</v>
      </c>
    </row>
    <row r="545" spans="1:7" x14ac:dyDescent="0.3">
      <c r="A545" s="13" t="s">
        <v>916</v>
      </c>
      <c r="B545" s="13">
        <v>947</v>
      </c>
      <c r="C545" s="13">
        <v>841</v>
      </c>
      <c r="D545" s="13" t="s">
        <v>1026</v>
      </c>
      <c r="E545" s="13">
        <v>16942</v>
      </c>
      <c r="F545" s="13">
        <v>23814</v>
      </c>
      <c r="G545" t="s">
        <v>836</v>
      </c>
    </row>
    <row r="546" spans="1:7" x14ac:dyDescent="0.3">
      <c r="A546" s="13" t="s">
        <v>242</v>
      </c>
      <c r="B546" s="13">
        <v>4183</v>
      </c>
      <c r="C546" s="13">
        <v>10030</v>
      </c>
      <c r="D546" s="13" t="s">
        <v>1028</v>
      </c>
      <c r="E546" s="13">
        <v>23409</v>
      </c>
      <c r="F546" s="13">
        <v>51980</v>
      </c>
      <c r="G546" t="s">
        <v>836</v>
      </c>
    </row>
    <row r="547" spans="1:7" x14ac:dyDescent="0.3">
      <c r="A547" s="13" t="s">
        <v>918</v>
      </c>
      <c r="B547" s="13">
        <v>300.8</v>
      </c>
      <c r="C547" s="13">
        <v>9711</v>
      </c>
      <c r="D547" s="13" t="s">
        <v>1025</v>
      </c>
      <c r="E547" s="13">
        <v>39904</v>
      </c>
      <c r="F547" s="13">
        <v>219894</v>
      </c>
      <c r="G547" t="s">
        <v>836</v>
      </c>
    </row>
    <row r="548" spans="1:7" x14ac:dyDescent="0.3">
      <c r="A548" s="13" t="s">
        <v>920</v>
      </c>
      <c r="B548" s="13">
        <v>3702.9</v>
      </c>
      <c r="C548" s="13">
        <v>659</v>
      </c>
      <c r="D548" s="13" t="s">
        <v>1026</v>
      </c>
      <c r="E548" s="13">
        <v>5592</v>
      </c>
      <c r="F548" s="13">
        <v>8812</v>
      </c>
      <c r="G548" t="s">
        <v>836</v>
      </c>
    </row>
    <row r="549" spans="1:7" x14ac:dyDescent="0.3">
      <c r="A549" s="13" t="s">
        <v>248</v>
      </c>
      <c r="B549" s="13">
        <v>2409.4</v>
      </c>
      <c r="C549" s="13">
        <v>1289</v>
      </c>
      <c r="D549" s="13" t="s">
        <v>1026</v>
      </c>
      <c r="E549" s="13">
        <v>7505</v>
      </c>
      <c r="F549" s="13">
        <v>22437</v>
      </c>
      <c r="G549" t="s">
        <v>836</v>
      </c>
    </row>
    <row r="550" spans="1:7" x14ac:dyDescent="0.3">
      <c r="A550" s="13" t="s">
        <v>606</v>
      </c>
      <c r="B550" s="13">
        <v>3105</v>
      </c>
      <c r="C550" s="13">
        <v>12053</v>
      </c>
      <c r="D550" s="13" t="s">
        <v>1027</v>
      </c>
      <c r="E550" s="13">
        <v>31550</v>
      </c>
      <c r="F550" s="13">
        <v>41306</v>
      </c>
      <c r="G550" t="s">
        <v>836</v>
      </c>
    </row>
    <row r="551" spans="1:7" x14ac:dyDescent="0.3">
      <c r="A551" s="13" t="s">
        <v>252</v>
      </c>
      <c r="B551" s="13">
        <v>315</v>
      </c>
      <c r="C551" s="13">
        <v>6447</v>
      </c>
      <c r="D551" s="13" t="s">
        <v>1026</v>
      </c>
      <c r="E551" s="13">
        <v>10602</v>
      </c>
      <c r="F551" s="13">
        <v>44028</v>
      </c>
      <c r="G551" t="s">
        <v>836</v>
      </c>
    </row>
    <row r="552" spans="1:7" x14ac:dyDescent="0.3">
      <c r="A552" s="13" t="s">
        <v>922</v>
      </c>
      <c r="B552" s="13">
        <v>2488.6999999999998</v>
      </c>
      <c r="C552" s="13">
        <v>367</v>
      </c>
      <c r="D552" s="13" t="s">
        <v>1025</v>
      </c>
      <c r="E552" s="13">
        <v>3062</v>
      </c>
      <c r="F552" s="13">
        <v>7860</v>
      </c>
      <c r="G552" t="s">
        <v>836</v>
      </c>
    </row>
    <row r="553" spans="1:7" x14ac:dyDescent="0.3">
      <c r="A553" s="13" t="s">
        <v>254</v>
      </c>
      <c r="B553" s="13">
        <v>840</v>
      </c>
      <c r="C553" s="13">
        <v>2128</v>
      </c>
      <c r="D553" s="13" t="s">
        <v>1025</v>
      </c>
      <c r="E553" s="13">
        <v>9491</v>
      </c>
      <c r="F553" s="13">
        <v>9878</v>
      </c>
      <c r="G553" t="s">
        <v>836</v>
      </c>
    </row>
    <row r="554" spans="1:7" x14ac:dyDescent="0.3">
      <c r="A554" s="13" t="s">
        <v>256</v>
      </c>
      <c r="B554" s="13">
        <v>13744</v>
      </c>
      <c r="C554" s="13">
        <v>6550</v>
      </c>
      <c r="D554" s="13" t="s">
        <v>1028</v>
      </c>
      <c r="E554" s="13">
        <v>9425</v>
      </c>
      <c r="F554" s="13">
        <v>6395</v>
      </c>
      <c r="G554" t="s">
        <v>822</v>
      </c>
    </row>
    <row r="555" spans="1:7" x14ac:dyDescent="0.3">
      <c r="A555" s="13" t="s">
        <v>924</v>
      </c>
      <c r="B555" s="13">
        <v>1149</v>
      </c>
      <c r="C555" s="13">
        <v>6267</v>
      </c>
      <c r="D555" s="13" t="s">
        <v>1031</v>
      </c>
      <c r="E555" s="13">
        <v>6624</v>
      </c>
      <c r="F555" s="13">
        <v>31762</v>
      </c>
      <c r="G555" t="s">
        <v>836</v>
      </c>
    </row>
    <row r="556" spans="1:7" x14ac:dyDescent="0.3">
      <c r="A556" s="13" t="s">
        <v>926</v>
      </c>
      <c r="B556" s="13">
        <v>2459</v>
      </c>
      <c r="C556" s="13">
        <v>2419</v>
      </c>
      <c r="D556" s="13" t="s">
        <v>1026</v>
      </c>
      <c r="E556" s="13">
        <v>11492</v>
      </c>
      <c r="F556" s="13">
        <v>42988</v>
      </c>
      <c r="G556" t="s">
        <v>836</v>
      </c>
    </row>
    <row r="557" spans="1:7" x14ac:dyDescent="0.3">
      <c r="A557" s="13" t="s">
        <v>259</v>
      </c>
      <c r="B557" s="13">
        <v>2914</v>
      </c>
      <c r="C557" s="13">
        <v>10989</v>
      </c>
      <c r="D557" s="13" t="s">
        <v>1027</v>
      </c>
      <c r="E557" s="13">
        <v>19307</v>
      </c>
      <c r="F557" s="13">
        <v>67026</v>
      </c>
      <c r="G557" t="s">
        <v>836</v>
      </c>
    </row>
    <row r="558" spans="1:7" x14ac:dyDescent="0.3">
      <c r="A558" s="13" t="s">
        <v>263</v>
      </c>
      <c r="B558" s="13">
        <v>1601.5</v>
      </c>
      <c r="C558" s="13">
        <v>610</v>
      </c>
      <c r="D558" s="13" t="s">
        <v>1027</v>
      </c>
      <c r="E558" s="13">
        <v>2713</v>
      </c>
      <c r="F558" s="13">
        <v>5555</v>
      </c>
      <c r="G558" t="s">
        <v>836</v>
      </c>
    </row>
    <row r="559" spans="1:7" x14ac:dyDescent="0.3">
      <c r="A559" s="13" t="s">
        <v>267</v>
      </c>
      <c r="B559" s="13">
        <v>148.94</v>
      </c>
      <c r="C559" s="13">
        <v>150275</v>
      </c>
      <c r="D559" s="13" t="s">
        <v>1027</v>
      </c>
      <c r="E559" s="13">
        <v>198073</v>
      </c>
      <c r="F559" s="13">
        <v>345481</v>
      </c>
      <c r="G559" t="s">
        <v>836</v>
      </c>
    </row>
    <row r="560" spans="1:7" x14ac:dyDescent="0.3">
      <c r="A560" s="13" t="s">
        <v>928</v>
      </c>
      <c r="B560" s="13">
        <v>950.05</v>
      </c>
      <c r="C560" s="13">
        <v>358</v>
      </c>
      <c r="D560" s="13" t="s">
        <v>1025</v>
      </c>
      <c r="E560" s="13">
        <v>7024</v>
      </c>
      <c r="F560" s="13">
        <v>29142</v>
      </c>
      <c r="G560" t="s">
        <v>836</v>
      </c>
    </row>
    <row r="561" spans="1:7" x14ac:dyDescent="0.3">
      <c r="A561" s="13" t="s">
        <v>269</v>
      </c>
      <c r="B561" s="13">
        <v>2208.9</v>
      </c>
      <c r="C561" s="13">
        <v>627</v>
      </c>
      <c r="D561" s="13" t="s">
        <v>1026</v>
      </c>
      <c r="E561" s="13">
        <v>3685</v>
      </c>
      <c r="F561" s="13">
        <v>9212</v>
      </c>
      <c r="G561" t="s">
        <v>836</v>
      </c>
    </row>
    <row r="562" spans="1:7" x14ac:dyDescent="0.3">
      <c r="A562" s="13" t="s">
        <v>273</v>
      </c>
      <c r="B562" s="13">
        <v>3015.2</v>
      </c>
      <c r="C562" s="13">
        <v>3056</v>
      </c>
      <c r="D562" s="13" t="s">
        <v>1027</v>
      </c>
      <c r="E562" s="13">
        <v>6611</v>
      </c>
      <c r="F562" s="13">
        <v>6983</v>
      </c>
      <c r="G562" t="s">
        <v>836</v>
      </c>
    </row>
    <row r="563" spans="1:7" x14ac:dyDescent="0.3">
      <c r="A563" s="13" t="s">
        <v>930</v>
      </c>
      <c r="B563" s="13">
        <v>1167</v>
      </c>
      <c r="C563" s="13">
        <v>393</v>
      </c>
      <c r="D563" s="13" t="s">
        <v>1026</v>
      </c>
      <c r="E563" s="13">
        <v>3676</v>
      </c>
      <c r="F563" s="13">
        <v>19233</v>
      </c>
      <c r="G563" t="s">
        <v>836</v>
      </c>
    </row>
    <row r="564" spans="1:7" x14ac:dyDescent="0.3">
      <c r="A564" s="13" t="s">
        <v>275</v>
      </c>
      <c r="B564" s="13">
        <v>342</v>
      </c>
      <c r="C564" s="13">
        <v>60299</v>
      </c>
      <c r="D564" s="13" t="s">
        <v>1027</v>
      </c>
      <c r="E564" s="13">
        <v>54779</v>
      </c>
      <c r="F564" s="13">
        <v>284416</v>
      </c>
      <c r="G564" t="s">
        <v>836</v>
      </c>
    </row>
    <row r="565" spans="1:7" x14ac:dyDescent="0.3">
      <c r="A565" s="13" t="s">
        <v>277</v>
      </c>
      <c r="B565" s="13">
        <v>993.5</v>
      </c>
      <c r="C565" s="13">
        <v>728</v>
      </c>
      <c r="D565" s="13" t="s">
        <v>1025</v>
      </c>
      <c r="E565" s="13">
        <v>7495</v>
      </c>
      <c r="F565" s="13">
        <v>21376</v>
      </c>
      <c r="G565" t="s">
        <v>836</v>
      </c>
    </row>
    <row r="566" spans="1:7" x14ac:dyDescent="0.3">
      <c r="A566" s="13" t="s">
        <v>932</v>
      </c>
      <c r="B566" s="13">
        <v>104.9</v>
      </c>
      <c r="C566" s="13">
        <v>20392</v>
      </c>
      <c r="D566" s="13" t="s">
        <v>1025</v>
      </c>
      <c r="E566" s="13">
        <v>141348</v>
      </c>
      <c r="F566" s="13">
        <v>377952</v>
      </c>
      <c r="G566" t="s">
        <v>836</v>
      </c>
    </row>
    <row r="567" spans="1:7" x14ac:dyDescent="0.3">
      <c r="A567" s="13" t="s">
        <v>281</v>
      </c>
      <c r="B567" s="13">
        <v>1387.3</v>
      </c>
      <c r="C567" s="13">
        <v>2580</v>
      </c>
      <c r="D567" s="13" t="s">
        <v>1025</v>
      </c>
      <c r="E567" s="13">
        <v>6088</v>
      </c>
      <c r="F567" s="13">
        <v>18694</v>
      </c>
      <c r="G567" t="s">
        <v>836</v>
      </c>
    </row>
    <row r="568" spans="1:7" x14ac:dyDescent="0.3">
      <c r="A568" s="13" t="s">
        <v>934</v>
      </c>
      <c r="B568" s="13">
        <v>81</v>
      </c>
      <c r="C568" s="13">
        <v>292986</v>
      </c>
      <c r="D568" s="13" t="s">
        <v>1027</v>
      </c>
      <c r="E568" s="13">
        <v>663150</v>
      </c>
      <c r="F568" s="13">
        <v>1542866</v>
      </c>
      <c r="G568" t="s">
        <v>836</v>
      </c>
    </row>
    <row r="569" spans="1:7" x14ac:dyDescent="0.3">
      <c r="A569" s="13" t="s">
        <v>283</v>
      </c>
      <c r="B569" s="13">
        <v>85.45</v>
      </c>
      <c r="C569" s="13">
        <v>32582</v>
      </c>
      <c r="D569" s="13" t="s">
        <v>1025</v>
      </c>
      <c r="E569" s="13">
        <v>205801</v>
      </c>
      <c r="F569" s="13">
        <v>771621</v>
      </c>
      <c r="G569" t="s">
        <v>836</v>
      </c>
    </row>
    <row r="570" spans="1:7" x14ac:dyDescent="0.3">
      <c r="A570" s="13" t="s">
        <v>285</v>
      </c>
      <c r="B570" s="13">
        <v>354.75</v>
      </c>
      <c r="C570" s="13">
        <v>20816</v>
      </c>
      <c r="D570" s="13" t="s">
        <v>1031</v>
      </c>
      <c r="E570" s="13">
        <v>54003</v>
      </c>
      <c r="F570" s="13">
        <v>109825</v>
      </c>
      <c r="G570" t="s">
        <v>836</v>
      </c>
    </row>
    <row r="571" spans="1:7" x14ac:dyDescent="0.3">
      <c r="A571" s="13" t="s">
        <v>936</v>
      </c>
      <c r="B571" s="13">
        <v>1780</v>
      </c>
      <c r="C571" s="13">
        <v>2910</v>
      </c>
      <c r="D571" s="13" t="s">
        <v>1026</v>
      </c>
      <c r="E571" s="13">
        <v>3382</v>
      </c>
      <c r="F571" s="13">
        <v>10535</v>
      </c>
      <c r="G571" t="s">
        <v>836</v>
      </c>
    </row>
    <row r="572" spans="1:7" x14ac:dyDescent="0.3">
      <c r="A572" s="13" t="s">
        <v>938</v>
      </c>
      <c r="B572" s="13">
        <v>304.3</v>
      </c>
      <c r="C572" s="13">
        <v>9779</v>
      </c>
      <c r="D572" s="13" t="s">
        <v>1025</v>
      </c>
      <c r="E572" s="13">
        <v>17819</v>
      </c>
      <c r="F572" s="13">
        <v>37696</v>
      </c>
      <c r="G572" t="s">
        <v>836</v>
      </c>
    </row>
    <row r="573" spans="1:7" x14ac:dyDescent="0.3">
      <c r="A573" s="13" t="s">
        <v>287</v>
      </c>
      <c r="B573" s="13">
        <v>1771.8</v>
      </c>
      <c r="C573" s="13">
        <v>887</v>
      </c>
      <c r="D573" s="13" t="s">
        <v>1025</v>
      </c>
      <c r="E573" s="13">
        <v>2986</v>
      </c>
      <c r="F573" s="13">
        <v>16763</v>
      </c>
      <c r="G573" t="s">
        <v>836</v>
      </c>
    </row>
    <row r="574" spans="1:7" x14ac:dyDescent="0.3">
      <c r="A574" s="13" t="s">
        <v>289</v>
      </c>
      <c r="B574" s="13">
        <v>10874.5</v>
      </c>
      <c r="C574" s="13">
        <v>563</v>
      </c>
      <c r="D574" s="13" t="s">
        <v>1025</v>
      </c>
      <c r="E574" s="13">
        <v>737</v>
      </c>
      <c r="F574" s="13">
        <v>3345</v>
      </c>
      <c r="G574" t="s">
        <v>836</v>
      </c>
    </row>
    <row r="575" spans="1:7" x14ac:dyDescent="0.3">
      <c r="A575" s="13" t="s">
        <v>940</v>
      </c>
      <c r="B575" s="13">
        <v>412.75</v>
      </c>
      <c r="C575" s="13">
        <v>1258</v>
      </c>
      <c r="D575" s="13" t="s">
        <v>1025</v>
      </c>
      <c r="E575" s="13">
        <v>22593</v>
      </c>
      <c r="F575" s="13">
        <v>98187</v>
      </c>
      <c r="G575" t="s">
        <v>836</v>
      </c>
    </row>
    <row r="576" spans="1:7" x14ac:dyDescent="0.3">
      <c r="A576" s="13" t="s">
        <v>291</v>
      </c>
      <c r="B576" s="13">
        <v>233.95</v>
      </c>
      <c r="C576" s="13">
        <v>45043</v>
      </c>
      <c r="D576" s="13" t="s">
        <v>1028</v>
      </c>
      <c r="E576" s="13">
        <v>207843</v>
      </c>
      <c r="F576" s="13">
        <v>447463</v>
      </c>
      <c r="G576" t="s">
        <v>836</v>
      </c>
    </row>
    <row r="577" spans="1:7" x14ac:dyDescent="0.3">
      <c r="A577" s="13" t="s">
        <v>293</v>
      </c>
      <c r="B577" s="13">
        <v>40780</v>
      </c>
      <c r="C577" s="13">
        <v>15</v>
      </c>
      <c r="D577" s="13" t="s">
        <v>1025</v>
      </c>
      <c r="E577" s="13">
        <v>670</v>
      </c>
      <c r="F577" s="13">
        <v>559</v>
      </c>
      <c r="G577" t="s">
        <v>822</v>
      </c>
    </row>
    <row r="578" spans="1:7" x14ac:dyDescent="0.3">
      <c r="A578" s="13" t="s">
        <v>942</v>
      </c>
      <c r="B578" s="13">
        <v>413</v>
      </c>
      <c r="C578" s="13">
        <v>9902</v>
      </c>
      <c r="D578" s="13" t="s">
        <v>1025</v>
      </c>
      <c r="E578" s="13">
        <v>22352</v>
      </c>
      <c r="F578" s="13">
        <v>33750</v>
      </c>
      <c r="G578" t="s">
        <v>836</v>
      </c>
    </row>
    <row r="579" spans="1:7" x14ac:dyDescent="0.3">
      <c r="A579" s="13" t="s">
        <v>944</v>
      </c>
      <c r="B579" s="13">
        <v>1133.8</v>
      </c>
      <c r="C579" s="13">
        <v>3931</v>
      </c>
      <c r="D579" s="13" t="s">
        <v>1025</v>
      </c>
      <c r="E579" s="13">
        <v>12705</v>
      </c>
      <c r="F579" s="13">
        <v>32196</v>
      </c>
      <c r="G579" t="s">
        <v>836</v>
      </c>
    </row>
    <row r="580" spans="1:7" x14ac:dyDescent="0.3">
      <c r="A580" s="13" t="s">
        <v>297</v>
      </c>
      <c r="B580" s="13">
        <v>4331</v>
      </c>
      <c r="C580" s="13">
        <v>8700</v>
      </c>
      <c r="D580" s="13" t="s">
        <v>1027</v>
      </c>
      <c r="E580" s="13">
        <v>31715</v>
      </c>
      <c r="F580" s="13">
        <v>66513</v>
      </c>
      <c r="G580" t="s">
        <v>836</v>
      </c>
    </row>
    <row r="581" spans="1:7" x14ac:dyDescent="0.3">
      <c r="A581" s="13" t="s">
        <v>299</v>
      </c>
      <c r="B581" s="13">
        <v>281.25</v>
      </c>
      <c r="C581" s="13">
        <v>1151</v>
      </c>
      <c r="D581" s="13" t="s">
        <v>1025</v>
      </c>
      <c r="E581" s="13">
        <v>21386</v>
      </c>
      <c r="F581" s="13">
        <v>54617</v>
      </c>
      <c r="G581" t="s">
        <v>836</v>
      </c>
    </row>
    <row r="582" spans="1:7" x14ac:dyDescent="0.3">
      <c r="A582" s="13" t="s">
        <v>301</v>
      </c>
      <c r="B582" s="13">
        <v>425.45</v>
      </c>
      <c r="C582" s="13">
        <v>8379</v>
      </c>
      <c r="D582" s="13" t="s">
        <v>1025</v>
      </c>
      <c r="E582" s="13">
        <v>47689</v>
      </c>
      <c r="F582" s="13">
        <v>85186</v>
      </c>
      <c r="G582" t="s">
        <v>836</v>
      </c>
    </row>
    <row r="583" spans="1:7" x14ac:dyDescent="0.3">
      <c r="A583" s="13" t="s">
        <v>946</v>
      </c>
      <c r="B583" s="13">
        <v>536</v>
      </c>
      <c r="C583" s="13">
        <v>1628</v>
      </c>
      <c r="D583" s="13" t="s">
        <v>1025</v>
      </c>
      <c r="E583" s="13">
        <v>9715</v>
      </c>
      <c r="F583" s="13">
        <v>46737</v>
      </c>
      <c r="G583" t="s">
        <v>836</v>
      </c>
    </row>
    <row r="584" spans="1:7" x14ac:dyDescent="0.3">
      <c r="A584" s="13" t="s">
        <v>948</v>
      </c>
      <c r="B584" s="13">
        <v>1928.1</v>
      </c>
      <c r="C584" s="13">
        <v>692</v>
      </c>
      <c r="D584" s="13" t="s">
        <v>1029</v>
      </c>
      <c r="E584" s="13">
        <v>1908</v>
      </c>
      <c r="F584" s="13">
        <v>6395</v>
      </c>
      <c r="G584" t="s">
        <v>836</v>
      </c>
    </row>
    <row r="585" spans="1:7" x14ac:dyDescent="0.3">
      <c r="A585" s="13" t="s">
        <v>303</v>
      </c>
      <c r="B585" s="13">
        <v>1607</v>
      </c>
      <c r="C585" s="13">
        <v>498</v>
      </c>
      <c r="D585" s="13" t="s">
        <v>1026</v>
      </c>
      <c r="E585" s="13">
        <v>3376</v>
      </c>
      <c r="F585" s="13">
        <v>11637</v>
      </c>
      <c r="G585" t="s">
        <v>836</v>
      </c>
    </row>
    <row r="586" spans="1:7" x14ac:dyDescent="0.3">
      <c r="A586" s="13" t="s">
        <v>305</v>
      </c>
      <c r="B586" s="13">
        <v>2568</v>
      </c>
      <c r="C586" s="13">
        <v>476</v>
      </c>
      <c r="D586" s="13" t="s">
        <v>1025</v>
      </c>
      <c r="E586" s="13">
        <v>5307</v>
      </c>
      <c r="F586" s="13">
        <v>5991</v>
      </c>
      <c r="G586" t="s">
        <v>836</v>
      </c>
    </row>
    <row r="587" spans="1:7" x14ac:dyDescent="0.3">
      <c r="A587" s="13" t="s">
        <v>307</v>
      </c>
      <c r="B587" s="13">
        <v>107.06</v>
      </c>
      <c r="C587" s="13">
        <v>29937</v>
      </c>
      <c r="D587" s="13" t="s">
        <v>1031</v>
      </c>
      <c r="E587" s="13">
        <v>209173</v>
      </c>
      <c r="F587" s="13">
        <v>748015</v>
      </c>
      <c r="G587" t="s">
        <v>836</v>
      </c>
    </row>
    <row r="588" spans="1:7" x14ac:dyDescent="0.3">
      <c r="A588" s="13" t="s">
        <v>950</v>
      </c>
      <c r="B588" s="13">
        <v>1035</v>
      </c>
      <c r="C588" s="13">
        <v>546</v>
      </c>
      <c r="D588" s="13" t="s">
        <v>1025</v>
      </c>
      <c r="E588" s="13">
        <v>9620</v>
      </c>
      <c r="F588" s="13">
        <v>15017</v>
      </c>
      <c r="G588" t="s">
        <v>836</v>
      </c>
    </row>
    <row r="589" spans="1:7" x14ac:dyDescent="0.3">
      <c r="A589" s="13" t="s">
        <v>952</v>
      </c>
      <c r="B589" s="13">
        <v>1630.9</v>
      </c>
      <c r="C589" s="13">
        <v>429</v>
      </c>
      <c r="D589" s="13" t="s">
        <v>1025</v>
      </c>
      <c r="E589" s="13">
        <v>4537</v>
      </c>
      <c r="F589" s="13">
        <v>7893</v>
      </c>
      <c r="G589" t="s">
        <v>836</v>
      </c>
    </row>
    <row r="590" spans="1:7" x14ac:dyDescent="0.3">
      <c r="A590" s="13" t="s">
        <v>309</v>
      </c>
      <c r="B590" s="13">
        <v>9710</v>
      </c>
      <c r="C590" s="13">
        <v>2797</v>
      </c>
      <c r="D590" s="13" t="s">
        <v>1031</v>
      </c>
      <c r="E590" s="13">
        <v>2566</v>
      </c>
      <c r="F590" s="13">
        <v>8447</v>
      </c>
      <c r="G590" t="s">
        <v>836</v>
      </c>
    </row>
    <row r="591" spans="1:7" x14ac:dyDescent="0.3">
      <c r="A591" s="13" t="s">
        <v>311</v>
      </c>
      <c r="B591" s="13">
        <v>287.2</v>
      </c>
      <c r="C591" s="13">
        <v>22914</v>
      </c>
      <c r="D591" s="13" t="s">
        <v>1027</v>
      </c>
      <c r="E591" s="13">
        <v>132148</v>
      </c>
      <c r="F591" s="13">
        <v>162268</v>
      </c>
      <c r="G591" t="s">
        <v>836</v>
      </c>
    </row>
    <row r="592" spans="1:7" x14ac:dyDescent="0.3">
      <c r="A592" s="13" t="s">
        <v>954</v>
      </c>
      <c r="B592" s="13">
        <v>34750</v>
      </c>
      <c r="C592" s="13">
        <v>505</v>
      </c>
      <c r="D592" s="13" t="s">
        <v>1025</v>
      </c>
      <c r="E592" s="13">
        <v>1113</v>
      </c>
      <c r="F592" s="13">
        <v>2743</v>
      </c>
      <c r="G592" t="s">
        <v>836</v>
      </c>
    </row>
    <row r="593" spans="1:7" x14ac:dyDescent="0.3">
      <c r="A593" s="13" t="s">
        <v>956</v>
      </c>
      <c r="B593" s="13">
        <v>1035</v>
      </c>
      <c r="C593" s="13">
        <v>1116</v>
      </c>
      <c r="D593" s="13" t="s">
        <v>1026</v>
      </c>
      <c r="E593" s="13">
        <v>20750</v>
      </c>
      <c r="F593" s="13">
        <v>37040</v>
      </c>
      <c r="G593" t="s">
        <v>836</v>
      </c>
    </row>
    <row r="594" spans="1:7" x14ac:dyDescent="0.3">
      <c r="A594" s="13" t="s">
        <v>958</v>
      </c>
      <c r="B594" s="13">
        <v>1548.1</v>
      </c>
      <c r="C594" s="13">
        <v>1528</v>
      </c>
      <c r="D594" s="13" t="s">
        <v>1026</v>
      </c>
      <c r="E594" s="13">
        <v>4053</v>
      </c>
      <c r="F594" s="13">
        <v>9346</v>
      </c>
      <c r="G594" t="s">
        <v>836</v>
      </c>
    </row>
    <row r="595" spans="1:7" x14ac:dyDescent="0.3">
      <c r="A595" s="13" t="s">
        <v>960</v>
      </c>
      <c r="B595" s="13">
        <v>3875</v>
      </c>
      <c r="C595" s="13">
        <v>1433</v>
      </c>
      <c r="D595" s="13" t="s">
        <v>1026</v>
      </c>
      <c r="E595" s="13">
        <v>1286</v>
      </c>
      <c r="F595" s="13">
        <v>9514</v>
      </c>
      <c r="G595" t="s">
        <v>836</v>
      </c>
    </row>
    <row r="596" spans="1:7" x14ac:dyDescent="0.3">
      <c r="A596" s="13" t="s">
        <v>317</v>
      </c>
      <c r="B596" s="13">
        <v>365.95</v>
      </c>
      <c r="C596" s="13">
        <v>4982</v>
      </c>
      <c r="D596" s="13" t="s">
        <v>1024</v>
      </c>
      <c r="E596" s="13">
        <v>35068</v>
      </c>
      <c r="F596" s="13">
        <v>64035</v>
      </c>
      <c r="G596" t="s">
        <v>836</v>
      </c>
    </row>
    <row r="597" spans="1:7" x14ac:dyDescent="0.3">
      <c r="A597" s="13" t="s">
        <v>319</v>
      </c>
      <c r="B597" s="13">
        <v>364.95</v>
      </c>
      <c r="C597" s="13">
        <v>22911</v>
      </c>
      <c r="D597" s="13" t="s">
        <v>1031</v>
      </c>
      <c r="E597" s="13">
        <v>122570</v>
      </c>
      <c r="F597" s="13">
        <v>285103</v>
      </c>
      <c r="G597" t="s">
        <v>836</v>
      </c>
    </row>
    <row r="598" spans="1:7" x14ac:dyDescent="0.3">
      <c r="A598" s="13" t="s">
        <v>321</v>
      </c>
      <c r="B598" s="13">
        <v>1306.9000000000001</v>
      </c>
      <c r="C598" s="13">
        <v>54908</v>
      </c>
      <c r="D598" s="13" t="s">
        <v>1027</v>
      </c>
      <c r="E598" s="13">
        <v>192130</v>
      </c>
      <c r="F598" s="13">
        <v>474261</v>
      </c>
      <c r="G598" t="s">
        <v>836</v>
      </c>
    </row>
    <row r="599" spans="1:7" x14ac:dyDescent="0.3">
      <c r="A599" s="13" t="s">
        <v>962</v>
      </c>
      <c r="B599" s="13">
        <v>238</v>
      </c>
      <c r="C599" s="13">
        <v>13431</v>
      </c>
      <c r="D599" s="13" t="s">
        <v>1031</v>
      </c>
      <c r="E599" s="13">
        <v>78149</v>
      </c>
      <c r="F599" s="13">
        <v>296456</v>
      </c>
      <c r="G599" t="s">
        <v>836</v>
      </c>
    </row>
    <row r="600" spans="1:7" x14ac:dyDescent="0.3">
      <c r="A600" s="13" t="s">
        <v>323</v>
      </c>
      <c r="B600" s="13">
        <v>174.5</v>
      </c>
      <c r="C600" s="13">
        <v>66450</v>
      </c>
      <c r="D600" s="13" t="s">
        <v>1027</v>
      </c>
      <c r="E600" s="13">
        <v>66870</v>
      </c>
      <c r="F600" s="13">
        <v>408105</v>
      </c>
      <c r="G600" t="s">
        <v>836</v>
      </c>
    </row>
    <row r="601" spans="1:7" x14ac:dyDescent="0.3">
      <c r="A601" s="13" t="s">
        <v>964</v>
      </c>
      <c r="B601" s="13">
        <v>170</v>
      </c>
      <c r="C601" s="13">
        <v>131244</v>
      </c>
      <c r="D601" s="13" t="s">
        <v>1027</v>
      </c>
      <c r="E601" s="13">
        <v>479339</v>
      </c>
      <c r="F601" s="13">
        <v>402586</v>
      </c>
      <c r="G601" t="s">
        <v>822</v>
      </c>
    </row>
    <row r="602" spans="1:7" x14ac:dyDescent="0.3">
      <c r="A602" s="13" t="s">
        <v>325</v>
      </c>
      <c r="B602" s="13">
        <v>605.1</v>
      </c>
      <c r="C602" s="13">
        <v>2171</v>
      </c>
      <c r="D602" s="13" t="s">
        <v>1025</v>
      </c>
      <c r="E602" s="13">
        <v>21208</v>
      </c>
      <c r="F602" s="13">
        <v>23351</v>
      </c>
      <c r="G602" t="s">
        <v>836</v>
      </c>
    </row>
    <row r="603" spans="1:7" x14ac:dyDescent="0.3">
      <c r="A603" s="13" t="s">
        <v>327</v>
      </c>
      <c r="B603" s="13">
        <v>1747.5</v>
      </c>
      <c r="C603" s="13">
        <v>830</v>
      </c>
      <c r="D603" s="13" t="s">
        <v>1027</v>
      </c>
      <c r="E603" s="13">
        <v>4429</v>
      </c>
      <c r="F603" s="13">
        <v>11495</v>
      </c>
      <c r="G603" t="s">
        <v>836</v>
      </c>
    </row>
    <row r="604" spans="1:7" x14ac:dyDescent="0.3">
      <c r="A604" s="13" t="s">
        <v>329</v>
      </c>
      <c r="B604" s="13">
        <v>1040</v>
      </c>
      <c r="C604" s="13">
        <v>15160</v>
      </c>
      <c r="D604" s="13" t="s">
        <v>1027</v>
      </c>
      <c r="E604" s="13">
        <v>90019</v>
      </c>
      <c r="F604" s="13">
        <v>136711</v>
      </c>
      <c r="G604" t="s">
        <v>836</v>
      </c>
    </row>
    <row r="605" spans="1:7" x14ac:dyDescent="0.3">
      <c r="A605" s="13" t="s">
        <v>331</v>
      </c>
      <c r="B605" s="13">
        <v>25280</v>
      </c>
      <c r="C605" s="13">
        <v>21</v>
      </c>
      <c r="D605" s="13" t="s">
        <v>1024</v>
      </c>
      <c r="E605" s="13">
        <v>227</v>
      </c>
      <c r="F605" s="13">
        <v>110</v>
      </c>
      <c r="G605" t="s">
        <v>822</v>
      </c>
    </row>
    <row r="606" spans="1:7" x14ac:dyDescent="0.3">
      <c r="A606" s="13" t="s">
        <v>333</v>
      </c>
      <c r="B606" s="13">
        <v>1032.6500000000001</v>
      </c>
      <c r="C606" s="13">
        <v>10617</v>
      </c>
      <c r="D606" s="13" t="s">
        <v>1028</v>
      </c>
      <c r="E606" s="13">
        <v>11294</v>
      </c>
      <c r="F606" s="13">
        <v>110827</v>
      </c>
      <c r="G606" t="s">
        <v>836</v>
      </c>
    </row>
    <row r="607" spans="1:7" x14ac:dyDescent="0.3">
      <c r="A607" s="13" t="s">
        <v>335</v>
      </c>
      <c r="B607" s="13">
        <v>3600.4</v>
      </c>
      <c r="C607" s="13">
        <v>248</v>
      </c>
      <c r="D607" s="13" t="s">
        <v>1025</v>
      </c>
      <c r="E607" s="13">
        <v>3163</v>
      </c>
      <c r="F607" s="13">
        <v>7841</v>
      </c>
      <c r="G607" t="s">
        <v>836</v>
      </c>
    </row>
    <row r="608" spans="1:7" x14ac:dyDescent="0.3">
      <c r="A608" s="13" t="s">
        <v>966</v>
      </c>
      <c r="B608" s="13">
        <v>17870</v>
      </c>
      <c r="C608" s="13">
        <v>316</v>
      </c>
      <c r="D608" s="13" t="s">
        <v>1025</v>
      </c>
      <c r="E608" s="13">
        <v>728</v>
      </c>
      <c r="F608" s="13">
        <v>3122</v>
      </c>
      <c r="G608" t="s">
        <v>836</v>
      </c>
    </row>
    <row r="609" spans="1:7" x14ac:dyDescent="0.3">
      <c r="A609" s="13" t="s">
        <v>968</v>
      </c>
      <c r="B609" s="13">
        <v>618.54999999999995</v>
      </c>
      <c r="C609" s="13">
        <v>2747</v>
      </c>
      <c r="D609" s="13" t="s">
        <v>1025</v>
      </c>
      <c r="E609" s="13">
        <v>7759</v>
      </c>
      <c r="F609" s="13">
        <v>54555</v>
      </c>
      <c r="G609" t="s">
        <v>836</v>
      </c>
    </row>
    <row r="610" spans="1:7" x14ac:dyDescent="0.3">
      <c r="A610" s="13" t="s">
        <v>337</v>
      </c>
      <c r="B610" s="13">
        <v>2664.7</v>
      </c>
      <c r="C610" s="13">
        <v>299</v>
      </c>
      <c r="D610" s="13" t="s">
        <v>1025</v>
      </c>
      <c r="E610" s="13">
        <v>7731</v>
      </c>
      <c r="F610" s="13">
        <v>8997</v>
      </c>
      <c r="G610" t="s">
        <v>836</v>
      </c>
    </row>
    <row r="611" spans="1:7" x14ac:dyDescent="0.3">
      <c r="A611" s="13" t="s">
        <v>339</v>
      </c>
      <c r="B611" s="13">
        <v>1885</v>
      </c>
      <c r="C611" s="13">
        <v>8008</v>
      </c>
      <c r="D611" s="13" t="s">
        <v>1028</v>
      </c>
      <c r="E611" s="13">
        <v>5906</v>
      </c>
      <c r="F611" s="13">
        <v>24175</v>
      </c>
      <c r="G611" t="s">
        <v>836</v>
      </c>
    </row>
    <row r="612" spans="1:7" x14ac:dyDescent="0.3">
      <c r="A612" s="13" t="s">
        <v>970</v>
      </c>
      <c r="B612" s="13">
        <v>3219.9</v>
      </c>
      <c r="C612" s="13">
        <v>826</v>
      </c>
      <c r="D612" s="13" t="s">
        <v>1025</v>
      </c>
      <c r="E612" s="13">
        <v>5110</v>
      </c>
      <c r="F612" s="13">
        <v>3929</v>
      </c>
      <c r="G612" t="s">
        <v>822</v>
      </c>
    </row>
    <row r="613" spans="1:7" x14ac:dyDescent="0.3">
      <c r="A613" s="13" t="s">
        <v>972</v>
      </c>
      <c r="B613" s="13">
        <v>57.46</v>
      </c>
      <c r="C613" s="13">
        <v>190512</v>
      </c>
      <c r="D613" s="13" t="s">
        <v>1028</v>
      </c>
      <c r="E613" s="13">
        <v>1891535</v>
      </c>
      <c r="F613" s="13">
        <v>4341940</v>
      </c>
      <c r="G613" t="s">
        <v>836</v>
      </c>
    </row>
    <row r="614" spans="1:7" x14ac:dyDescent="0.3">
      <c r="A614" s="13" t="s">
        <v>974</v>
      </c>
      <c r="B614" s="13">
        <v>240</v>
      </c>
      <c r="C614" s="13">
        <v>16368</v>
      </c>
      <c r="D614" s="13" t="s">
        <v>1025</v>
      </c>
      <c r="E614" s="13">
        <v>122253</v>
      </c>
      <c r="F614" s="13">
        <v>167390</v>
      </c>
      <c r="G614" t="s">
        <v>836</v>
      </c>
    </row>
    <row r="615" spans="1:7" x14ac:dyDescent="0.3">
      <c r="A615" s="13" t="s">
        <v>349</v>
      </c>
      <c r="B615" s="13">
        <v>1089</v>
      </c>
      <c r="C615" s="13">
        <v>10510</v>
      </c>
      <c r="D615" s="13" t="s">
        <v>1031</v>
      </c>
      <c r="E615" s="13">
        <v>5215</v>
      </c>
      <c r="F615" s="13">
        <v>31322</v>
      </c>
      <c r="G615" t="s">
        <v>836</v>
      </c>
    </row>
    <row r="616" spans="1:7" x14ac:dyDescent="0.3">
      <c r="A616" s="13" t="s">
        <v>976</v>
      </c>
      <c r="B616" s="13">
        <v>3990</v>
      </c>
      <c r="C616" s="13">
        <v>350</v>
      </c>
      <c r="D616" s="13" t="s">
        <v>1025</v>
      </c>
      <c r="E616" s="13">
        <v>7008</v>
      </c>
      <c r="F616" s="13">
        <v>9416</v>
      </c>
      <c r="G616" t="s">
        <v>836</v>
      </c>
    </row>
    <row r="617" spans="1:7" x14ac:dyDescent="0.3">
      <c r="A617" s="13" t="s">
        <v>353</v>
      </c>
      <c r="B617" s="13">
        <v>387.55</v>
      </c>
      <c r="C617" s="13">
        <v>19384</v>
      </c>
      <c r="D617" s="13" t="s">
        <v>1031</v>
      </c>
      <c r="E617" s="13">
        <v>84674</v>
      </c>
      <c r="F617" s="13">
        <v>123742</v>
      </c>
      <c r="G617" t="s">
        <v>836</v>
      </c>
    </row>
    <row r="618" spans="1:7" x14ac:dyDescent="0.3">
      <c r="A618" s="13" t="s">
        <v>355</v>
      </c>
      <c r="B618" s="13">
        <v>189.5</v>
      </c>
      <c r="C618" s="13">
        <v>87997</v>
      </c>
      <c r="D618" s="13" t="s">
        <v>1028</v>
      </c>
      <c r="E618" s="13">
        <v>248833</v>
      </c>
      <c r="F618" s="13">
        <v>552910</v>
      </c>
      <c r="G618" t="s">
        <v>836</v>
      </c>
    </row>
    <row r="619" spans="1:7" x14ac:dyDescent="0.3">
      <c r="A619" s="13" t="s">
        <v>357</v>
      </c>
      <c r="B619" s="13">
        <v>2090</v>
      </c>
      <c r="C619" s="13">
        <v>22735</v>
      </c>
      <c r="D619" s="13" t="s">
        <v>1027</v>
      </c>
      <c r="E619" s="13">
        <v>37191</v>
      </c>
      <c r="F619" s="13">
        <v>151796</v>
      </c>
      <c r="G619" t="s">
        <v>836</v>
      </c>
    </row>
    <row r="620" spans="1:7" x14ac:dyDescent="0.3">
      <c r="A620" s="13" t="s">
        <v>359</v>
      </c>
      <c r="B620" s="13">
        <v>1438</v>
      </c>
      <c r="C620" s="13">
        <v>2562</v>
      </c>
      <c r="D620" s="13" t="s">
        <v>1025</v>
      </c>
      <c r="E620" s="13">
        <v>14814</v>
      </c>
      <c r="F620" s="13">
        <v>40649</v>
      </c>
      <c r="G620" t="s">
        <v>836</v>
      </c>
    </row>
    <row r="621" spans="1:7" x14ac:dyDescent="0.3">
      <c r="A621" s="13" t="s">
        <v>978</v>
      </c>
      <c r="B621" s="13">
        <v>3031.1</v>
      </c>
      <c r="C621" s="13">
        <v>389</v>
      </c>
      <c r="D621" s="13" t="s">
        <v>1024</v>
      </c>
      <c r="E621" s="13">
        <v>2144</v>
      </c>
      <c r="F621" s="13">
        <v>1484</v>
      </c>
      <c r="G621" t="s">
        <v>822</v>
      </c>
    </row>
    <row r="622" spans="1:7" x14ac:dyDescent="0.3">
      <c r="A622" s="13" t="s">
        <v>361</v>
      </c>
      <c r="B622" s="13">
        <v>4277.5</v>
      </c>
      <c r="C622" s="13">
        <v>1092</v>
      </c>
      <c r="D622" s="13" t="s">
        <v>1026</v>
      </c>
      <c r="E622" s="13">
        <v>3546</v>
      </c>
      <c r="F622" s="13">
        <v>9858</v>
      </c>
      <c r="G622" t="s">
        <v>836</v>
      </c>
    </row>
    <row r="623" spans="1:7" x14ac:dyDescent="0.3">
      <c r="A623" s="13" t="s">
        <v>980</v>
      </c>
      <c r="B623" s="13">
        <v>348</v>
      </c>
      <c r="C623" s="13">
        <v>49317</v>
      </c>
      <c r="D623" s="13" t="s">
        <v>1027</v>
      </c>
      <c r="E623" s="13">
        <v>183511</v>
      </c>
      <c r="F623" s="13">
        <v>372419</v>
      </c>
      <c r="G623" t="s">
        <v>836</v>
      </c>
    </row>
    <row r="624" spans="1:7" x14ac:dyDescent="0.3">
      <c r="A624" s="13" t="s">
        <v>363</v>
      </c>
      <c r="B624" s="13">
        <v>4668.8999999999996</v>
      </c>
      <c r="C624" s="13">
        <v>1152</v>
      </c>
      <c r="D624" s="13" t="s">
        <v>1025</v>
      </c>
      <c r="E624" s="13">
        <v>3169</v>
      </c>
      <c r="F624" s="13">
        <v>4595</v>
      </c>
      <c r="G624" t="s">
        <v>836</v>
      </c>
    </row>
    <row r="625" spans="1:7" x14ac:dyDescent="0.3">
      <c r="A625" s="13" t="s">
        <v>365</v>
      </c>
      <c r="B625" s="13">
        <v>3275</v>
      </c>
      <c r="C625" s="13">
        <v>1883</v>
      </c>
      <c r="D625" s="13" t="s">
        <v>1027</v>
      </c>
      <c r="E625" s="13">
        <v>29263</v>
      </c>
      <c r="F625" s="13">
        <v>24649</v>
      </c>
      <c r="G625" t="s">
        <v>822</v>
      </c>
    </row>
    <row r="626" spans="1:7" x14ac:dyDescent="0.3">
      <c r="A626" s="13" t="s">
        <v>367</v>
      </c>
      <c r="B626" s="13">
        <v>3490.1</v>
      </c>
      <c r="C626" s="13">
        <v>2074</v>
      </c>
      <c r="D626" s="13" t="s">
        <v>1027</v>
      </c>
      <c r="E626" s="13">
        <v>9027</v>
      </c>
      <c r="F626" s="13">
        <v>9353</v>
      </c>
      <c r="G626" t="s">
        <v>836</v>
      </c>
    </row>
    <row r="627" spans="1:7" x14ac:dyDescent="0.3">
      <c r="A627" s="13" t="s">
        <v>371</v>
      </c>
      <c r="B627" s="13">
        <v>11317</v>
      </c>
      <c r="C627" s="13">
        <v>475</v>
      </c>
      <c r="D627" s="13" t="s">
        <v>1024</v>
      </c>
      <c r="E627" s="13">
        <v>2061</v>
      </c>
      <c r="F627" s="13">
        <v>3750</v>
      </c>
      <c r="G627" t="s">
        <v>836</v>
      </c>
    </row>
    <row r="628" spans="1:7" x14ac:dyDescent="0.3">
      <c r="A628" s="13" t="s">
        <v>982</v>
      </c>
      <c r="B628" s="13">
        <v>175</v>
      </c>
      <c r="C628" s="13">
        <v>13387</v>
      </c>
      <c r="D628" s="13" t="s">
        <v>1025</v>
      </c>
      <c r="E628" s="13">
        <v>109334</v>
      </c>
      <c r="F628" s="13">
        <v>660752</v>
      </c>
      <c r="G628" t="s">
        <v>836</v>
      </c>
    </row>
    <row r="629" spans="1:7" x14ac:dyDescent="0.3">
      <c r="A629" s="13" t="s">
        <v>984</v>
      </c>
      <c r="B629" s="13">
        <v>1348.3</v>
      </c>
      <c r="C629" s="13">
        <v>1061</v>
      </c>
      <c r="D629" s="13" t="s">
        <v>1026</v>
      </c>
      <c r="E629" s="13">
        <v>12024</v>
      </c>
      <c r="F629" s="13">
        <v>25122</v>
      </c>
      <c r="G629" t="s">
        <v>836</v>
      </c>
    </row>
    <row r="630" spans="1:7" x14ac:dyDescent="0.3">
      <c r="A630" s="13" t="s">
        <v>986</v>
      </c>
      <c r="B630" s="13">
        <v>1093</v>
      </c>
      <c r="C630" s="13">
        <v>1645</v>
      </c>
      <c r="D630" s="13" t="s">
        <v>1025</v>
      </c>
      <c r="E630" s="13">
        <v>12568</v>
      </c>
      <c r="F630" s="13">
        <v>11246</v>
      </c>
      <c r="G630" t="s">
        <v>822</v>
      </c>
    </row>
    <row r="631" spans="1:7" x14ac:dyDescent="0.3">
      <c r="A631" s="13" t="s">
        <v>373</v>
      </c>
      <c r="B631" s="13">
        <v>574</v>
      </c>
      <c r="C631" s="13">
        <v>7840</v>
      </c>
      <c r="D631" s="13" t="s">
        <v>1028</v>
      </c>
      <c r="E631" s="13">
        <v>73327</v>
      </c>
      <c r="F631" s="13">
        <v>17605</v>
      </c>
      <c r="G631" t="s">
        <v>822</v>
      </c>
    </row>
    <row r="632" spans="1:7" x14ac:dyDescent="0.3">
      <c r="A632" s="13" t="s">
        <v>988</v>
      </c>
      <c r="B632" s="13">
        <v>506.4</v>
      </c>
      <c r="C632" s="13">
        <v>7723</v>
      </c>
      <c r="D632" s="13" t="s">
        <v>1032</v>
      </c>
      <c r="E632" s="13">
        <v>34399</v>
      </c>
      <c r="F632" s="13">
        <v>121776</v>
      </c>
      <c r="G632" t="s">
        <v>836</v>
      </c>
    </row>
    <row r="633" spans="1:7" x14ac:dyDescent="0.3">
      <c r="A633" s="13" t="s">
        <v>375</v>
      </c>
      <c r="B633" s="13">
        <v>283.89999999999998</v>
      </c>
      <c r="C633" s="13">
        <v>169023</v>
      </c>
      <c r="D633" s="13" t="s">
        <v>1027</v>
      </c>
      <c r="E633" s="13">
        <v>247772</v>
      </c>
      <c r="F633" s="13">
        <v>1469185</v>
      </c>
      <c r="G633" t="s">
        <v>836</v>
      </c>
    </row>
    <row r="634" spans="1:7" x14ac:dyDescent="0.3">
      <c r="A634" s="13" t="s">
        <v>990</v>
      </c>
      <c r="B634" s="13">
        <v>115.79</v>
      </c>
      <c r="C634" s="13">
        <v>9560</v>
      </c>
      <c r="D634" s="13" t="s">
        <v>1032</v>
      </c>
      <c r="E634" s="13">
        <v>96007</v>
      </c>
      <c r="F634" s="13">
        <v>435578</v>
      </c>
      <c r="G634" t="s">
        <v>836</v>
      </c>
    </row>
    <row r="635" spans="1:7" x14ac:dyDescent="0.3">
      <c r="A635" s="13" t="s">
        <v>377</v>
      </c>
      <c r="B635" s="13">
        <v>1299.9000000000001</v>
      </c>
      <c r="C635" s="13">
        <v>383</v>
      </c>
      <c r="D635" s="13" t="s">
        <v>1032</v>
      </c>
      <c r="E635" s="13">
        <v>5891</v>
      </c>
      <c r="F635" s="13">
        <v>16381</v>
      </c>
      <c r="G635" t="s">
        <v>836</v>
      </c>
    </row>
    <row r="636" spans="1:7" x14ac:dyDescent="0.3">
      <c r="A636" s="13" t="s">
        <v>992</v>
      </c>
      <c r="B636" s="13">
        <v>2900</v>
      </c>
      <c r="C636" s="13">
        <v>6731</v>
      </c>
      <c r="D636" s="13" t="s">
        <v>1027</v>
      </c>
      <c r="E636" s="13">
        <v>22532</v>
      </c>
      <c r="F636" s="13">
        <v>31418</v>
      </c>
      <c r="G636" t="s">
        <v>836</v>
      </c>
    </row>
    <row r="637" spans="1:7" x14ac:dyDescent="0.3">
      <c r="A637" s="13" t="s">
        <v>379</v>
      </c>
      <c r="B637" s="13">
        <v>175</v>
      </c>
      <c r="C637" s="13">
        <v>57507</v>
      </c>
      <c r="D637" s="13" t="s">
        <v>1028</v>
      </c>
      <c r="E637" s="13">
        <v>236123</v>
      </c>
      <c r="F637" s="13">
        <v>1260728</v>
      </c>
      <c r="G637" t="s">
        <v>836</v>
      </c>
    </row>
    <row r="638" spans="1:7" x14ac:dyDescent="0.3">
      <c r="A638" s="13" t="s">
        <v>994</v>
      </c>
      <c r="B638" s="13">
        <v>25.25</v>
      </c>
      <c r="C638" s="13">
        <v>526959</v>
      </c>
      <c r="D638" s="13" t="s">
        <v>1028</v>
      </c>
      <c r="E638" s="13">
        <v>3383546</v>
      </c>
      <c r="F638" s="13">
        <v>8235348</v>
      </c>
      <c r="G638" t="s">
        <v>836</v>
      </c>
    </row>
    <row r="639" spans="1:7" x14ac:dyDescent="0.3">
      <c r="A639" s="13" t="s">
        <v>383</v>
      </c>
      <c r="B639" s="13">
        <v>1122.2</v>
      </c>
      <c r="C639" s="13">
        <v>1284</v>
      </c>
      <c r="D639" s="13" t="s">
        <v>1025</v>
      </c>
      <c r="E639" s="13">
        <v>6076</v>
      </c>
      <c r="F639" s="13">
        <v>32450</v>
      </c>
      <c r="G639" t="s">
        <v>836</v>
      </c>
    </row>
    <row r="641" spans="1:7" x14ac:dyDescent="0.3">
      <c r="A641" s="13" t="s">
        <v>995</v>
      </c>
      <c r="B641" s="13" t="s">
        <v>996</v>
      </c>
      <c r="C641" s="13" t="s">
        <v>997</v>
      </c>
      <c r="D641" s="13" t="s">
        <v>998</v>
      </c>
      <c r="E641" s="13" t="s">
        <v>999</v>
      </c>
      <c r="F641" s="13" t="s">
        <v>1000</v>
      </c>
      <c r="G641" t="s">
        <v>1010</v>
      </c>
    </row>
    <row r="642" spans="1:7" x14ac:dyDescent="0.3">
      <c r="A642" s="13" t="s">
        <v>89</v>
      </c>
      <c r="B642" s="13">
        <v>421.45</v>
      </c>
      <c r="C642" s="13">
        <v>7532</v>
      </c>
      <c r="D642" s="13" t="s">
        <v>1034</v>
      </c>
      <c r="E642" s="13">
        <v>73734</v>
      </c>
      <c r="F642" s="13">
        <v>66141</v>
      </c>
      <c r="G642" t="s">
        <v>822</v>
      </c>
    </row>
    <row r="643" spans="1:7" x14ac:dyDescent="0.3">
      <c r="A643" s="13" t="s">
        <v>83</v>
      </c>
      <c r="B643" s="13">
        <v>2151</v>
      </c>
      <c r="C643" s="13">
        <v>1683</v>
      </c>
      <c r="D643" s="13" t="s">
        <v>1035</v>
      </c>
      <c r="E643" s="13">
        <v>5752</v>
      </c>
      <c r="F643" s="13">
        <v>4563</v>
      </c>
      <c r="G643" t="s">
        <v>822</v>
      </c>
    </row>
    <row r="644" spans="1:7" x14ac:dyDescent="0.3">
      <c r="A644" s="13" t="s">
        <v>179</v>
      </c>
      <c r="B644" s="13">
        <v>951.9</v>
      </c>
      <c r="C644" s="13">
        <v>13907</v>
      </c>
      <c r="D644" s="13" t="s">
        <v>1034</v>
      </c>
      <c r="E644" s="13">
        <v>50122</v>
      </c>
      <c r="F644" s="13">
        <v>29945</v>
      </c>
      <c r="G644" t="s">
        <v>822</v>
      </c>
    </row>
    <row r="645" spans="1:7" x14ac:dyDescent="0.3">
      <c r="A645" s="13" t="s">
        <v>906</v>
      </c>
      <c r="B645" s="13">
        <v>3150</v>
      </c>
      <c r="C645" s="13">
        <v>3187</v>
      </c>
      <c r="D645" s="13" t="s">
        <v>1033</v>
      </c>
      <c r="E645" s="13">
        <v>23567</v>
      </c>
      <c r="F645" s="13">
        <v>17426</v>
      </c>
      <c r="G645" t="s">
        <v>822</v>
      </c>
    </row>
    <row r="646" spans="1:7" x14ac:dyDescent="0.3">
      <c r="A646" s="13" t="s">
        <v>269</v>
      </c>
      <c r="B646" s="13">
        <v>2179.8000000000002</v>
      </c>
      <c r="C646" s="13">
        <v>223</v>
      </c>
      <c r="D646" s="13" t="s">
        <v>1035</v>
      </c>
      <c r="E646" s="13">
        <v>10448</v>
      </c>
      <c r="F646" s="13">
        <v>7388</v>
      </c>
      <c r="G646" t="s">
        <v>822</v>
      </c>
    </row>
    <row r="647" spans="1:7" x14ac:dyDescent="0.3">
      <c r="A647" s="13" t="s">
        <v>191</v>
      </c>
      <c r="B647" s="13">
        <v>491</v>
      </c>
      <c r="C647" s="13">
        <v>565</v>
      </c>
      <c r="D647" s="13" t="s">
        <v>1038</v>
      </c>
      <c r="E647" s="13">
        <v>22986</v>
      </c>
      <c r="F647" s="13">
        <v>17315</v>
      </c>
      <c r="G647" t="s">
        <v>822</v>
      </c>
    </row>
    <row r="648" spans="1:7" x14ac:dyDescent="0.3">
      <c r="A648" s="13" t="s">
        <v>606</v>
      </c>
      <c r="B648" s="13">
        <v>3088</v>
      </c>
      <c r="C648" s="13">
        <v>15311</v>
      </c>
      <c r="D648" s="13" t="s">
        <v>1034</v>
      </c>
      <c r="E648" s="13">
        <v>70372</v>
      </c>
      <c r="F648" s="13">
        <v>39691</v>
      </c>
      <c r="G648" t="s">
        <v>822</v>
      </c>
    </row>
    <row r="649" spans="1:7" x14ac:dyDescent="0.3">
      <c r="A649" s="13" t="s">
        <v>215</v>
      </c>
      <c r="B649" s="13">
        <v>1006</v>
      </c>
      <c r="C649" s="13">
        <v>118244</v>
      </c>
      <c r="D649" s="13" t="s">
        <v>1034</v>
      </c>
      <c r="E649" s="13">
        <v>205189</v>
      </c>
      <c r="F649" s="13">
        <v>184180</v>
      </c>
      <c r="G649" t="s">
        <v>822</v>
      </c>
    </row>
    <row r="650" spans="1:7" x14ac:dyDescent="0.3">
      <c r="A650" s="13" t="s">
        <v>185</v>
      </c>
      <c r="B650" s="13">
        <v>2133.5</v>
      </c>
      <c r="C650" s="13">
        <v>1568</v>
      </c>
      <c r="D650" s="13" t="s">
        <v>1033</v>
      </c>
      <c r="E650" s="13">
        <v>19941</v>
      </c>
      <c r="F650" s="13">
        <v>16758</v>
      </c>
      <c r="G650" t="s">
        <v>822</v>
      </c>
    </row>
    <row r="651" spans="1:7" x14ac:dyDescent="0.3">
      <c r="A651" s="13" t="s">
        <v>373</v>
      </c>
      <c r="B651" s="13">
        <v>575</v>
      </c>
      <c r="C651" s="13">
        <v>5239</v>
      </c>
      <c r="D651" s="13" t="s">
        <v>1034</v>
      </c>
      <c r="E651" s="13">
        <v>29814</v>
      </c>
      <c r="F651" s="13">
        <v>27571</v>
      </c>
      <c r="G651" t="s">
        <v>822</v>
      </c>
    </row>
    <row r="652" spans="1:7" x14ac:dyDescent="0.3">
      <c r="A652" s="13" t="s">
        <v>325</v>
      </c>
      <c r="B652" s="13">
        <v>593.20000000000005</v>
      </c>
      <c r="C652" s="13">
        <v>4681</v>
      </c>
      <c r="D652" s="13" t="s">
        <v>1038</v>
      </c>
      <c r="E652" s="13">
        <v>25673</v>
      </c>
      <c r="F652" s="13">
        <v>17501</v>
      </c>
      <c r="G652" t="s">
        <v>822</v>
      </c>
    </row>
    <row r="653" spans="1:7" x14ac:dyDescent="0.3">
      <c r="A653" s="13" t="s">
        <v>167</v>
      </c>
      <c r="B653" s="13">
        <v>1172.5999999999999</v>
      </c>
      <c r="C653" s="13">
        <v>2520</v>
      </c>
      <c r="D653" s="13" t="s">
        <v>1039</v>
      </c>
      <c r="E653" s="13">
        <v>16295</v>
      </c>
      <c r="F653" s="13">
        <v>11018</v>
      </c>
      <c r="G653" t="s">
        <v>822</v>
      </c>
    </row>
    <row r="654" spans="1:7" x14ac:dyDescent="0.3">
      <c r="A654" s="13" t="s">
        <v>254</v>
      </c>
      <c r="B654" s="13">
        <v>836.25</v>
      </c>
      <c r="C654" s="13">
        <v>761</v>
      </c>
      <c r="D654" s="13" t="s">
        <v>1033</v>
      </c>
      <c r="E654" s="13">
        <v>10815</v>
      </c>
      <c r="F654" s="13">
        <v>10692</v>
      </c>
      <c r="G654" t="s">
        <v>822</v>
      </c>
    </row>
    <row r="655" spans="1:7" x14ac:dyDescent="0.3">
      <c r="A655" s="13" t="s">
        <v>305</v>
      </c>
      <c r="B655" s="13">
        <v>2580</v>
      </c>
      <c r="C655" s="13">
        <v>973</v>
      </c>
      <c r="D655" s="13" t="s">
        <v>1034</v>
      </c>
      <c r="E655" s="13">
        <v>4748</v>
      </c>
      <c r="F655" s="13">
        <v>3900</v>
      </c>
      <c r="G655" t="s">
        <v>822</v>
      </c>
    </row>
    <row r="656" spans="1:7" x14ac:dyDescent="0.3">
      <c r="A656" s="13" t="s">
        <v>920</v>
      </c>
      <c r="B656" s="13">
        <v>3554.6</v>
      </c>
      <c r="C656" s="13">
        <v>918</v>
      </c>
      <c r="D656" s="13" t="s">
        <v>1037</v>
      </c>
      <c r="E656" s="13">
        <v>6528</v>
      </c>
      <c r="F656" s="13">
        <v>5792</v>
      </c>
      <c r="G656" t="s">
        <v>822</v>
      </c>
    </row>
    <row r="657" spans="1:7" x14ac:dyDescent="0.3">
      <c r="A657" s="13" t="s">
        <v>293</v>
      </c>
      <c r="B657" s="13">
        <v>42225</v>
      </c>
      <c r="C657" s="13">
        <v>379</v>
      </c>
      <c r="D657" s="13" t="s">
        <v>1037</v>
      </c>
      <c r="E657" s="13">
        <v>1277</v>
      </c>
      <c r="F657" s="13">
        <v>705</v>
      </c>
      <c r="G657" t="s">
        <v>822</v>
      </c>
    </row>
    <row r="658" spans="1:7" x14ac:dyDescent="0.3">
      <c r="A658" s="13" t="s">
        <v>966</v>
      </c>
      <c r="B658" s="13">
        <v>18700</v>
      </c>
      <c r="C658" s="13">
        <v>694</v>
      </c>
      <c r="D658" s="13" t="s">
        <v>1039</v>
      </c>
      <c r="E658" s="13">
        <v>2643</v>
      </c>
      <c r="F658" s="13">
        <v>3481</v>
      </c>
      <c r="G658" t="s">
        <v>836</v>
      </c>
    </row>
    <row r="659" spans="1:7" x14ac:dyDescent="0.3">
      <c r="A659" s="13" t="s">
        <v>926</v>
      </c>
      <c r="B659" s="13">
        <v>2497</v>
      </c>
      <c r="C659" s="13">
        <v>2941</v>
      </c>
      <c r="D659" s="13" t="s">
        <v>1037</v>
      </c>
      <c r="E659" s="13">
        <v>11945</v>
      </c>
      <c r="F659" s="13">
        <v>60444</v>
      </c>
      <c r="G659" t="s">
        <v>836</v>
      </c>
    </row>
    <row r="660" spans="1:7" x14ac:dyDescent="0.3">
      <c r="A660" s="13" t="s">
        <v>73</v>
      </c>
      <c r="B660" s="13">
        <v>204.2</v>
      </c>
      <c r="C660" s="13">
        <v>24366</v>
      </c>
      <c r="D660" s="13" t="s">
        <v>1033</v>
      </c>
      <c r="E660" s="13">
        <v>78400</v>
      </c>
      <c r="F660" s="13">
        <v>294193</v>
      </c>
      <c r="G660" t="s">
        <v>836</v>
      </c>
    </row>
    <row r="661" spans="1:7" x14ac:dyDescent="0.3">
      <c r="A661" s="13" t="s">
        <v>910</v>
      </c>
      <c r="B661" s="13">
        <v>879.95</v>
      </c>
      <c r="C661" s="13">
        <v>1157</v>
      </c>
      <c r="D661" s="13" t="s">
        <v>1038</v>
      </c>
      <c r="E661" s="13">
        <v>4416</v>
      </c>
      <c r="F661" s="13">
        <v>19850</v>
      </c>
      <c r="G661" t="s">
        <v>836</v>
      </c>
    </row>
    <row r="662" spans="1:7" x14ac:dyDescent="0.3">
      <c r="A662" s="13" t="s">
        <v>317</v>
      </c>
      <c r="B662" s="13">
        <v>369.15</v>
      </c>
      <c r="C662" s="13">
        <v>5468</v>
      </c>
      <c r="D662" s="13" t="s">
        <v>1038</v>
      </c>
      <c r="E662" s="13">
        <v>18293</v>
      </c>
      <c r="F662" s="13">
        <v>58644</v>
      </c>
      <c r="G662" t="s">
        <v>836</v>
      </c>
    </row>
    <row r="663" spans="1:7" x14ac:dyDescent="0.3">
      <c r="A663" s="13" t="s">
        <v>337</v>
      </c>
      <c r="B663" s="13">
        <v>2740</v>
      </c>
      <c r="C663" s="13">
        <v>199</v>
      </c>
      <c r="D663" s="13" t="s">
        <v>1038</v>
      </c>
      <c r="E663" s="13">
        <v>8809</v>
      </c>
      <c r="F663" s="13">
        <v>9559</v>
      </c>
      <c r="G663" t="s">
        <v>836</v>
      </c>
    </row>
    <row r="664" spans="1:7" x14ac:dyDescent="0.3">
      <c r="A664" s="13" t="s">
        <v>934</v>
      </c>
      <c r="B664" s="13">
        <v>81.33</v>
      </c>
      <c r="C664" s="13">
        <v>42300</v>
      </c>
      <c r="D664" s="13" t="s">
        <v>1037</v>
      </c>
      <c r="E664" s="13">
        <v>151285</v>
      </c>
      <c r="F664" s="13">
        <v>949171</v>
      </c>
      <c r="G664" t="s">
        <v>836</v>
      </c>
    </row>
    <row r="665" spans="1:7" x14ac:dyDescent="0.3">
      <c r="A665" s="13" t="s">
        <v>59</v>
      </c>
      <c r="B665" s="13">
        <v>1578.7</v>
      </c>
      <c r="C665" s="13">
        <v>5858</v>
      </c>
      <c r="D665" s="13" t="s">
        <v>1035</v>
      </c>
      <c r="E665" s="13">
        <v>4814</v>
      </c>
      <c r="F665" s="13">
        <v>16679</v>
      </c>
      <c r="G665" t="s">
        <v>836</v>
      </c>
    </row>
    <row r="666" spans="1:7" x14ac:dyDescent="0.3">
      <c r="A666" s="13" t="s">
        <v>383</v>
      </c>
      <c r="B666" s="13">
        <v>1112.9000000000001</v>
      </c>
      <c r="C666" s="13">
        <v>937</v>
      </c>
      <c r="D666" s="13" t="s">
        <v>1034</v>
      </c>
      <c r="E666" s="13">
        <v>5148</v>
      </c>
      <c r="F666" s="13">
        <v>30734</v>
      </c>
      <c r="G666" t="s">
        <v>836</v>
      </c>
    </row>
    <row r="667" spans="1:7" x14ac:dyDescent="0.3">
      <c r="A667" s="13" t="s">
        <v>193</v>
      </c>
      <c r="B667" s="13">
        <v>14.46</v>
      </c>
      <c r="C667" s="13">
        <v>1441968</v>
      </c>
      <c r="D667" s="13" t="s">
        <v>1034</v>
      </c>
      <c r="E667" s="13">
        <v>5578534</v>
      </c>
      <c r="F667" s="13">
        <v>23195842</v>
      </c>
      <c r="G667" t="s">
        <v>836</v>
      </c>
    </row>
    <row r="668" spans="1:7" x14ac:dyDescent="0.3">
      <c r="A668" s="13" t="s">
        <v>95</v>
      </c>
      <c r="B668" s="13">
        <v>5146.5</v>
      </c>
      <c r="C668" s="13">
        <v>149</v>
      </c>
      <c r="D668" s="13" t="s">
        <v>1037</v>
      </c>
      <c r="E668" s="13">
        <v>2679</v>
      </c>
      <c r="F668" s="13">
        <v>7588</v>
      </c>
      <c r="G668" t="s">
        <v>836</v>
      </c>
    </row>
    <row r="669" spans="1:7" x14ac:dyDescent="0.3">
      <c r="A669" s="13" t="s">
        <v>61</v>
      </c>
      <c r="B669" s="13">
        <v>1345.7</v>
      </c>
      <c r="C669" s="13">
        <v>16877</v>
      </c>
      <c r="D669" s="13" t="s">
        <v>1034</v>
      </c>
      <c r="E669" s="13">
        <v>11199</v>
      </c>
      <c r="F669" s="13">
        <v>35231</v>
      </c>
      <c r="G669" t="s">
        <v>836</v>
      </c>
    </row>
    <row r="670" spans="1:7" x14ac:dyDescent="0.3">
      <c r="A670" s="13" t="s">
        <v>127</v>
      </c>
      <c r="B670" s="13">
        <v>1700.6</v>
      </c>
      <c r="C670" s="13">
        <v>13</v>
      </c>
      <c r="D670" s="13" t="s">
        <v>1038</v>
      </c>
      <c r="E670" s="13">
        <v>1806</v>
      </c>
      <c r="F670" s="13">
        <v>6859</v>
      </c>
      <c r="G670" t="s">
        <v>836</v>
      </c>
    </row>
    <row r="671" spans="1:7" x14ac:dyDescent="0.3">
      <c r="A671" s="13" t="s">
        <v>115</v>
      </c>
      <c r="B671" s="13">
        <v>475.25</v>
      </c>
      <c r="C671" s="13">
        <v>1555</v>
      </c>
      <c r="D671" s="13" t="s">
        <v>1035</v>
      </c>
      <c r="E671" s="13">
        <v>8415</v>
      </c>
      <c r="F671" s="13">
        <v>181677</v>
      </c>
      <c r="G671" t="s">
        <v>836</v>
      </c>
    </row>
    <row r="672" spans="1:7" x14ac:dyDescent="0.3">
      <c r="A672" s="13" t="s">
        <v>139</v>
      </c>
      <c r="B672" s="13">
        <v>7073.5</v>
      </c>
      <c r="C672" s="13">
        <v>4873</v>
      </c>
      <c r="D672" s="13" t="s">
        <v>1034</v>
      </c>
      <c r="E672" s="13">
        <v>6745</v>
      </c>
      <c r="F672" s="13">
        <v>15138</v>
      </c>
      <c r="G672" t="s">
        <v>836</v>
      </c>
    </row>
    <row r="673" spans="1:7" x14ac:dyDescent="0.3">
      <c r="A673" s="13" t="s">
        <v>842</v>
      </c>
      <c r="B673" s="13">
        <v>1491.4</v>
      </c>
      <c r="C673" s="13">
        <v>1995</v>
      </c>
      <c r="D673" s="13" t="s">
        <v>1034</v>
      </c>
      <c r="E673" s="13">
        <v>7480</v>
      </c>
      <c r="F673" s="13">
        <v>107143</v>
      </c>
      <c r="G673" t="s">
        <v>836</v>
      </c>
    </row>
    <row r="674" spans="1:7" x14ac:dyDescent="0.3">
      <c r="A674" s="13" t="s">
        <v>960</v>
      </c>
      <c r="B674" s="13">
        <v>3946</v>
      </c>
      <c r="C674" s="13">
        <v>1572</v>
      </c>
      <c r="D674" s="13" t="s">
        <v>1037</v>
      </c>
      <c r="E674" s="13">
        <v>1918</v>
      </c>
      <c r="F674" s="13">
        <v>10169</v>
      </c>
      <c r="G674" t="s">
        <v>836</v>
      </c>
    </row>
    <row r="675" spans="1:7" x14ac:dyDescent="0.3">
      <c r="A675" s="13" t="s">
        <v>105</v>
      </c>
      <c r="B675" s="13">
        <v>1790</v>
      </c>
      <c r="C675" s="13">
        <v>1135</v>
      </c>
      <c r="D675" s="13" t="s">
        <v>1036</v>
      </c>
      <c r="E675" s="13">
        <v>1966</v>
      </c>
      <c r="F675" s="13">
        <v>5413</v>
      </c>
      <c r="G675" t="s">
        <v>836</v>
      </c>
    </row>
    <row r="676" spans="1:7" x14ac:dyDescent="0.3">
      <c r="A676" s="13" t="s">
        <v>203</v>
      </c>
      <c r="B676" s="13">
        <v>713.95</v>
      </c>
      <c r="C676" s="13">
        <v>2830</v>
      </c>
      <c r="D676" s="13" t="s">
        <v>1038</v>
      </c>
      <c r="E676" s="13">
        <v>8947</v>
      </c>
      <c r="F676" s="13">
        <v>34741</v>
      </c>
      <c r="G676" t="s">
        <v>836</v>
      </c>
    </row>
    <row r="677" spans="1:7" x14ac:dyDescent="0.3">
      <c r="A677" s="13" t="s">
        <v>846</v>
      </c>
      <c r="B677" s="13">
        <v>223.77</v>
      </c>
      <c r="C677" s="13">
        <v>61865</v>
      </c>
      <c r="D677" s="13" t="s">
        <v>1034</v>
      </c>
      <c r="E677" s="13">
        <v>163283</v>
      </c>
      <c r="F677" s="13">
        <v>773189</v>
      </c>
      <c r="G677" t="s">
        <v>836</v>
      </c>
    </row>
    <row r="678" spans="1:7" x14ac:dyDescent="0.3">
      <c r="A678" s="13" t="s">
        <v>844</v>
      </c>
      <c r="B678" s="13">
        <v>1492.2</v>
      </c>
      <c r="C678" s="13">
        <v>4949</v>
      </c>
      <c r="D678" s="13" t="s">
        <v>1034</v>
      </c>
      <c r="E678" s="13">
        <v>14963</v>
      </c>
      <c r="F678" s="13">
        <v>41777</v>
      </c>
      <c r="G678" t="s">
        <v>836</v>
      </c>
    </row>
    <row r="679" spans="1:7" x14ac:dyDescent="0.3">
      <c r="A679" s="13" t="s">
        <v>165</v>
      </c>
      <c r="B679" s="13">
        <v>4387.8999999999996</v>
      </c>
      <c r="C679" s="13">
        <v>1529</v>
      </c>
      <c r="D679" s="13" t="s">
        <v>1038</v>
      </c>
      <c r="E679" s="13">
        <v>9310</v>
      </c>
      <c r="F679" s="13">
        <v>19837</v>
      </c>
      <c r="G679" t="s">
        <v>836</v>
      </c>
    </row>
    <row r="680" spans="1:7" x14ac:dyDescent="0.3">
      <c r="A680" s="13" t="s">
        <v>962</v>
      </c>
      <c r="B680" s="13">
        <v>236.2</v>
      </c>
      <c r="C680" s="13">
        <v>10578</v>
      </c>
      <c r="D680" s="13" t="s">
        <v>1033</v>
      </c>
      <c r="E680" s="13">
        <v>79847</v>
      </c>
      <c r="F680" s="13">
        <v>245392</v>
      </c>
      <c r="G680" t="s">
        <v>836</v>
      </c>
    </row>
    <row r="681" spans="1:7" x14ac:dyDescent="0.3">
      <c r="A681" s="13" t="s">
        <v>37</v>
      </c>
      <c r="B681" s="13">
        <v>3041</v>
      </c>
      <c r="C681" s="13">
        <v>1933</v>
      </c>
      <c r="D681" s="13" t="s">
        <v>1035</v>
      </c>
      <c r="E681" s="13">
        <v>10289</v>
      </c>
      <c r="F681" s="13">
        <v>26058</v>
      </c>
      <c r="G681" t="s">
        <v>836</v>
      </c>
    </row>
    <row r="682" spans="1:7" x14ac:dyDescent="0.3">
      <c r="A682" s="13" t="s">
        <v>91</v>
      </c>
      <c r="B682" s="13">
        <v>39950</v>
      </c>
      <c r="C682" s="13">
        <v>27</v>
      </c>
      <c r="D682" s="13" t="s">
        <v>1035</v>
      </c>
      <c r="E682" s="13">
        <v>208</v>
      </c>
      <c r="F682" s="13">
        <v>878</v>
      </c>
      <c r="G682" t="s">
        <v>836</v>
      </c>
    </row>
    <row r="683" spans="1:7" x14ac:dyDescent="0.3">
      <c r="A683" s="13" t="s">
        <v>231</v>
      </c>
      <c r="B683" s="13">
        <v>418.2</v>
      </c>
      <c r="C683" s="13">
        <v>1027</v>
      </c>
      <c r="D683" s="13" t="s">
        <v>1038</v>
      </c>
      <c r="E683" s="13">
        <v>17099</v>
      </c>
      <c r="F683" s="13">
        <v>30111</v>
      </c>
      <c r="G683" t="s">
        <v>836</v>
      </c>
    </row>
    <row r="684" spans="1:7" x14ac:dyDescent="0.3">
      <c r="A684" s="13" t="s">
        <v>900</v>
      </c>
      <c r="B684" s="13">
        <v>236.76</v>
      </c>
      <c r="C684" s="13">
        <v>16616</v>
      </c>
      <c r="D684" s="13" t="s">
        <v>1034</v>
      </c>
      <c r="E684" s="13">
        <v>327612</v>
      </c>
      <c r="F684" s="13">
        <v>456910</v>
      </c>
      <c r="G684" t="s">
        <v>836</v>
      </c>
    </row>
    <row r="685" spans="1:7" x14ac:dyDescent="0.3">
      <c r="A685" s="13" t="s">
        <v>107</v>
      </c>
      <c r="B685" s="13">
        <v>1468</v>
      </c>
      <c r="C685" s="13">
        <v>1481</v>
      </c>
      <c r="D685" s="13" t="s">
        <v>1035</v>
      </c>
      <c r="E685" s="13">
        <v>5487</v>
      </c>
      <c r="F685" s="13">
        <v>65092</v>
      </c>
      <c r="G685" t="s">
        <v>836</v>
      </c>
    </row>
    <row r="686" spans="1:7" x14ac:dyDescent="0.3">
      <c r="A686" s="13" t="s">
        <v>856</v>
      </c>
      <c r="B686" s="13">
        <v>140.65</v>
      </c>
      <c r="C686" s="13">
        <v>16159</v>
      </c>
      <c r="D686" s="13" t="s">
        <v>1036</v>
      </c>
      <c r="E686" s="13">
        <v>102532</v>
      </c>
      <c r="F686" s="13">
        <v>177815</v>
      </c>
      <c r="G686" t="s">
        <v>836</v>
      </c>
    </row>
    <row r="687" spans="1:7" x14ac:dyDescent="0.3">
      <c r="A687" s="13" t="s">
        <v>848</v>
      </c>
      <c r="B687" s="13">
        <v>7543.5</v>
      </c>
      <c r="C687" s="13">
        <v>259</v>
      </c>
      <c r="D687" s="13" t="s">
        <v>1035</v>
      </c>
      <c r="E687" s="13">
        <v>2248</v>
      </c>
      <c r="F687" s="13">
        <v>5637</v>
      </c>
      <c r="G687" t="s">
        <v>836</v>
      </c>
    </row>
    <row r="688" spans="1:7" x14ac:dyDescent="0.3">
      <c r="A688" s="13" t="s">
        <v>335</v>
      </c>
      <c r="B688" s="13">
        <v>3606.1</v>
      </c>
      <c r="C688" s="13">
        <v>650</v>
      </c>
      <c r="D688" s="13" t="s">
        <v>1039</v>
      </c>
      <c r="E688" s="13">
        <v>3674</v>
      </c>
      <c r="F688" s="13">
        <v>6127</v>
      </c>
      <c r="G688" t="s">
        <v>836</v>
      </c>
    </row>
    <row r="689" spans="1:7" x14ac:dyDescent="0.3">
      <c r="A689" s="13" t="s">
        <v>125</v>
      </c>
      <c r="B689" s="13">
        <v>422.9</v>
      </c>
      <c r="C689" s="13">
        <v>579</v>
      </c>
      <c r="D689" s="13" t="s">
        <v>1038</v>
      </c>
      <c r="E689" s="13">
        <v>40598</v>
      </c>
      <c r="F689" s="13">
        <v>60261</v>
      </c>
      <c r="G689" t="s">
        <v>836</v>
      </c>
    </row>
    <row r="690" spans="1:7" x14ac:dyDescent="0.3">
      <c r="A690" s="13" t="s">
        <v>30</v>
      </c>
      <c r="B690" s="13">
        <v>392.6</v>
      </c>
      <c r="C690" s="13">
        <v>5313</v>
      </c>
      <c r="D690" s="13" t="s">
        <v>1034</v>
      </c>
      <c r="E690" s="13">
        <v>15069</v>
      </c>
      <c r="F690" s="13">
        <v>82998</v>
      </c>
      <c r="G690" t="s">
        <v>836</v>
      </c>
    </row>
    <row r="691" spans="1:7" x14ac:dyDescent="0.3">
      <c r="A691" s="13" t="s">
        <v>928</v>
      </c>
      <c r="B691" s="13">
        <v>952.5</v>
      </c>
      <c r="C691" s="13">
        <v>670</v>
      </c>
      <c r="D691" s="13" t="s">
        <v>1037</v>
      </c>
      <c r="E691" s="13">
        <v>6054</v>
      </c>
      <c r="F691" s="13">
        <v>35594</v>
      </c>
      <c r="G691" t="s">
        <v>836</v>
      </c>
    </row>
    <row r="692" spans="1:7" x14ac:dyDescent="0.3">
      <c r="A692" s="13" t="s">
        <v>365</v>
      </c>
      <c r="B692" s="13">
        <v>3285</v>
      </c>
      <c r="C692" s="13">
        <v>1725</v>
      </c>
      <c r="D692" s="13" t="s">
        <v>1039</v>
      </c>
      <c r="E692" s="13">
        <v>6183</v>
      </c>
      <c r="F692" s="13">
        <v>32100</v>
      </c>
      <c r="G692" t="s">
        <v>836</v>
      </c>
    </row>
    <row r="693" spans="1:7" x14ac:dyDescent="0.3">
      <c r="A693" s="13" t="s">
        <v>299</v>
      </c>
      <c r="B693" s="13">
        <v>281</v>
      </c>
      <c r="C693" s="13">
        <v>2354</v>
      </c>
      <c r="D693" s="13" t="s">
        <v>1034</v>
      </c>
      <c r="E693" s="13">
        <v>28587</v>
      </c>
      <c r="F693" s="13">
        <v>60039</v>
      </c>
      <c r="G693" t="s">
        <v>836</v>
      </c>
    </row>
    <row r="694" spans="1:7" x14ac:dyDescent="0.3">
      <c r="A694" s="13" t="s">
        <v>896</v>
      </c>
      <c r="B694" s="13">
        <v>128.78</v>
      </c>
      <c r="C694" s="13">
        <v>30694</v>
      </c>
      <c r="D694" s="13" t="s">
        <v>1039</v>
      </c>
      <c r="E694" s="13">
        <v>91443</v>
      </c>
      <c r="F694" s="13">
        <v>429805</v>
      </c>
      <c r="G694" t="s">
        <v>836</v>
      </c>
    </row>
    <row r="695" spans="1:7" x14ac:dyDescent="0.3">
      <c r="A695" s="13" t="s">
        <v>946</v>
      </c>
      <c r="B695" s="13">
        <v>533.6</v>
      </c>
      <c r="C695" s="13">
        <v>3124</v>
      </c>
      <c r="D695" s="13" t="s">
        <v>1038</v>
      </c>
      <c r="E695" s="13">
        <v>19031</v>
      </c>
      <c r="F695" s="13">
        <v>39363</v>
      </c>
      <c r="G695" t="s">
        <v>836</v>
      </c>
    </row>
    <row r="696" spans="1:7" x14ac:dyDescent="0.3">
      <c r="A696" s="13" t="s">
        <v>902</v>
      </c>
      <c r="B696" s="13">
        <v>583.5</v>
      </c>
      <c r="C696" s="13">
        <v>3248</v>
      </c>
      <c r="D696" s="13" t="s">
        <v>1038</v>
      </c>
      <c r="E696" s="13">
        <v>20283</v>
      </c>
      <c r="F696" s="13">
        <v>63051</v>
      </c>
      <c r="G696" t="s">
        <v>836</v>
      </c>
    </row>
    <row r="697" spans="1:7" x14ac:dyDescent="0.3">
      <c r="A697" s="13" t="s">
        <v>135</v>
      </c>
      <c r="B697" s="13">
        <v>620.45000000000005</v>
      </c>
      <c r="C697" s="13">
        <v>2093</v>
      </c>
      <c r="D697" s="13" t="s">
        <v>1039</v>
      </c>
      <c r="E697" s="13">
        <v>15240</v>
      </c>
      <c r="F697" s="13">
        <v>62417</v>
      </c>
      <c r="G697" t="s">
        <v>836</v>
      </c>
    </row>
    <row r="698" spans="1:7" x14ac:dyDescent="0.3">
      <c r="A698" s="13" t="s">
        <v>862</v>
      </c>
      <c r="B698" s="13">
        <v>3870</v>
      </c>
      <c r="C698" s="13">
        <v>8227</v>
      </c>
      <c r="D698" s="13" t="s">
        <v>1034</v>
      </c>
      <c r="E698" s="13">
        <v>26340</v>
      </c>
      <c r="F698" s="13">
        <v>114908</v>
      </c>
      <c r="G698" t="s">
        <v>836</v>
      </c>
    </row>
    <row r="699" spans="1:7" x14ac:dyDescent="0.3">
      <c r="A699" s="13" t="s">
        <v>984</v>
      </c>
      <c r="B699" s="13">
        <v>1352</v>
      </c>
      <c r="C699" s="13">
        <v>200</v>
      </c>
      <c r="D699" s="13" t="s">
        <v>1038</v>
      </c>
      <c r="E699" s="13">
        <v>2837</v>
      </c>
      <c r="F699" s="13">
        <v>22403</v>
      </c>
      <c r="G699" t="s">
        <v>836</v>
      </c>
    </row>
    <row r="700" spans="1:7" x14ac:dyDescent="0.3">
      <c r="A700" s="13" t="s">
        <v>49</v>
      </c>
      <c r="B700" s="13">
        <v>157.88999999999999</v>
      </c>
      <c r="C700" s="13">
        <v>27992</v>
      </c>
      <c r="D700" s="13" t="s">
        <v>1034</v>
      </c>
      <c r="E700" s="13">
        <v>164206</v>
      </c>
      <c r="F700" s="13">
        <v>582624</v>
      </c>
      <c r="G700" t="s">
        <v>836</v>
      </c>
    </row>
    <row r="701" spans="1:7" x14ac:dyDescent="0.3">
      <c r="A701" s="13" t="s">
        <v>267</v>
      </c>
      <c r="B701" s="13">
        <v>148.25</v>
      </c>
      <c r="C701" s="13">
        <v>66473</v>
      </c>
      <c r="D701" s="13" t="s">
        <v>1034</v>
      </c>
      <c r="E701" s="13">
        <v>230413</v>
      </c>
      <c r="F701" s="13">
        <v>348439</v>
      </c>
      <c r="G701" t="s">
        <v>836</v>
      </c>
    </row>
    <row r="702" spans="1:7" x14ac:dyDescent="0.3">
      <c r="A702" s="13" t="s">
        <v>894</v>
      </c>
      <c r="B702" s="13">
        <v>90.2</v>
      </c>
      <c r="C702" s="13">
        <v>19981</v>
      </c>
      <c r="D702" s="13" t="s">
        <v>1039</v>
      </c>
      <c r="E702" s="13">
        <v>98337</v>
      </c>
      <c r="F702" s="13">
        <v>485206</v>
      </c>
      <c r="G702" t="s">
        <v>836</v>
      </c>
    </row>
    <row r="703" spans="1:7" x14ac:dyDescent="0.3">
      <c r="A703" s="13" t="s">
        <v>954</v>
      </c>
      <c r="B703" s="13">
        <v>34955</v>
      </c>
      <c r="C703" s="13">
        <v>528</v>
      </c>
      <c r="D703" s="13" t="s">
        <v>1034</v>
      </c>
      <c r="E703" s="13">
        <v>976</v>
      </c>
      <c r="F703" s="13">
        <v>2518</v>
      </c>
      <c r="G703" t="s">
        <v>836</v>
      </c>
    </row>
    <row r="704" spans="1:7" x14ac:dyDescent="0.3">
      <c r="A704" s="13" t="s">
        <v>283</v>
      </c>
      <c r="B704" s="13">
        <v>85.16</v>
      </c>
      <c r="C704" s="13">
        <v>15464</v>
      </c>
      <c r="D704" s="13" t="s">
        <v>1038</v>
      </c>
      <c r="E704" s="13">
        <v>202371</v>
      </c>
      <c r="F704" s="13">
        <v>805613</v>
      </c>
      <c r="G704" t="s">
        <v>836</v>
      </c>
    </row>
    <row r="705" spans="1:7" x14ac:dyDescent="0.3">
      <c r="A705" s="13" t="s">
        <v>149</v>
      </c>
      <c r="B705" s="13">
        <v>2196.4</v>
      </c>
      <c r="C705" s="13">
        <v>890</v>
      </c>
      <c r="D705" s="13" t="s">
        <v>1034</v>
      </c>
      <c r="E705" s="13">
        <v>4018</v>
      </c>
      <c r="F705" s="13">
        <v>10758</v>
      </c>
      <c r="G705" t="s">
        <v>836</v>
      </c>
    </row>
    <row r="706" spans="1:7" x14ac:dyDescent="0.3">
      <c r="A706" s="13" t="s">
        <v>209</v>
      </c>
      <c r="B706" s="13">
        <v>5349.5</v>
      </c>
      <c r="C706" s="13">
        <v>937</v>
      </c>
      <c r="D706" s="13" t="s">
        <v>1038</v>
      </c>
      <c r="E706" s="13">
        <v>9148</v>
      </c>
      <c r="F706" s="13">
        <v>13347</v>
      </c>
      <c r="G706" t="s">
        <v>836</v>
      </c>
    </row>
    <row r="707" spans="1:7" x14ac:dyDescent="0.3">
      <c r="A707" s="13" t="s">
        <v>85</v>
      </c>
      <c r="B707" s="13">
        <v>1845.6</v>
      </c>
      <c r="C707" s="13">
        <v>91712</v>
      </c>
      <c r="D707" s="13" t="s">
        <v>1034</v>
      </c>
      <c r="E707" s="13">
        <v>29166</v>
      </c>
      <c r="F707" s="13">
        <v>49243</v>
      </c>
      <c r="G707" t="s">
        <v>836</v>
      </c>
    </row>
    <row r="708" spans="1:7" x14ac:dyDescent="0.3">
      <c r="A708" s="13" t="s">
        <v>147</v>
      </c>
      <c r="B708" s="13">
        <v>172.8</v>
      </c>
      <c r="C708" s="13">
        <v>11046</v>
      </c>
      <c r="D708" s="13" t="s">
        <v>1039</v>
      </c>
      <c r="E708" s="13">
        <v>54071</v>
      </c>
      <c r="F708" s="13">
        <v>262373</v>
      </c>
      <c r="G708" t="s">
        <v>836</v>
      </c>
    </row>
    <row r="709" spans="1:7" x14ac:dyDescent="0.3">
      <c r="A709" s="13" t="s">
        <v>930</v>
      </c>
      <c r="B709" s="13">
        <v>1157.7</v>
      </c>
      <c r="C709" s="13">
        <v>661</v>
      </c>
      <c r="D709" s="13" t="s">
        <v>1034</v>
      </c>
      <c r="E709" s="13">
        <v>1775</v>
      </c>
      <c r="F709" s="13">
        <v>16881</v>
      </c>
      <c r="G709" t="s">
        <v>836</v>
      </c>
    </row>
    <row r="710" spans="1:7" x14ac:dyDescent="0.3">
      <c r="A710" s="13" t="s">
        <v>43</v>
      </c>
      <c r="B710" s="13">
        <v>420.3</v>
      </c>
      <c r="C710" s="13">
        <v>5106</v>
      </c>
      <c r="D710" s="13" t="s">
        <v>1034</v>
      </c>
      <c r="E710" s="13">
        <v>40640</v>
      </c>
      <c r="F710" s="13">
        <v>88325</v>
      </c>
      <c r="G710" t="s">
        <v>836</v>
      </c>
    </row>
    <row r="711" spans="1:7" x14ac:dyDescent="0.3">
      <c r="A711" s="13" t="s">
        <v>273</v>
      </c>
      <c r="B711" s="13">
        <v>2988.4</v>
      </c>
      <c r="C711" s="13">
        <v>1976</v>
      </c>
      <c r="D711" s="13" t="s">
        <v>1034</v>
      </c>
      <c r="E711" s="13">
        <v>6726</v>
      </c>
      <c r="F711" s="13">
        <v>8907</v>
      </c>
      <c r="G711" t="s">
        <v>836</v>
      </c>
    </row>
    <row r="712" spans="1:7" x14ac:dyDescent="0.3">
      <c r="A712" s="13" t="s">
        <v>197</v>
      </c>
      <c r="B712" s="13">
        <v>79.25</v>
      </c>
      <c r="C712" s="13">
        <v>24712</v>
      </c>
      <c r="D712" s="13" t="s">
        <v>1039</v>
      </c>
      <c r="E712" s="13">
        <v>206014</v>
      </c>
      <c r="F712" s="13">
        <v>614295</v>
      </c>
      <c r="G712" t="s">
        <v>836</v>
      </c>
    </row>
    <row r="713" spans="1:7" x14ac:dyDescent="0.3">
      <c r="A713" s="13" t="s">
        <v>187</v>
      </c>
      <c r="B713" s="13">
        <v>1371.4</v>
      </c>
      <c r="C713" s="13">
        <v>94559</v>
      </c>
      <c r="D713" s="13" t="s">
        <v>1034</v>
      </c>
      <c r="E713" s="13">
        <v>70527</v>
      </c>
      <c r="F713" s="13">
        <v>76986</v>
      </c>
      <c r="G713" t="s">
        <v>836</v>
      </c>
    </row>
    <row r="714" spans="1:7" x14ac:dyDescent="0.3">
      <c r="A714" s="13" t="s">
        <v>242</v>
      </c>
      <c r="B714" s="13">
        <v>4130.1000000000004</v>
      </c>
      <c r="C714" s="13">
        <v>7271</v>
      </c>
      <c r="D714" s="13" t="s">
        <v>1034</v>
      </c>
      <c r="E714" s="13">
        <v>17249</v>
      </c>
      <c r="F714" s="13">
        <v>33116</v>
      </c>
      <c r="G714" t="s">
        <v>836</v>
      </c>
    </row>
    <row r="715" spans="1:7" x14ac:dyDescent="0.3">
      <c r="A715" s="13" t="s">
        <v>145</v>
      </c>
      <c r="B715" s="13">
        <v>329</v>
      </c>
      <c r="C715" s="13">
        <v>14763</v>
      </c>
      <c r="D715" s="13" t="s">
        <v>1038</v>
      </c>
      <c r="E715" s="13">
        <v>19154</v>
      </c>
      <c r="F715" s="13">
        <v>69305</v>
      </c>
      <c r="G715" t="s">
        <v>836</v>
      </c>
    </row>
    <row r="716" spans="1:7" x14ac:dyDescent="0.3">
      <c r="A716" s="13" t="s">
        <v>277</v>
      </c>
      <c r="B716" s="13">
        <v>975</v>
      </c>
      <c r="C716" s="13">
        <v>2576</v>
      </c>
      <c r="D716" s="13" t="s">
        <v>1034</v>
      </c>
      <c r="E716" s="13">
        <v>5983</v>
      </c>
      <c r="F716" s="13">
        <v>21311</v>
      </c>
      <c r="G716" t="s">
        <v>836</v>
      </c>
    </row>
    <row r="717" spans="1:7" x14ac:dyDescent="0.3">
      <c r="A717" s="13" t="s">
        <v>225</v>
      </c>
      <c r="B717" s="13">
        <v>1045.5</v>
      </c>
      <c r="C717" s="13">
        <v>6550</v>
      </c>
      <c r="D717" s="13" t="s">
        <v>1034</v>
      </c>
      <c r="E717" s="13">
        <v>1116</v>
      </c>
      <c r="F717" s="13">
        <v>18723</v>
      </c>
      <c r="G717" t="s">
        <v>836</v>
      </c>
    </row>
    <row r="718" spans="1:7" x14ac:dyDescent="0.3">
      <c r="A718" s="13" t="s">
        <v>65</v>
      </c>
      <c r="B718" s="13">
        <v>1760</v>
      </c>
      <c r="C718" s="13">
        <v>4676</v>
      </c>
      <c r="D718" s="13" t="s">
        <v>1035</v>
      </c>
      <c r="E718" s="13">
        <v>2320</v>
      </c>
      <c r="F718" s="13">
        <v>91291</v>
      </c>
      <c r="G718" t="s">
        <v>836</v>
      </c>
    </row>
    <row r="719" spans="1:7" x14ac:dyDescent="0.3">
      <c r="A719" s="13" t="s">
        <v>289</v>
      </c>
      <c r="B719" s="13">
        <v>10665</v>
      </c>
      <c r="C719" s="13">
        <v>280</v>
      </c>
      <c r="D719" s="13" t="s">
        <v>1038</v>
      </c>
      <c r="E719" s="13">
        <v>475</v>
      </c>
      <c r="F719" s="13">
        <v>2352</v>
      </c>
      <c r="G719" t="s">
        <v>836</v>
      </c>
    </row>
    <row r="720" spans="1:7" x14ac:dyDescent="0.3">
      <c r="A720" s="13" t="s">
        <v>912</v>
      </c>
      <c r="B720" s="13">
        <v>604.4</v>
      </c>
      <c r="C720" s="13">
        <v>82627</v>
      </c>
      <c r="D720" s="13" t="s">
        <v>1034</v>
      </c>
      <c r="E720" s="13">
        <v>0</v>
      </c>
      <c r="F720" s="13">
        <v>2266232</v>
      </c>
      <c r="G720" t="s">
        <v>836</v>
      </c>
    </row>
    <row r="721" spans="1:7" x14ac:dyDescent="0.3">
      <c r="A721" s="13" t="s">
        <v>252</v>
      </c>
      <c r="B721" s="13">
        <v>319</v>
      </c>
      <c r="C721" s="13">
        <v>17310</v>
      </c>
      <c r="D721" s="13" t="s">
        <v>1033</v>
      </c>
      <c r="E721" s="13">
        <v>11927</v>
      </c>
      <c r="F721" s="13">
        <v>141784</v>
      </c>
      <c r="G721" t="s">
        <v>836</v>
      </c>
    </row>
    <row r="722" spans="1:7" x14ac:dyDescent="0.3">
      <c r="A722" s="13" t="s">
        <v>976</v>
      </c>
      <c r="B722" s="13">
        <v>3769.8</v>
      </c>
      <c r="C722" s="13">
        <v>6080</v>
      </c>
      <c r="D722" s="13" t="s">
        <v>1039</v>
      </c>
      <c r="E722" s="13">
        <v>3899</v>
      </c>
      <c r="F722" s="13">
        <v>41068</v>
      </c>
      <c r="G722" t="s">
        <v>836</v>
      </c>
    </row>
    <row r="723" spans="1:7" x14ac:dyDescent="0.3">
      <c r="A723" s="13" t="s">
        <v>137</v>
      </c>
      <c r="B723" s="13">
        <v>1351</v>
      </c>
      <c r="C723" s="13">
        <v>5342</v>
      </c>
      <c r="D723" s="13" t="s">
        <v>1034</v>
      </c>
      <c r="E723" s="13">
        <v>6444</v>
      </c>
      <c r="F723" s="13">
        <v>24226</v>
      </c>
      <c r="G723" t="s">
        <v>836</v>
      </c>
    </row>
    <row r="724" spans="1:7" x14ac:dyDescent="0.3">
      <c r="A724" s="13" t="s">
        <v>67</v>
      </c>
      <c r="B724" s="13">
        <v>1000.4</v>
      </c>
      <c r="C724" s="13">
        <v>26714</v>
      </c>
      <c r="D724" s="13" t="s">
        <v>1034</v>
      </c>
      <c r="E724" s="13">
        <v>30957</v>
      </c>
      <c r="F724" s="13">
        <v>211969</v>
      </c>
      <c r="G724" t="s">
        <v>836</v>
      </c>
    </row>
    <row r="725" spans="1:7" x14ac:dyDescent="0.3">
      <c r="A725" s="13" t="s">
        <v>189</v>
      </c>
      <c r="B725" s="13">
        <v>1734.9</v>
      </c>
      <c r="C725" s="13">
        <v>222</v>
      </c>
      <c r="D725" s="13" t="s">
        <v>1034</v>
      </c>
      <c r="E725" s="13">
        <v>1503</v>
      </c>
      <c r="F725" s="13">
        <v>2259</v>
      </c>
      <c r="G725" t="s">
        <v>836</v>
      </c>
    </row>
    <row r="726" spans="1:7" x14ac:dyDescent="0.3">
      <c r="A726" s="13" t="s">
        <v>864</v>
      </c>
      <c r="B726" s="13">
        <v>792.1</v>
      </c>
      <c r="C726" s="13">
        <v>10064</v>
      </c>
      <c r="D726" s="13" t="s">
        <v>1035</v>
      </c>
      <c r="E726" s="13">
        <v>11950</v>
      </c>
      <c r="F726" s="13">
        <v>49065</v>
      </c>
      <c r="G726" t="s">
        <v>836</v>
      </c>
    </row>
    <row r="727" spans="1:7" x14ac:dyDescent="0.3">
      <c r="A727" s="13" t="s">
        <v>173</v>
      </c>
      <c r="B727" s="13">
        <v>793.5</v>
      </c>
      <c r="C727" s="13">
        <v>846239</v>
      </c>
      <c r="D727" s="13" t="s">
        <v>1033</v>
      </c>
      <c r="E727" s="13">
        <v>516304</v>
      </c>
      <c r="F727" s="13">
        <v>630635</v>
      </c>
      <c r="G727" t="s">
        <v>836</v>
      </c>
    </row>
    <row r="728" spans="1:7" x14ac:dyDescent="0.3">
      <c r="A728" s="13" t="s">
        <v>275</v>
      </c>
      <c r="B728" s="13">
        <v>337.95</v>
      </c>
      <c r="C728" s="13">
        <v>18095</v>
      </c>
      <c r="D728" s="13" t="s">
        <v>1034</v>
      </c>
      <c r="E728" s="13">
        <v>70943</v>
      </c>
      <c r="F728" s="13">
        <v>207109</v>
      </c>
      <c r="G728" t="s">
        <v>836</v>
      </c>
    </row>
    <row r="729" spans="1:7" x14ac:dyDescent="0.3">
      <c r="A729" s="13" t="s">
        <v>860</v>
      </c>
      <c r="B729" s="13">
        <v>1628</v>
      </c>
      <c r="C729" s="13">
        <v>433</v>
      </c>
      <c r="D729" s="13" t="s">
        <v>1035</v>
      </c>
      <c r="E729" s="13">
        <v>2366</v>
      </c>
      <c r="F729" s="13">
        <v>12623</v>
      </c>
      <c r="G729" t="s">
        <v>836</v>
      </c>
    </row>
    <row r="730" spans="1:7" x14ac:dyDescent="0.3">
      <c r="A730" s="13" t="s">
        <v>942</v>
      </c>
      <c r="B730" s="13">
        <v>411</v>
      </c>
      <c r="C730" s="13">
        <v>8543</v>
      </c>
      <c r="D730" s="13" t="s">
        <v>1037</v>
      </c>
      <c r="E730" s="13">
        <v>26658</v>
      </c>
      <c r="F730" s="13">
        <v>30703</v>
      </c>
      <c r="G730" t="s">
        <v>836</v>
      </c>
    </row>
    <row r="731" spans="1:7" x14ac:dyDescent="0.3">
      <c r="A731" s="13" t="s">
        <v>109</v>
      </c>
      <c r="B731" s="13">
        <v>439</v>
      </c>
      <c r="C731" s="13">
        <v>11679</v>
      </c>
      <c r="D731" s="13" t="s">
        <v>1035</v>
      </c>
      <c r="E731" s="13">
        <v>96365</v>
      </c>
      <c r="F731" s="13">
        <v>171164</v>
      </c>
      <c r="G731" t="s">
        <v>836</v>
      </c>
    </row>
    <row r="732" spans="1:7" x14ac:dyDescent="0.3">
      <c r="A732" s="13" t="s">
        <v>990</v>
      </c>
      <c r="B732" s="13">
        <v>117.9</v>
      </c>
      <c r="C732" s="13">
        <v>5957</v>
      </c>
      <c r="D732" s="13" t="s">
        <v>1038</v>
      </c>
      <c r="E732" s="13">
        <v>105772</v>
      </c>
      <c r="F732" s="13">
        <v>400163</v>
      </c>
      <c r="G732" t="s">
        <v>836</v>
      </c>
    </row>
    <row r="733" spans="1:7" x14ac:dyDescent="0.3">
      <c r="A733" s="13" t="s">
        <v>199</v>
      </c>
      <c r="B733" s="13">
        <v>125.09</v>
      </c>
      <c r="C733" s="13">
        <v>8012</v>
      </c>
      <c r="D733" s="13" t="s">
        <v>1038</v>
      </c>
      <c r="E733" s="13">
        <v>92442</v>
      </c>
      <c r="F733" s="13">
        <v>443807</v>
      </c>
      <c r="G733" t="s">
        <v>836</v>
      </c>
    </row>
    <row r="734" spans="1:7" x14ac:dyDescent="0.3">
      <c r="A734" s="13" t="s">
        <v>872</v>
      </c>
      <c r="B734" s="13">
        <v>471.95</v>
      </c>
      <c r="C734" s="13">
        <v>3159</v>
      </c>
      <c r="D734" s="13" t="s">
        <v>1038</v>
      </c>
      <c r="E734" s="13">
        <v>17537</v>
      </c>
      <c r="F734" s="13">
        <v>93426</v>
      </c>
      <c r="G734" t="s">
        <v>836</v>
      </c>
    </row>
    <row r="735" spans="1:7" x14ac:dyDescent="0.3">
      <c r="A735" s="13" t="s">
        <v>359</v>
      </c>
      <c r="B735" s="13">
        <v>1404.7</v>
      </c>
      <c r="C735" s="13">
        <v>3887</v>
      </c>
      <c r="D735" s="13" t="s">
        <v>1034</v>
      </c>
      <c r="E735" s="13">
        <v>11024</v>
      </c>
      <c r="F735" s="13">
        <v>21096</v>
      </c>
      <c r="G735" t="s">
        <v>836</v>
      </c>
    </row>
    <row r="736" spans="1:7" x14ac:dyDescent="0.3">
      <c r="A736" s="13" t="s">
        <v>956</v>
      </c>
      <c r="B736" s="13">
        <v>1051</v>
      </c>
      <c r="C736" s="13">
        <v>2665</v>
      </c>
      <c r="D736" s="13" t="s">
        <v>1034</v>
      </c>
      <c r="E736" s="13">
        <v>10605</v>
      </c>
      <c r="F736" s="13">
        <v>29836</v>
      </c>
      <c r="G736" t="s">
        <v>836</v>
      </c>
    </row>
    <row r="737" spans="1:7" x14ac:dyDescent="0.3">
      <c r="A737" s="13" t="s">
        <v>950</v>
      </c>
      <c r="B737" s="13">
        <v>1038.4000000000001</v>
      </c>
      <c r="C737" s="13">
        <v>893</v>
      </c>
      <c r="D737" s="13" t="s">
        <v>1034</v>
      </c>
      <c r="E737" s="13">
        <v>9253</v>
      </c>
      <c r="F737" s="13">
        <v>21566</v>
      </c>
      <c r="G737" t="s">
        <v>836</v>
      </c>
    </row>
    <row r="738" spans="1:7" x14ac:dyDescent="0.3">
      <c r="A738" s="13" t="s">
        <v>45</v>
      </c>
      <c r="B738" s="13">
        <v>8681</v>
      </c>
      <c r="C738" s="13">
        <v>674</v>
      </c>
      <c r="D738" s="13" t="s">
        <v>1036</v>
      </c>
      <c r="E738" s="13">
        <v>1626</v>
      </c>
      <c r="F738" s="13">
        <v>2734</v>
      </c>
      <c r="G738" t="s">
        <v>836</v>
      </c>
    </row>
    <row r="739" spans="1:7" x14ac:dyDescent="0.3">
      <c r="A739" s="13" t="s">
        <v>840</v>
      </c>
      <c r="B739" s="13">
        <v>1074.5</v>
      </c>
      <c r="C739" s="13">
        <v>800</v>
      </c>
      <c r="D739" s="13" t="s">
        <v>1033</v>
      </c>
      <c r="E739" s="13">
        <v>5120</v>
      </c>
      <c r="F739" s="13">
        <v>12902</v>
      </c>
      <c r="G739" t="s">
        <v>836</v>
      </c>
    </row>
    <row r="740" spans="1:7" x14ac:dyDescent="0.3">
      <c r="A740" s="13" t="s">
        <v>375</v>
      </c>
      <c r="B740" s="13">
        <v>280.75</v>
      </c>
      <c r="C740" s="13">
        <v>48997</v>
      </c>
      <c r="D740" s="13" t="s">
        <v>1033</v>
      </c>
      <c r="E740" s="13">
        <v>191320</v>
      </c>
      <c r="F740" s="13">
        <v>551799</v>
      </c>
      <c r="G740" t="s">
        <v>836</v>
      </c>
    </row>
    <row r="741" spans="1:7" x14ac:dyDescent="0.3">
      <c r="A741" s="13" t="s">
        <v>880</v>
      </c>
      <c r="B741" s="13">
        <v>955</v>
      </c>
      <c r="C741" s="13">
        <v>308</v>
      </c>
      <c r="D741" s="13" t="s">
        <v>1039</v>
      </c>
      <c r="E741" s="13">
        <v>3070</v>
      </c>
      <c r="F741" s="13">
        <v>17211</v>
      </c>
      <c r="G741" t="s">
        <v>836</v>
      </c>
    </row>
    <row r="742" spans="1:7" x14ac:dyDescent="0.3">
      <c r="A742" s="13" t="s">
        <v>850</v>
      </c>
      <c r="B742" s="13">
        <v>330</v>
      </c>
      <c r="C742" s="13">
        <v>10826</v>
      </c>
      <c r="D742" s="13" t="s">
        <v>1035</v>
      </c>
      <c r="E742" s="13">
        <v>33527</v>
      </c>
      <c r="F742" s="13">
        <v>97924</v>
      </c>
      <c r="G742" t="s">
        <v>836</v>
      </c>
    </row>
    <row r="743" spans="1:7" x14ac:dyDescent="0.3">
      <c r="A743" s="13" t="s">
        <v>213</v>
      </c>
      <c r="B743" s="13">
        <v>391</v>
      </c>
      <c r="C743" s="13">
        <v>12199</v>
      </c>
      <c r="D743" s="13" t="s">
        <v>1035</v>
      </c>
      <c r="E743" s="13">
        <v>22719</v>
      </c>
      <c r="F743" s="13">
        <v>82068</v>
      </c>
      <c r="G743" t="s">
        <v>836</v>
      </c>
    </row>
    <row r="744" spans="1:7" x14ac:dyDescent="0.3">
      <c r="A744" s="13" t="s">
        <v>874</v>
      </c>
      <c r="B744" s="13">
        <v>4368.8</v>
      </c>
      <c r="C744" s="13">
        <v>251</v>
      </c>
      <c r="D744" s="13" t="s">
        <v>1039</v>
      </c>
      <c r="E744" s="13">
        <v>1540</v>
      </c>
      <c r="F744" s="13">
        <v>16717</v>
      </c>
      <c r="G744" t="s">
        <v>836</v>
      </c>
    </row>
    <row r="745" spans="1:7" x14ac:dyDescent="0.3">
      <c r="A745" s="13" t="s">
        <v>263</v>
      </c>
      <c r="B745" s="13">
        <v>1580</v>
      </c>
      <c r="C745" s="13">
        <v>158</v>
      </c>
      <c r="D745" s="13" t="s">
        <v>1033</v>
      </c>
      <c r="E745" s="13">
        <v>1567</v>
      </c>
      <c r="F745" s="13">
        <v>7514</v>
      </c>
      <c r="G745" t="s">
        <v>836</v>
      </c>
    </row>
    <row r="746" spans="1:7" x14ac:dyDescent="0.3">
      <c r="A746" s="13" t="s">
        <v>888</v>
      </c>
      <c r="B746" s="13">
        <v>532.04999999999995</v>
      </c>
      <c r="C746" s="13">
        <v>11320</v>
      </c>
      <c r="D746" s="13" t="s">
        <v>1039</v>
      </c>
      <c r="E746" s="13">
        <v>42020</v>
      </c>
      <c r="F746" s="13">
        <v>179778</v>
      </c>
      <c r="G746" t="s">
        <v>836</v>
      </c>
    </row>
    <row r="747" spans="1:7" x14ac:dyDescent="0.3">
      <c r="A747" s="13" t="s">
        <v>119</v>
      </c>
      <c r="B747" s="13">
        <v>274.5</v>
      </c>
      <c r="C747" s="13">
        <v>3257</v>
      </c>
      <c r="D747" s="13" t="s">
        <v>1035</v>
      </c>
      <c r="E747" s="13">
        <v>22403</v>
      </c>
      <c r="F747" s="13">
        <v>61419</v>
      </c>
      <c r="G747" t="s">
        <v>836</v>
      </c>
    </row>
    <row r="748" spans="1:7" x14ac:dyDescent="0.3">
      <c r="A748" s="13" t="s">
        <v>938</v>
      </c>
      <c r="B748" s="13">
        <v>310.60000000000002</v>
      </c>
      <c r="C748" s="13">
        <v>8129</v>
      </c>
      <c r="D748" s="13" t="s">
        <v>1034</v>
      </c>
      <c r="E748" s="13">
        <v>16359</v>
      </c>
      <c r="F748" s="13">
        <v>124859</v>
      </c>
      <c r="G748" t="s">
        <v>836</v>
      </c>
    </row>
    <row r="749" spans="1:7" x14ac:dyDescent="0.3">
      <c r="A749" s="13" t="s">
        <v>323</v>
      </c>
      <c r="B749" s="13">
        <v>173.36</v>
      </c>
      <c r="C749" s="13">
        <v>17296</v>
      </c>
      <c r="D749" s="13" t="s">
        <v>1034</v>
      </c>
      <c r="E749" s="13">
        <v>68916</v>
      </c>
      <c r="F749" s="13">
        <v>430998</v>
      </c>
      <c r="G749" t="s">
        <v>836</v>
      </c>
    </row>
    <row r="750" spans="1:7" x14ac:dyDescent="0.3">
      <c r="A750" s="13" t="s">
        <v>175</v>
      </c>
      <c r="B750" s="13">
        <v>574.79999999999995</v>
      </c>
      <c r="C750" s="13">
        <v>3623</v>
      </c>
      <c r="D750" s="13" t="s">
        <v>1038</v>
      </c>
      <c r="E750" s="13">
        <v>31907</v>
      </c>
      <c r="F750" s="13">
        <v>34243</v>
      </c>
      <c r="G750" t="s">
        <v>836</v>
      </c>
    </row>
    <row r="751" spans="1:7" x14ac:dyDescent="0.3">
      <c r="A751" s="13" t="s">
        <v>169</v>
      </c>
      <c r="B751" s="13">
        <v>1070</v>
      </c>
      <c r="C751" s="13">
        <v>8707</v>
      </c>
      <c r="D751" s="13" t="s">
        <v>1033</v>
      </c>
      <c r="E751" s="13">
        <v>32871</v>
      </c>
      <c r="F751" s="13">
        <v>124978</v>
      </c>
      <c r="G751" t="s">
        <v>836</v>
      </c>
    </row>
    <row r="752" spans="1:7" x14ac:dyDescent="0.3">
      <c r="A752" s="13" t="s">
        <v>57</v>
      </c>
      <c r="B752" s="13">
        <v>1035.9000000000001</v>
      </c>
      <c r="C752" s="13">
        <v>456</v>
      </c>
      <c r="D752" s="13" t="s">
        <v>1034</v>
      </c>
      <c r="E752" s="13">
        <v>4433</v>
      </c>
      <c r="F752" s="13">
        <v>14732</v>
      </c>
      <c r="G752" t="s">
        <v>836</v>
      </c>
    </row>
    <row r="753" spans="1:7" x14ac:dyDescent="0.3">
      <c r="A753" s="13" t="s">
        <v>982</v>
      </c>
      <c r="B753" s="13">
        <v>172.75</v>
      </c>
      <c r="C753" s="13">
        <v>16276</v>
      </c>
      <c r="D753" s="13" t="s">
        <v>1038</v>
      </c>
      <c r="E753" s="13">
        <v>148272</v>
      </c>
      <c r="F753" s="13">
        <v>451357</v>
      </c>
      <c r="G753" t="s">
        <v>836</v>
      </c>
    </row>
    <row r="754" spans="1:7" x14ac:dyDescent="0.3">
      <c r="A754" s="13" t="s">
        <v>858</v>
      </c>
      <c r="B754" s="13">
        <v>1375.4</v>
      </c>
      <c r="C754" s="13">
        <v>3667</v>
      </c>
      <c r="D754" s="13" t="s">
        <v>1036</v>
      </c>
      <c r="E754" s="13">
        <v>16158</v>
      </c>
      <c r="F754" s="13">
        <v>49760</v>
      </c>
      <c r="G754" t="s">
        <v>836</v>
      </c>
    </row>
    <row r="755" spans="1:7" x14ac:dyDescent="0.3">
      <c r="A755" s="13" t="s">
        <v>311</v>
      </c>
      <c r="B755" s="13">
        <v>287.8</v>
      </c>
      <c r="C755" s="13">
        <v>25848</v>
      </c>
      <c r="D755" s="13" t="s">
        <v>1034</v>
      </c>
      <c r="E755" s="13">
        <v>87888</v>
      </c>
      <c r="F755" s="13">
        <v>151234</v>
      </c>
      <c r="G755" t="s">
        <v>836</v>
      </c>
    </row>
    <row r="756" spans="1:7" x14ac:dyDescent="0.3">
      <c r="A756" s="13" t="s">
        <v>932</v>
      </c>
      <c r="B756" s="13">
        <v>105.5</v>
      </c>
      <c r="C756" s="13">
        <v>40167</v>
      </c>
      <c r="D756" s="13" t="s">
        <v>1037</v>
      </c>
      <c r="E756" s="13">
        <v>147995</v>
      </c>
      <c r="F756" s="13">
        <v>457584</v>
      </c>
      <c r="G756" t="s">
        <v>836</v>
      </c>
    </row>
    <row r="757" spans="1:7" x14ac:dyDescent="0.3">
      <c r="A757" s="13" t="s">
        <v>898</v>
      </c>
      <c r="B757" s="13">
        <v>90.98</v>
      </c>
      <c r="C757" s="13">
        <v>58858</v>
      </c>
      <c r="D757" s="13" t="s">
        <v>1034</v>
      </c>
      <c r="E757" s="13">
        <v>406302</v>
      </c>
      <c r="F757" s="13">
        <v>1347321</v>
      </c>
      <c r="G757" t="s">
        <v>836</v>
      </c>
    </row>
    <row r="758" spans="1:7" x14ac:dyDescent="0.3">
      <c r="A758" s="13" t="s">
        <v>133</v>
      </c>
      <c r="B758" s="13">
        <v>11980</v>
      </c>
      <c r="C758" s="13">
        <v>806</v>
      </c>
      <c r="D758" s="13" t="s">
        <v>1039</v>
      </c>
      <c r="E758" s="13">
        <v>4940</v>
      </c>
      <c r="F758" s="13">
        <v>8241</v>
      </c>
      <c r="G758" t="s">
        <v>836</v>
      </c>
    </row>
    <row r="759" spans="1:7" x14ac:dyDescent="0.3">
      <c r="A759" s="13" t="s">
        <v>177</v>
      </c>
      <c r="B759" s="13">
        <v>4818.8999999999996</v>
      </c>
      <c r="C759" s="13">
        <v>845</v>
      </c>
      <c r="D759" s="13" t="s">
        <v>1034</v>
      </c>
      <c r="E759" s="13">
        <v>5344</v>
      </c>
      <c r="F759" s="13">
        <v>10635</v>
      </c>
      <c r="G759" t="s">
        <v>836</v>
      </c>
    </row>
    <row r="760" spans="1:7" x14ac:dyDescent="0.3">
      <c r="A760" s="13" t="s">
        <v>852</v>
      </c>
      <c r="B760" s="13">
        <v>1799</v>
      </c>
      <c r="C760" s="13">
        <v>485</v>
      </c>
      <c r="D760" s="13" t="s">
        <v>1034</v>
      </c>
      <c r="E760" s="13">
        <v>4165</v>
      </c>
      <c r="F760" s="13">
        <v>7118</v>
      </c>
      <c r="G760" t="s">
        <v>836</v>
      </c>
    </row>
    <row r="761" spans="1:7" x14ac:dyDescent="0.3">
      <c r="A761" s="13" t="s">
        <v>878</v>
      </c>
      <c r="B761" s="13">
        <v>18690</v>
      </c>
      <c r="C761" s="13">
        <v>377</v>
      </c>
      <c r="D761" s="13" t="s">
        <v>1034</v>
      </c>
      <c r="E761" s="13">
        <v>1720</v>
      </c>
      <c r="F761" s="13">
        <v>6257</v>
      </c>
      <c r="G761" t="s">
        <v>836</v>
      </c>
    </row>
    <row r="762" spans="1:7" x14ac:dyDescent="0.3">
      <c r="A762" s="13" t="s">
        <v>868</v>
      </c>
      <c r="B762" s="13">
        <v>958</v>
      </c>
      <c r="C762" s="13">
        <v>10131</v>
      </c>
      <c r="D762" s="13" t="s">
        <v>1034</v>
      </c>
      <c r="E762" s="13">
        <v>44363</v>
      </c>
      <c r="F762" s="13">
        <v>70672</v>
      </c>
      <c r="G762" t="s">
        <v>836</v>
      </c>
    </row>
    <row r="763" spans="1:7" x14ac:dyDescent="0.3">
      <c r="A763" s="13" t="s">
        <v>93</v>
      </c>
      <c r="B763" s="13">
        <v>305.2</v>
      </c>
      <c r="C763" s="13">
        <v>12032</v>
      </c>
      <c r="D763" s="13" t="s">
        <v>1035</v>
      </c>
      <c r="E763" s="13">
        <v>66252</v>
      </c>
      <c r="F763" s="13">
        <v>211300</v>
      </c>
      <c r="G763" t="s">
        <v>836</v>
      </c>
    </row>
    <row r="764" spans="1:7" x14ac:dyDescent="0.3">
      <c r="A764" s="13" t="s">
        <v>363</v>
      </c>
      <c r="B764" s="13">
        <v>4646.8999999999996</v>
      </c>
      <c r="C764" s="13">
        <v>130</v>
      </c>
      <c r="D764" s="13" t="s">
        <v>1033</v>
      </c>
      <c r="E764" s="13">
        <v>1126</v>
      </c>
      <c r="F764" s="13">
        <v>2896</v>
      </c>
      <c r="G764" t="s">
        <v>836</v>
      </c>
    </row>
    <row r="765" spans="1:7" x14ac:dyDescent="0.3">
      <c r="A765" s="13" t="s">
        <v>882</v>
      </c>
      <c r="B765" s="13">
        <v>112.74</v>
      </c>
      <c r="C765" s="13">
        <v>60710</v>
      </c>
      <c r="D765" s="13" t="s">
        <v>1034</v>
      </c>
      <c r="E765" s="13">
        <v>213132</v>
      </c>
      <c r="F765" s="13">
        <v>499770</v>
      </c>
      <c r="G765" t="s">
        <v>836</v>
      </c>
    </row>
    <row r="766" spans="1:7" x14ac:dyDescent="0.3">
      <c r="A766" s="13" t="s">
        <v>161</v>
      </c>
      <c r="B766" s="13">
        <v>3115</v>
      </c>
      <c r="C766" s="13">
        <v>402</v>
      </c>
      <c r="D766" s="13" t="s">
        <v>1038</v>
      </c>
      <c r="E766" s="13">
        <v>1194</v>
      </c>
      <c r="F766" s="13">
        <v>11945</v>
      </c>
      <c r="G766" t="s">
        <v>836</v>
      </c>
    </row>
    <row r="767" spans="1:7" x14ac:dyDescent="0.3">
      <c r="A767" s="13" t="s">
        <v>87</v>
      </c>
      <c r="B767" s="13">
        <v>416.1</v>
      </c>
      <c r="C767" s="13">
        <v>23537</v>
      </c>
      <c r="D767" s="13" t="s">
        <v>1033</v>
      </c>
      <c r="E767" s="13">
        <v>67904</v>
      </c>
      <c r="F767" s="13">
        <v>289461</v>
      </c>
      <c r="G767" t="s">
        <v>836</v>
      </c>
    </row>
    <row r="768" spans="1:7" x14ac:dyDescent="0.3">
      <c r="A768" s="13" t="s">
        <v>75</v>
      </c>
      <c r="B768" s="13">
        <v>273.7</v>
      </c>
      <c r="C768" s="13">
        <v>10916</v>
      </c>
      <c r="D768" s="13" t="s">
        <v>1034</v>
      </c>
      <c r="E768" s="13">
        <v>155106</v>
      </c>
      <c r="F768" s="13">
        <v>182505</v>
      </c>
      <c r="G768" t="s">
        <v>836</v>
      </c>
    </row>
    <row r="769" spans="1:7" x14ac:dyDescent="0.3">
      <c r="A769" s="13" t="s">
        <v>904</v>
      </c>
      <c r="B769" s="13">
        <v>388.5</v>
      </c>
      <c r="C769" s="13">
        <v>7143</v>
      </c>
      <c r="D769" s="13" t="s">
        <v>1034</v>
      </c>
      <c r="E769" s="13">
        <v>47203</v>
      </c>
      <c r="F769" s="13">
        <v>129194</v>
      </c>
      <c r="G769" t="s">
        <v>836</v>
      </c>
    </row>
    <row r="770" spans="1:7" x14ac:dyDescent="0.3">
      <c r="A770" s="13" t="s">
        <v>603</v>
      </c>
      <c r="B770" s="13">
        <v>9762</v>
      </c>
      <c r="C770" s="13">
        <v>556</v>
      </c>
      <c r="D770" s="13" t="s">
        <v>1034</v>
      </c>
      <c r="E770" s="13">
        <v>4272</v>
      </c>
      <c r="F770" s="13">
        <v>4996</v>
      </c>
      <c r="G770" t="s">
        <v>836</v>
      </c>
    </row>
    <row r="771" spans="1:7" x14ac:dyDescent="0.3">
      <c r="A771" s="13" t="s">
        <v>51</v>
      </c>
      <c r="B771" s="13">
        <v>2648</v>
      </c>
      <c r="C771" s="13">
        <v>2108</v>
      </c>
      <c r="D771" s="13" t="s">
        <v>1034</v>
      </c>
      <c r="E771" s="13">
        <v>5764</v>
      </c>
      <c r="F771" s="13">
        <v>18607</v>
      </c>
      <c r="G771" t="s">
        <v>836</v>
      </c>
    </row>
    <row r="772" spans="1:7" x14ac:dyDescent="0.3">
      <c r="A772" s="13" t="s">
        <v>940</v>
      </c>
      <c r="B772" s="13">
        <v>419.05</v>
      </c>
      <c r="C772" s="13">
        <v>2567</v>
      </c>
      <c r="D772" s="13" t="s">
        <v>1037</v>
      </c>
      <c r="E772" s="13">
        <v>18645</v>
      </c>
      <c r="F772" s="13">
        <v>130207</v>
      </c>
      <c r="G772" t="s">
        <v>836</v>
      </c>
    </row>
    <row r="773" spans="1:7" x14ac:dyDescent="0.3">
      <c r="A773" s="13" t="s">
        <v>924</v>
      </c>
      <c r="B773" s="13">
        <v>1134.9000000000001</v>
      </c>
      <c r="C773" s="13">
        <v>2565</v>
      </c>
      <c r="D773" s="13" t="s">
        <v>1034</v>
      </c>
      <c r="E773" s="13">
        <v>6483</v>
      </c>
      <c r="F773" s="13">
        <v>22284</v>
      </c>
      <c r="G773" t="s">
        <v>836</v>
      </c>
    </row>
    <row r="774" spans="1:7" x14ac:dyDescent="0.3">
      <c r="A774" s="13" t="s">
        <v>238</v>
      </c>
      <c r="B774" s="13">
        <v>1525</v>
      </c>
      <c r="C774" s="13">
        <v>8459</v>
      </c>
      <c r="D774" s="13" t="s">
        <v>1034</v>
      </c>
      <c r="E774" s="13">
        <v>10338</v>
      </c>
      <c r="F774" s="13">
        <v>18664</v>
      </c>
      <c r="G774" t="s">
        <v>836</v>
      </c>
    </row>
    <row r="775" spans="1:7" x14ac:dyDescent="0.3">
      <c r="A775" s="13" t="s">
        <v>301</v>
      </c>
      <c r="B775" s="13">
        <v>426.4</v>
      </c>
      <c r="C775" s="13">
        <v>10331</v>
      </c>
      <c r="D775" s="13" t="s">
        <v>1038</v>
      </c>
      <c r="E775" s="13">
        <v>33360</v>
      </c>
      <c r="F775" s="13">
        <v>97020</v>
      </c>
      <c r="G775" t="s">
        <v>836</v>
      </c>
    </row>
    <row r="776" spans="1:7" x14ac:dyDescent="0.3">
      <c r="A776" s="13" t="s">
        <v>908</v>
      </c>
      <c r="B776" s="13">
        <v>5454</v>
      </c>
      <c r="C776" s="13">
        <v>651</v>
      </c>
      <c r="D776" s="13" t="s">
        <v>1036</v>
      </c>
      <c r="E776" s="13">
        <v>1871</v>
      </c>
      <c r="F776" s="13">
        <v>5112</v>
      </c>
      <c r="G776" t="s">
        <v>836</v>
      </c>
    </row>
    <row r="777" spans="1:7" x14ac:dyDescent="0.3">
      <c r="A777" s="13" t="s">
        <v>968</v>
      </c>
      <c r="B777" s="13">
        <v>623</v>
      </c>
      <c r="C777" s="13">
        <v>706</v>
      </c>
      <c r="D777" s="13" t="s">
        <v>1039</v>
      </c>
      <c r="E777" s="13">
        <v>13832</v>
      </c>
      <c r="F777" s="13">
        <v>49632</v>
      </c>
      <c r="G777" t="s">
        <v>836</v>
      </c>
    </row>
    <row r="778" spans="1:7" x14ac:dyDescent="0.3">
      <c r="A778" s="13" t="s">
        <v>918</v>
      </c>
      <c r="B778" s="13">
        <v>312.7</v>
      </c>
      <c r="C778" s="13">
        <v>48743</v>
      </c>
      <c r="D778" s="13" t="s">
        <v>1034</v>
      </c>
      <c r="E778" s="13">
        <v>146485</v>
      </c>
      <c r="F778" s="13">
        <v>154044</v>
      </c>
      <c r="G778" t="s">
        <v>836</v>
      </c>
    </row>
    <row r="779" spans="1:7" x14ac:dyDescent="0.3">
      <c r="A779" s="13" t="s">
        <v>944</v>
      </c>
      <c r="B779" s="13">
        <v>1152.0999999999999</v>
      </c>
      <c r="C779" s="13">
        <v>4486</v>
      </c>
      <c r="D779" s="13" t="s">
        <v>1033</v>
      </c>
      <c r="E779" s="13">
        <v>8571</v>
      </c>
      <c r="F779" s="13">
        <v>37462</v>
      </c>
      <c r="G779" t="s">
        <v>836</v>
      </c>
    </row>
    <row r="780" spans="1:7" x14ac:dyDescent="0.3">
      <c r="A780" s="13" t="s">
        <v>916</v>
      </c>
      <c r="B780" s="13">
        <v>964.25</v>
      </c>
      <c r="C780" s="13">
        <v>6903</v>
      </c>
      <c r="D780" s="13" t="s">
        <v>1034</v>
      </c>
      <c r="E780" s="13">
        <v>16251</v>
      </c>
      <c r="F780" s="13">
        <v>42062</v>
      </c>
      <c r="G780" t="s">
        <v>836</v>
      </c>
    </row>
    <row r="781" spans="1:7" x14ac:dyDescent="0.3">
      <c r="A781" s="13" t="s">
        <v>377</v>
      </c>
      <c r="B781" s="13">
        <v>1290</v>
      </c>
      <c r="C781" s="13">
        <v>2179</v>
      </c>
      <c r="D781" s="13" t="s">
        <v>1039</v>
      </c>
      <c r="E781" s="13">
        <v>18593</v>
      </c>
      <c r="F781" s="13">
        <v>19858</v>
      </c>
      <c r="G781" t="s">
        <v>836</v>
      </c>
    </row>
    <row r="782" spans="1:7" x14ac:dyDescent="0.3">
      <c r="A782" s="13" t="s">
        <v>287</v>
      </c>
      <c r="B782" s="13">
        <v>1783</v>
      </c>
      <c r="C782" s="13">
        <v>570</v>
      </c>
      <c r="D782" s="13" t="s">
        <v>1034</v>
      </c>
      <c r="E782" s="13">
        <v>3638</v>
      </c>
      <c r="F782" s="13">
        <v>14543</v>
      </c>
      <c r="G782" t="s">
        <v>836</v>
      </c>
    </row>
    <row r="783" spans="1:7" x14ac:dyDescent="0.3">
      <c r="A783" s="13" t="s">
        <v>948</v>
      </c>
      <c r="B783" s="13">
        <v>1964</v>
      </c>
      <c r="C783" s="13">
        <v>396</v>
      </c>
      <c r="D783" s="13" t="s">
        <v>1033</v>
      </c>
      <c r="E783" s="13">
        <v>2006</v>
      </c>
      <c r="F783" s="13">
        <v>7300</v>
      </c>
      <c r="G783" t="s">
        <v>836</v>
      </c>
    </row>
    <row r="784" spans="1:7" x14ac:dyDescent="0.3">
      <c r="A784" s="13" t="s">
        <v>339</v>
      </c>
      <c r="B784" s="13">
        <v>1877.9</v>
      </c>
      <c r="C784" s="13">
        <v>4638</v>
      </c>
      <c r="D784" s="13" t="s">
        <v>1039</v>
      </c>
      <c r="E784" s="13">
        <v>7796</v>
      </c>
      <c r="F784" s="13">
        <v>25482</v>
      </c>
      <c r="G784" t="s">
        <v>836</v>
      </c>
    </row>
    <row r="785" spans="1:7" x14ac:dyDescent="0.3">
      <c r="A785" s="13" t="s">
        <v>233</v>
      </c>
      <c r="B785" s="13">
        <v>397.35</v>
      </c>
      <c r="C785" s="13">
        <v>212621</v>
      </c>
      <c r="D785" s="13" t="s">
        <v>1033</v>
      </c>
      <c r="E785" s="13">
        <v>237435</v>
      </c>
      <c r="F785" s="13">
        <v>687363</v>
      </c>
      <c r="G785" t="s">
        <v>836</v>
      </c>
    </row>
    <row r="786" spans="1:7" x14ac:dyDescent="0.3">
      <c r="A786" s="13" t="s">
        <v>331</v>
      </c>
      <c r="B786" s="13">
        <v>25590</v>
      </c>
      <c r="C786" s="13">
        <v>338</v>
      </c>
      <c r="D786" s="13" t="s">
        <v>1034</v>
      </c>
      <c r="E786" s="13">
        <v>140</v>
      </c>
      <c r="F786" s="13">
        <v>252</v>
      </c>
      <c r="G786" t="s">
        <v>836</v>
      </c>
    </row>
    <row r="787" spans="1:7" x14ac:dyDescent="0.3">
      <c r="A787" s="13" t="s">
        <v>361</v>
      </c>
      <c r="B787" s="13">
        <v>4469</v>
      </c>
      <c r="C787" s="13">
        <v>5961</v>
      </c>
      <c r="D787" s="13" t="s">
        <v>1034</v>
      </c>
      <c r="E787" s="13">
        <v>7423</v>
      </c>
      <c r="F787" s="13">
        <v>13742</v>
      </c>
      <c r="G787" t="s">
        <v>836</v>
      </c>
    </row>
    <row r="788" spans="1:7" x14ac:dyDescent="0.3">
      <c r="A788" s="13" t="s">
        <v>958</v>
      </c>
      <c r="B788" s="13">
        <v>1579.9</v>
      </c>
      <c r="C788" s="13">
        <v>4379</v>
      </c>
      <c r="D788" s="13" t="s">
        <v>1037</v>
      </c>
      <c r="E788" s="13">
        <v>6670</v>
      </c>
      <c r="F788" s="13">
        <v>7210</v>
      </c>
      <c r="G788" t="s">
        <v>836</v>
      </c>
    </row>
    <row r="789" spans="1:7" x14ac:dyDescent="0.3">
      <c r="A789" s="13" t="s">
        <v>157</v>
      </c>
      <c r="B789" s="13">
        <v>1884.9</v>
      </c>
      <c r="C789" s="13">
        <v>4748</v>
      </c>
      <c r="D789" s="13" t="s">
        <v>1038</v>
      </c>
      <c r="E789" s="13">
        <v>9715</v>
      </c>
      <c r="F789" s="13">
        <v>13937</v>
      </c>
      <c r="G789" t="s">
        <v>836</v>
      </c>
    </row>
    <row r="790" spans="1:7" x14ac:dyDescent="0.3">
      <c r="A790" s="13" t="s">
        <v>39</v>
      </c>
      <c r="B790" s="13">
        <v>1829.5</v>
      </c>
      <c r="C790" s="13">
        <v>30922</v>
      </c>
      <c r="D790" s="13" t="s">
        <v>1033</v>
      </c>
      <c r="E790" s="13">
        <v>27638</v>
      </c>
      <c r="F790" s="13">
        <v>47566</v>
      </c>
      <c r="G790" t="s">
        <v>836</v>
      </c>
    </row>
    <row r="791" spans="1:7" x14ac:dyDescent="0.3">
      <c r="A791" s="13" t="s">
        <v>886</v>
      </c>
      <c r="B791" s="13">
        <v>4977</v>
      </c>
      <c r="C791" s="13">
        <v>1790</v>
      </c>
      <c r="D791" s="13" t="s">
        <v>1034</v>
      </c>
      <c r="E791" s="13">
        <v>7377</v>
      </c>
      <c r="F791" s="13">
        <v>15275</v>
      </c>
      <c r="G791" t="s">
        <v>836</v>
      </c>
    </row>
    <row r="792" spans="1:7" x14ac:dyDescent="0.3">
      <c r="A792" s="13" t="s">
        <v>367</v>
      </c>
      <c r="B792" s="13">
        <v>3484</v>
      </c>
      <c r="C792" s="13">
        <v>805</v>
      </c>
      <c r="D792" s="13" t="s">
        <v>1033</v>
      </c>
      <c r="E792" s="13">
        <v>6133</v>
      </c>
      <c r="F792" s="13">
        <v>17505</v>
      </c>
      <c r="G792" t="s">
        <v>836</v>
      </c>
    </row>
    <row r="793" spans="1:7" x14ac:dyDescent="0.3">
      <c r="A793" s="13" t="s">
        <v>978</v>
      </c>
      <c r="B793" s="13">
        <v>3049.9</v>
      </c>
      <c r="C793" s="13">
        <v>84</v>
      </c>
      <c r="D793" s="13" t="s">
        <v>1038</v>
      </c>
      <c r="E793" s="13">
        <v>3012</v>
      </c>
      <c r="F793" s="13">
        <v>4082</v>
      </c>
      <c r="G793" t="s">
        <v>836</v>
      </c>
    </row>
    <row r="794" spans="1:7" x14ac:dyDescent="0.3">
      <c r="A794" s="13" t="s">
        <v>123</v>
      </c>
      <c r="B794" s="13">
        <v>5695</v>
      </c>
      <c r="C794" s="13">
        <v>710</v>
      </c>
      <c r="D794" s="13" t="s">
        <v>1036</v>
      </c>
      <c r="E794" s="13">
        <v>1574</v>
      </c>
      <c r="F794" s="13">
        <v>4219</v>
      </c>
      <c r="G794" t="s">
        <v>836</v>
      </c>
    </row>
    <row r="795" spans="1:7" x14ac:dyDescent="0.3">
      <c r="A795" s="13" t="s">
        <v>327</v>
      </c>
      <c r="B795" s="13">
        <v>1777</v>
      </c>
      <c r="C795" s="13">
        <v>1064</v>
      </c>
      <c r="D795" s="13" t="s">
        <v>1034</v>
      </c>
      <c r="E795" s="13">
        <v>5871</v>
      </c>
      <c r="F795" s="13">
        <v>7618</v>
      </c>
      <c r="G795" t="s">
        <v>836</v>
      </c>
    </row>
    <row r="796" spans="1:7" x14ac:dyDescent="0.3">
      <c r="A796" s="13" t="s">
        <v>876</v>
      </c>
      <c r="B796" s="13">
        <v>266.3</v>
      </c>
      <c r="C796" s="13">
        <v>66575</v>
      </c>
      <c r="D796" s="13" t="s">
        <v>1034</v>
      </c>
      <c r="E796" s="13">
        <v>256273</v>
      </c>
      <c r="F796" s="13">
        <v>635377</v>
      </c>
      <c r="G796" t="s">
        <v>836</v>
      </c>
    </row>
    <row r="797" spans="1:7" x14ac:dyDescent="0.3">
      <c r="A797" s="13" t="s">
        <v>970</v>
      </c>
      <c r="B797" s="13">
        <v>3181.4</v>
      </c>
      <c r="C797" s="13">
        <v>1091</v>
      </c>
      <c r="D797" s="13" t="s">
        <v>1035</v>
      </c>
      <c r="E797" s="13">
        <v>2959</v>
      </c>
      <c r="F797" s="13">
        <v>6025</v>
      </c>
      <c r="G797" t="s">
        <v>836</v>
      </c>
    </row>
    <row r="798" spans="1:7" x14ac:dyDescent="0.3">
      <c r="A798" s="13" t="s">
        <v>333</v>
      </c>
      <c r="B798" s="13">
        <v>1050</v>
      </c>
      <c r="C798" s="13">
        <v>10543</v>
      </c>
      <c r="D798" s="13" t="s">
        <v>1033</v>
      </c>
      <c r="E798" s="13">
        <v>13618</v>
      </c>
      <c r="F798" s="13">
        <v>69492</v>
      </c>
      <c r="G798" t="s">
        <v>836</v>
      </c>
    </row>
    <row r="799" spans="1:7" x14ac:dyDescent="0.3">
      <c r="A799" s="13" t="s">
        <v>259</v>
      </c>
      <c r="B799" s="13">
        <v>2858.5</v>
      </c>
      <c r="C799" s="13">
        <v>13233</v>
      </c>
      <c r="D799" s="13" t="s">
        <v>1034</v>
      </c>
      <c r="E799" s="13">
        <v>50446</v>
      </c>
      <c r="F799" s="13">
        <v>50940</v>
      </c>
      <c r="G799" t="s">
        <v>836</v>
      </c>
    </row>
    <row r="800" spans="1:7" x14ac:dyDescent="0.3">
      <c r="A800" s="13" t="s">
        <v>281</v>
      </c>
      <c r="B800" s="13">
        <v>1414.8</v>
      </c>
      <c r="C800" s="13">
        <v>2446</v>
      </c>
      <c r="D800" s="13" t="s">
        <v>1037</v>
      </c>
      <c r="E800" s="13">
        <v>9177</v>
      </c>
      <c r="F800" s="13">
        <v>21019</v>
      </c>
      <c r="G800" t="s">
        <v>836</v>
      </c>
    </row>
    <row r="801" spans="1:7" x14ac:dyDescent="0.3">
      <c r="A801" s="13" t="s">
        <v>155</v>
      </c>
      <c r="B801" s="13">
        <v>1017</v>
      </c>
      <c r="C801" s="13">
        <v>169</v>
      </c>
      <c r="D801" s="13" t="s">
        <v>1038</v>
      </c>
      <c r="E801" s="13">
        <v>5238</v>
      </c>
      <c r="F801" s="13">
        <v>23463</v>
      </c>
      <c r="G801" t="s">
        <v>836</v>
      </c>
    </row>
    <row r="802" spans="1:7" x14ac:dyDescent="0.3">
      <c r="A802" s="13" t="s">
        <v>952</v>
      </c>
      <c r="B802" s="13">
        <v>1640</v>
      </c>
      <c r="C802" s="13">
        <v>296</v>
      </c>
      <c r="D802" s="13" t="s">
        <v>1034</v>
      </c>
      <c r="E802" s="13">
        <v>2526</v>
      </c>
      <c r="F802" s="13">
        <v>7100</v>
      </c>
      <c r="G802" t="s">
        <v>836</v>
      </c>
    </row>
    <row r="803" spans="1:7" x14ac:dyDescent="0.3">
      <c r="A803" s="13" t="s">
        <v>994</v>
      </c>
      <c r="B803" s="13">
        <v>24.25</v>
      </c>
      <c r="C803" s="13">
        <v>234687</v>
      </c>
      <c r="D803" s="13" t="s">
        <v>1033</v>
      </c>
      <c r="E803" s="13">
        <v>2224841</v>
      </c>
      <c r="F803" s="13">
        <v>4354175</v>
      </c>
      <c r="G803" t="s">
        <v>836</v>
      </c>
    </row>
    <row r="804" spans="1:7" x14ac:dyDescent="0.3">
      <c r="A804" s="13" t="s">
        <v>988</v>
      </c>
      <c r="B804" s="13">
        <v>509</v>
      </c>
      <c r="C804" s="13">
        <v>5734</v>
      </c>
      <c r="D804" s="13" t="s">
        <v>1039</v>
      </c>
      <c r="E804" s="13">
        <v>34810</v>
      </c>
      <c r="F804" s="13">
        <v>139487</v>
      </c>
      <c r="G804" t="s">
        <v>836</v>
      </c>
    </row>
    <row r="805" spans="1:7" x14ac:dyDescent="0.3">
      <c r="A805" s="13" t="s">
        <v>79</v>
      </c>
      <c r="B805" s="13">
        <v>413</v>
      </c>
      <c r="C805" s="13">
        <v>33415</v>
      </c>
      <c r="D805" s="13" t="s">
        <v>1033</v>
      </c>
      <c r="E805" s="13">
        <v>178200</v>
      </c>
      <c r="F805" s="13">
        <v>650222</v>
      </c>
      <c r="G805" t="s">
        <v>836</v>
      </c>
    </row>
    <row r="806" spans="1:7" x14ac:dyDescent="0.3">
      <c r="A806" s="13" t="s">
        <v>974</v>
      </c>
      <c r="B806" s="13">
        <v>240</v>
      </c>
      <c r="C806" s="13">
        <v>9246</v>
      </c>
      <c r="D806" s="13" t="s">
        <v>1039</v>
      </c>
      <c r="E806" s="13">
        <v>70886</v>
      </c>
      <c r="F806" s="13">
        <v>175060</v>
      </c>
      <c r="G806" t="s">
        <v>836</v>
      </c>
    </row>
    <row r="807" spans="1:7" x14ac:dyDescent="0.3">
      <c r="A807" s="13" t="s">
        <v>972</v>
      </c>
      <c r="B807" s="13">
        <v>59.06</v>
      </c>
      <c r="C807" s="13">
        <v>337140</v>
      </c>
      <c r="D807" s="13" t="s">
        <v>1034</v>
      </c>
      <c r="E807" s="13">
        <v>1053692</v>
      </c>
      <c r="F807" s="13">
        <v>6626512</v>
      </c>
      <c r="G807" t="s">
        <v>836</v>
      </c>
    </row>
    <row r="808" spans="1:7" x14ac:dyDescent="0.3">
      <c r="A808" s="13" t="s">
        <v>890</v>
      </c>
      <c r="B808" s="13">
        <v>1910.9</v>
      </c>
      <c r="C808" s="13">
        <v>264</v>
      </c>
      <c r="D808" s="13" t="s">
        <v>1038</v>
      </c>
      <c r="E808" s="13">
        <v>6346</v>
      </c>
      <c r="F808" s="13">
        <v>13181</v>
      </c>
      <c r="G808" t="s">
        <v>836</v>
      </c>
    </row>
    <row r="809" spans="1:7" x14ac:dyDescent="0.3">
      <c r="A809" s="13" t="s">
        <v>211</v>
      </c>
      <c r="B809" s="13">
        <v>927.05</v>
      </c>
      <c r="C809" s="13">
        <v>1841</v>
      </c>
      <c r="D809" s="13" t="s">
        <v>1037</v>
      </c>
      <c r="E809" s="13">
        <v>11312</v>
      </c>
      <c r="F809" s="13">
        <v>35464</v>
      </c>
      <c r="G809" t="s">
        <v>836</v>
      </c>
    </row>
    <row r="810" spans="1:7" x14ac:dyDescent="0.3">
      <c r="A810" s="13" t="s">
        <v>111</v>
      </c>
      <c r="B810" s="13">
        <v>1470.3</v>
      </c>
      <c r="C810" s="13">
        <v>5503</v>
      </c>
      <c r="D810" s="13" t="s">
        <v>1033</v>
      </c>
      <c r="E810" s="13">
        <v>15113</v>
      </c>
      <c r="F810" s="13">
        <v>34908</v>
      </c>
      <c r="G810" t="s">
        <v>836</v>
      </c>
    </row>
    <row r="811" spans="1:7" x14ac:dyDescent="0.3">
      <c r="A811" s="13" t="s">
        <v>914</v>
      </c>
      <c r="B811" s="13">
        <v>433.05</v>
      </c>
      <c r="C811" s="13">
        <v>9823</v>
      </c>
      <c r="D811" s="13" t="s">
        <v>1038</v>
      </c>
      <c r="E811" s="13">
        <v>101467</v>
      </c>
      <c r="F811" s="13">
        <v>197474</v>
      </c>
      <c r="G811" t="s">
        <v>836</v>
      </c>
    </row>
    <row r="812" spans="1:7" x14ac:dyDescent="0.3">
      <c r="A812" s="13" t="s">
        <v>131</v>
      </c>
      <c r="B812" s="13">
        <v>6599</v>
      </c>
      <c r="C812" s="13">
        <v>117</v>
      </c>
      <c r="D812" s="13" t="s">
        <v>1038</v>
      </c>
      <c r="E812" s="13">
        <v>1182</v>
      </c>
      <c r="F812" s="13">
        <v>3474</v>
      </c>
      <c r="G812" t="s">
        <v>836</v>
      </c>
    </row>
    <row r="813" spans="1:7" x14ac:dyDescent="0.3">
      <c r="A813" s="13" t="s">
        <v>349</v>
      </c>
      <c r="B813" s="13">
        <v>1078.9000000000001</v>
      </c>
      <c r="C813" s="13">
        <v>3343</v>
      </c>
      <c r="D813" s="13" t="s">
        <v>1039</v>
      </c>
      <c r="E813" s="13">
        <v>14203</v>
      </c>
      <c r="F813" s="13">
        <v>16411</v>
      </c>
      <c r="G813" t="s">
        <v>836</v>
      </c>
    </row>
    <row r="814" spans="1:7" x14ac:dyDescent="0.3">
      <c r="A814" s="13" t="s">
        <v>223</v>
      </c>
      <c r="B814" s="13">
        <v>287.85000000000002</v>
      </c>
      <c r="C814" s="13">
        <v>25422</v>
      </c>
      <c r="D814" s="13" t="s">
        <v>1033</v>
      </c>
      <c r="E814" s="13">
        <v>266597</v>
      </c>
      <c r="F814" s="13">
        <v>575794</v>
      </c>
      <c r="G814" t="s">
        <v>836</v>
      </c>
    </row>
    <row r="815" spans="1:7" x14ac:dyDescent="0.3">
      <c r="A815" s="13" t="s">
        <v>26</v>
      </c>
      <c r="B815" s="13">
        <v>7046</v>
      </c>
      <c r="C815" s="13">
        <v>163</v>
      </c>
      <c r="D815" s="13" t="s">
        <v>1033</v>
      </c>
      <c r="E815" s="13">
        <v>2031</v>
      </c>
      <c r="F815" s="13">
        <v>8712</v>
      </c>
      <c r="G815" t="s">
        <v>836</v>
      </c>
    </row>
    <row r="816" spans="1:7" x14ac:dyDescent="0.3">
      <c r="A816" s="13" t="s">
        <v>355</v>
      </c>
      <c r="B816" s="13">
        <v>188.5</v>
      </c>
      <c r="C816" s="13">
        <v>48774</v>
      </c>
      <c r="D816" s="13" t="s">
        <v>1034</v>
      </c>
      <c r="E816" s="13">
        <v>259980</v>
      </c>
      <c r="F816" s="13">
        <v>403345</v>
      </c>
      <c r="G816" t="s">
        <v>836</v>
      </c>
    </row>
    <row r="817" spans="1:7" x14ac:dyDescent="0.3">
      <c r="A817" s="13" t="s">
        <v>217</v>
      </c>
      <c r="B817" s="13">
        <v>139.69999999999999</v>
      </c>
      <c r="C817" s="13">
        <v>29688</v>
      </c>
      <c r="D817" s="13" t="s">
        <v>1034</v>
      </c>
      <c r="E817" s="13">
        <v>278784</v>
      </c>
      <c r="F817" s="13">
        <v>684009</v>
      </c>
      <c r="G817" t="s">
        <v>836</v>
      </c>
    </row>
    <row r="818" spans="1:7" x14ac:dyDescent="0.3">
      <c r="A818" s="13" t="s">
        <v>353</v>
      </c>
      <c r="B818" s="13">
        <v>386.25</v>
      </c>
      <c r="C818" s="13">
        <v>17643</v>
      </c>
      <c r="D818" s="13" t="s">
        <v>1038</v>
      </c>
      <c r="E818" s="13">
        <v>75645</v>
      </c>
      <c r="F818" s="13">
        <v>128245</v>
      </c>
      <c r="G818" t="s">
        <v>836</v>
      </c>
    </row>
    <row r="819" spans="1:7" x14ac:dyDescent="0.3">
      <c r="A819" s="13" t="s">
        <v>309</v>
      </c>
      <c r="B819" s="13">
        <v>9979.5</v>
      </c>
      <c r="C819" s="13">
        <v>1154</v>
      </c>
      <c r="D819" s="13" t="s">
        <v>1034</v>
      </c>
      <c r="E819" s="13">
        <v>1930</v>
      </c>
      <c r="F819" s="13">
        <v>6276</v>
      </c>
      <c r="G819" t="s">
        <v>836</v>
      </c>
    </row>
    <row r="820" spans="1:7" x14ac:dyDescent="0.3">
      <c r="A820" s="13" t="s">
        <v>936</v>
      </c>
      <c r="B820" s="13">
        <v>1810</v>
      </c>
      <c r="C820" s="13">
        <v>872</v>
      </c>
      <c r="D820" s="13" t="s">
        <v>1037</v>
      </c>
      <c r="E820" s="13">
        <v>2820</v>
      </c>
      <c r="F820" s="13">
        <v>4449</v>
      </c>
      <c r="G820" t="s">
        <v>836</v>
      </c>
    </row>
    <row r="821" spans="1:7" x14ac:dyDescent="0.3">
      <c r="A821" s="13" t="s">
        <v>53</v>
      </c>
      <c r="B821" s="13">
        <v>1339</v>
      </c>
      <c r="C821" s="13">
        <v>1703</v>
      </c>
      <c r="D821" s="13" t="s">
        <v>1034</v>
      </c>
      <c r="E821" s="13">
        <v>15686</v>
      </c>
      <c r="F821" s="13">
        <v>26815</v>
      </c>
      <c r="G821" t="s">
        <v>836</v>
      </c>
    </row>
    <row r="822" spans="1:7" x14ac:dyDescent="0.3">
      <c r="A822" s="13" t="s">
        <v>256</v>
      </c>
      <c r="B822" s="13">
        <v>14151</v>
      </c>
      <c r="C822" s="13">
        <v>2637</v>
      </c>
      <c r="D822" s="13" t="s">
        <v>1034</v>
      </c>
      <c r="E822" s="13">
        <v>5645</v>
      </c>
      <c r="F822" s="13">
        <v>7158</v>
      </c>
      <c r="G822" t="s">
        <v>836</v>
      </c>
    </row>
    <row r="823" spans="1:7" x14ac:dyDescent="0.3">
      <c r="A823" s="13" t="s">
        <v>229</v>
      </c>
      <c r="B823" s="13">
        <v>1229.5999999999999</v>
      </c>
      <c r="C823" s="13">
        <v>1248</v>
      </c>
      <c r="D823" s="13" t="s">
        <v>1038</v>
      </c>
      <c r="E823" s="13">
        <v>3381</v>
      </c>
      <c r="F823" s="13">
        <v>16681</v>
      </c>
      <c r="G823" t="s">
        <v>836</v>
      </c>
    </row>
    <row r="824" spans="1:7" x14ac:dyDescent="0.3">
      <c r="A824" s="13" t="s">
        <v>884</v>
      </c>
      <c r="B824" s="13">
        <v>2178</v>
      </c>
      <c r="C824" s="13">
        <v>1303</v>
      </c>
      <c r="D824" s="13" t="s">
        <v>1034</v>
      </c>
      <c r="E824" s="13">
        <v>5051</v>
      </c>
      <c r="F824" s="13">
        <v>13172</v>
      </c>
      <c r="G824" t="s">
        <v>836</v>
      </c>
    </row>
    <row r="825" spans="1:7" x14ac:dyDescent="0.3">
      <c r="A825" s="13" t="s">
        <v>992</v>
      </c>
      <c r="B825" s="13">
        <v>2954</v>
      </c>
      <c r="C825" s="13">
        <v>3976</v>
      </c>
      <c r="D825" s="13" t="s">
        <v>1034</v>
      </c>
      <c r="E825" s="13">
        <v>11944</v>
      </c>
      <c r="F825" s="13">
        <v>52460</v>
      </c>
      <c r="G825" t="s">
        <v>836</v>
      </c>
    </row>
    <row r="826" spans="1:7" x14ac:dyDescent="0.3">
      <c r="A826" s="13" t="s">
        <v>866</v>
      </c>
      <c r="B826" s="13">
        <v>1308.8</v>
      </c>
      <c r="C826" s="13">
        <v>4243</v>
      </c>
      <c r="D826" s="13" t="s">
        <v>1037</v>
      </c>
      <c r="E826" s="13">
        <v>19952</v>
      </c>
      <c r="F826" s="13">
        <v>60867</v>
      </c>
      <c r="G826" t="s">
        <v>836</v>
      </c>
    </row>
    <row r="827" spans="1:7" x14ac:dyDescent="0.3">
      <c r="A827" s="13" t="s">
        <v>870</v>
      </c>
      <c r="B827" s="13">
        <v>1512.7</v>
      </c>
      <c r="C827" s="13">
        <v>10899</v>
      </c>
      <c r="D827" s="13" t="s">
        <v>1034</v>
      </c>
      <c r="E827" s="13">
        <v>23746</v>
      </c>
      <c r="F827" s="13">
        <v>75978</v>
      </c>
      <c r="G827" t="s">
        <v>836</v>
      </c>
    </row>
    <row r="828" spans="1:7" x14ac:dyDescent="0.3">
      <c r="A828" s="13" t="s">
        <v>892</v>
      </c>
      <c r="B828" s="13">
        <v>819.9</v>
      </c>
      <c r="C828" s="13">
        <v>6635</v>
      </c>
      <c r="D828" s="13" t="s">
        <v>1034</v>
      </c>
      <c r="E828" s="13">
        <v>14020</v>
      </c>
      <c r="F828" s="13">
        <v>38851</v>
      </c>
      <c r="G828" t="s">
        <v>836</v>
      </c>
    </row>
    <row r="829" spans="1:7" x14ac:dyDescent="0.3">
      <c r="A829" s="13" t="s">
        <v>357</v>
      </c>
      <c r="B829" s="13">
        <v>2039.9</v>
      </c>
      <c r="C829" s="13">
        <v>47643</v>
      </c>
      <c r="D829" s="13" t="s">
        <v>1034</v>
      </c>
      <c r="E829" s="13">
        <v>56487</v>
      </c>
      <c r="F829" s="13">
        <v>133725</v>
      </c>
      <c r="G829" t="s">
        <v>836</v>
      </c>
    </row>
    <row r="830" spans="1:7" x14ac:dyDescent="0.3">
      <c r="A830" s="13" t="s">
        <v>371</v>
      </c>
      <c r="B830" s="13">
        <v>11300</v>
      </c>
      <c r="C830" s="13">
        <v>211</v>
      </c>
      <c r="D830" s="13" t="s">
        <v>1034</v>
      </c>
      <c r="E830" s="13">
        <v>2694</v>
      </c>
      <c r="F830" s="13">
        <v>5149</v>
      </c>
      <c r="G830" t="s">
        <v>836</v>
      </c>
    </row>
    <row r="831" spans="1:7" x14ac:dyDescent="0.3">
      <c r="A831" s="13" t="s">
        <v>329</v>
      </c>
      <c r="B831" s="13">
        <v>1031</v>
      </c>
      <c r="C831" s="13">
        <v>20929</v>
      </c>
      <c r="D831" s="13" t="s">
        <v>1033</v>
      </c>
      <c r="E831" s="13">
        <v>69893</v>
      </c>
      <c r="F831" s="13">
        <v>114411</v>
      </c>
      <c r="G831" t="s">
        <v>836</v>
      </c>
    </row>
    <row r="832" spans="1:7" x14ac:dyDescent="0.3">
      <c r="A832" s="13" t="s">
        <v>297</v>
      </c>
      <c r="B832" s="13">
        <v>4343.8</v>
      </c>
      <c r="C832" s="13">
        <v>2174</v>
      </c>
      <c r="D832" s="13" t="s">
        <v>1034</v>
      </c>
      <c r="E832" s="13">
        <v>10169</v>
      </c>
      <c r="F832" s="13">
        <v>56425</v>
      </c>
      <c r="G832" t="s">
        <v>836</v>
      </c>
    </row>
    <row r="833" spans="1:7" x14ac:dyDescent="0.3">
      <c r="A833" s="13" t="s">
        <v>922</v>
      </c>
      <c r="B833" s="13">
        <v>2555.9</v>
      </c>
      <c r="C833" s="13">
        <v>1628</v>
      </c>
      <c r="D833" s="13" t="s">
        <v>1034</v>
      </c>
      <c r="E833" s="13">
        <v>5717</v>
      </c>
      <c r="F833" s="13">
        <v>8832</v>
      </c>
      <c r="G833" t="s">
        <v>836</v>
      </c>
    </row>
    <row r="834" spans="1:7" x14ac:dyDescent="0.3">
      <c r="A834" s="13" t="s">
        <v>41</v>
      </c>
      <c r="B834" s="13">
        <v>5594</v>
      </c>
      <c r="C834" s="13">
        <v>310</v>
      </c>
      <c r="D834" s="13" t="s">
        <v>1035</v>
      </c>
      <c r="E834" s="13">
        <v>1198</v>
      </c>
      <c r="F834" s="13">
        <v>1905</v>
      </c>
      <c r="G834" t="s">
        <v>836</v>
      </c>
    </row>
    <row r="835" spans="1:7" x14ac:dyDescent="0.3">
      <c r="A835" s="13" t="s">
        <v>303</v>
      </c>
      <c r="B835" s="13">
        <v>1600</v>
      </c>
      <c r="C835" s="13">
        <v>576</v>
      </c>
      <c r="D835" s="13" t="s">
        <v>1034</v>
      </c>
      <c r="E835" s="13">
        <v>5761</v>
      </c>
      <c r="F835" s="13">
        <v>9418</v>
      </c>
      <c r="G835" t="s">
        <v>836</v>
      </c>
    </row>
    <row r="836" spans="1:7" x14ac:dyDescent="0.3">
      <c r="A836" s="13" t="s">
        <v>143</v>
      </c>
      <c r="B836" s="13">
        <v>389.4</v>
      </c>
      <c r="C836" s="13">
        <v>3806</v>
      </c>
      <c r="D836" s="13" t="s">
        <v>1038</v>
      </c>
      <c r="E836" s="13">
        <v>24645</v>
      </c>
      <c r="F836" s="13">
        <v>68516</v>
      </c>
      <c r="G836" t="s">
        <v>836</v>
      </c>
    </row>
    <row r="837" spans="1:7" x14ac:dyDescent="0.3">
      <c r="A837" s="13" t="s">
        <v>307</v>
      </c>
      <c r="B837" s="13">
        <v>107.15</v>
      </c>
      <c r="C837" s="13">
        <v>25447</v>
      </c>
      <c r="D837" s="13" t="s">
        <v>1037</v>
      </c>
      <c r="E837" s="13">
        <v>150919</v>
      </c>
      <c r="F837" s="13">
        <v>779097</v>
      </c>
      <c r="G837" t="s">
        <v>836</v>
      </c>
    </row>
    <row r="838" spans="1:7" x14ac:dyDescent="0.3">
      <c r="A838" s="13" t="s">
        <v>99</v>
      </c>
      <c r="B838" s="13">
        <v>126.06</v>
      </c>
      <c r="C838" s="13">
        <v>56025</v>
      </c>
      <c r="D838" s="13" t="s">
        <v>1033</v>
      </c>
      <c r="E838" s="13">
        <v>351168</v>
      </c>
      <c r="F838" s="13">
        <v>938311</v>
      </c>
      <c r="G838" t="s">
        <v>836</v>
      </c>
    </row>
    <row r="839" spans="1:7" x14ac:dyDescent="0.3">
      <c r="A839" s="13" t="s">
        <v>854</v>
      </c>
      <c r="B839" s="13">
        <v>10649</v>
      </c>
      <c r="C839" s="13">
        <v>112</v>
      </c>
      <c r="D839" s="13" t="s">
        <v>1036</v>
      </c>
      <c r="E839" s="13">
        <v>310</v>
      </c>
      <c r="F839" s="13">
        <v>1896</v>
      </c>
      <c r="G839" t="s">
        <v>836</v>
      </c>
    </row>
    <row r="840" spans="1:7" x14ac:dyDescent="0.3">
      <c r="A840" s="13" t="s">
        <v>379</v>
      </c>
      <c r="B840" s="13">
        <v>171</v>
      </c>
      <c r="C840" s="13">
        <v>244591</v>
      </c>
      <c r="D840" s="13" t="s">
        <v>1034</v>
      </c>
      <c r="E840" s="13">
        <v>504672</v>
      </c>
      <c r="F840" s="13">
        <v>750949</v>
      </c>
      <c r="G840" t="s">
        <v>836</v>
      </c>
    </row>
    <row r="841" spans="1:7" x14ac:dyDescent="0.3">
      <c r="A841" s="13" t="s">
        <v>113</v>
      </c>
      <c r="B841" s="13">
        <v>2005</v>
      </c>
      <c r="C841" s="13">
        <v>424</v>
      </c>
      <c r="D841" s="13" t="s">
        <v>1037</v>
      </c>
      <c r="E841" s="13">
        <v>3327</v>
      </c>
      <c r="F841" s="13">
        <v>10674</v>
      </c>
      <c r="G841" t="s">
        <v>836</v>
      </c>
    </row>
    <row r="842" spans="1:7" x14ac:dyDescent="0.3">
      <c r="A842" s="13" t="s">
        <v>980</v>
      </c>
      <c r="B842" s="13">
        <v>353.5</v>
      </c>
      <c r="C842" s="13">
        <v>29222</v>
      </c>
      <c r="D842" s="13" t="s">
        <v>1033</v>
      </c>
      <c r="E842" s="13">
        <v>162844</v>
      </c>
      <c r="F842" s="13">
        <v>373206</v>
      </c>
      <c r="G842" t="s">
        <v>836</v>
      </c>
    </row>
    <row r="843" spans="1:7" x14ac:dyDescent="0.3">
      <c r="A843" s="13" t="s">
        <v>319</v>
      </c>
      <c r="B843" s="13">
        <v>365</v>
      </c>
      <c r="C843" s="13">
        <v>8109</v>
      </c>
      <c r="D843" s="13" t="s">
        <v>1038</v>
      </c>
      <c r="E843" s="13">
        <v>176900</v>
      </c>
      <c r="F843" s="13">
        <v>306484</v>
      </c>
      <c r="G843" t="s">
        <v>836</v>
      </c>
    </row>
    <row r="844" spans="1:7" x14ac:dyDescent="0.3">
      <c r="A844" s="13" t="s">
        <v>291</v>
      </c>
      <c r="B844" s="13">
        <v>235.7</v>
      </c>
      <c r="C844" s="13">
        <v>52406</v>
      </c>
      <c r="D844" s="13" t="s">
        <v>1033</v>
      </c>
      <c r="E844" s="13">
        <v>250895</v>
      </c>
      <c r="F844" s="13">
        <v>473113</v>
      </c>
      <c r="G844" t="s">
        <v>836</v>
      </c>
    </row>
    <row r="845" spans="1:7" x14ac:dyDescent="0.3">
      <c r="A845" s="13" t="s">
        <v>240</v>
      </c>
      <c r="B845" s="13">
        <v>566</v>
      </c>
      <c r="C845" s="13">
        <v>3911</v>
      </c>
      <c r="D845" s="13" t="s">
        <v>1037</v>
      </c>
      <c r="E845" s="13">
        <v>14285</v>
      </c>
      <c r="F845" s="13">
        <v>33516</v>
      </c>
      <c r="G845" t="s">
        <v>836</v>
      </c>
    </row>
    <row r="846" spans="1:7" x14ac:dyDescent="0.3">
      <c r="A846" s="13" t="s">
        <v>986</v>
      </c>
      <c r="B846" s="13">
        <v>1092</v>
      </c>
      <c r="C846" s="13">
        <v>1454</v>
      </c>
      <c r="D846" s="13" t="s">
        <v>1039</v>
      </c>
      <c r="E846" s="13">
        <v>9096</v>
      </c>
      <c r="F846" s="13">
        <v>11884</v>
      </c>
      <c r="G846" t="s">
        <v>836</v>
      </c>
    </row>
    <row r="847" spans="1:7" x14ac:dyDescent="0.3">
      <c r="A847" s="13" t="s">
        <v>321</v>
      </c>
      <c r="B847" s="13">
        <v>1298.9000000000001</v>
      </c>
      <c r="C847" s="13">
        <v>55719</v>
      </c>
      <c r="D847" s="13" t="s">
        <v>1033</v>
      </c>
      <c r="E847" s="13">
        <v>206986</v>
      </c>
      <c r="F847" s="13">
        <v>291918</v>
      </c>
      <c r="G847" t="s">
        <v>836</v>
      </c>
    </row>
    <row r="848" spans="1:7" x14ac:dyDescent="0.3">
      <c r="A848" s="13" t="s">
        <v>183</v>
      </c>
      <c r="B848" s="13">
        <v>396</v>
      </c>
      <c r="C848" s="13">
        <v>11578</v>
      </c>
      <c r="D848" s="13" t="s">
        <v>1039</v>
      </c>
      <c r="E848" s="13">
        <v>77354</v>
      </c>
      <c r="F848" s="13">
        <v>93580</v>
      </c>
      <c r="G848" t="s">
        <v>836</v>
      </c>
    </row>
    <row r="849" spans="1:7" x14ac:dyDescent="0.3">
      <c r="A849" s="13" t="s">
        <v>248</v>
      </c>
      <c r="B849" s="13">
        <v>2428</v>
      </c>
      <c r="C849" s="13">
        <v>1387</v>
      </c>
      <c r="D849" s="13" t="s">
        <v>1037</v>
      </c>
      <c r="E849" s="13">
        <v>6136</v>
      </c>
      <c r="F849" s="13">
        <v>25097</v>
      </c>
      <c r="G849" t="s">
        <v>836</v>
      </c>
    </row>
    <row r="850" spans="1:7" x14ac:dyDescent="0.3">
      <c r="A850" s="13" t="s">
        <v>171</v>
      </c>
      <c r="B850" s="13">
        <v>2663</v>
      </c>
      <c r="C850" s="13">
        <v>597</v>
      </c>
      <c r="D850" s="13" t="s">
        <v>1038</v>
      </c>
      <c r="E850" s="13">
        <v>3306</v>
      </c>
      <c r="F850" s="13">
        <v>10307</v>
      </c>
      <c r="G850" t="s">
        <v>836</v>
      </c>
    </row>
    <row r="851" spans="1:7" x14ac:dyDescent="0.3">
      <c r="A851" s="13" t="s">
        <v>285</v>
      </c>
      <c r="B851" s="13">
        <v>358</v>
      </c>
      <c r="C851" s="13">
        <v>12279</v>
      </c>
      <c r="D851" s="13" t="s">
        <v>1034</v>
      </c>
      <c r="E851" s="13">
        <v>50413</v>
      </c>
      <c r="F851" s="13">
        <v>85445</v>
      </c>
      <c r="G851" t="s">
        <v>836</v>
      </c>
    </row>
    <row r="853" spans="1:7" x14ac:dyDescent="0.3">
      <c r="A853" s="13" t="s">
        <v>995</v>
      </c>
      <c r="B853" s="13" t="s">
        <v>996</v>
      </c>
      <c r="C853" s="13" t="s">
        <v>997</v>
      </c>
      <c r="D853" s="13" t="s">
        <v>998</v>
      </c>
      <c r="E853" s="13" t="s">
        <v>999</v>
      </c>
      <c r="F853" s="13" t="s">
        <v>1000</v>
      </c>
      <c r="G853" t="s">
        <v>1010</v>
      </c>
    </row>
    <row r="854" spans="1:7" x14ac:dyDescent="0.3">
      <c r="A854" s="13" t="s">
        <v>119</v>
      </c>
      <c r="B854" s="13">
        <v>272</v>
      </c>
      <c r="C854" s="13">
        <v>5023</v>
      </c>
      <c r="D854" s="13" t="s">
        <v>1052</v>
      </c>
      <c r="E854" s="13">
        <v>77280</v>
      </c>
      <c r="F854" s="13">
        <v>65339</v>
      </c>
      <c r="G854" t="s">
        <v>822</v>
      </c>
    </row>
    <row r="855" spans="1:7" x14ac:dyDescent="0.3">
      <c r="A855" s="13" t="s">
        <v>349</v>
      </c>
      <c r="B855" s="13">
        <v>1099.9000000000001</v>
      </c>
      <c r="C855" s="13">
        <v>3368</v>
      </c>
      <c r="D855" s="13" t="s">
        <v>1053</v>
      </c>
      <c r="E855" s="13">
        <v>17602</v>
      </c>
      <c r="F855" s="13">
        <v>17514</v>
      </c>
      <c r="G855" t="s">
        <v>822</v>
      </c>
    </row>
    <row r="856" spans="1:7" x14ac:dyDescent="0.3">
      <c r="A856" s="13" t="s">
        <v>852</v>
      </c>
      <c r="B856" s="13">
        <v>1785</v>
      </c>
      <c r="C856" s="13">
        <v>1156</v>
      </c>
      <c r="D856" s="13" t="s">
        <v>1052</v>
      </c>
      <c r="E856" s="13">
        <v>9329</v>
      </c>
      <c r="F856" s="13">
        <v>8233</v>
      </c>
      <c r="G856" t="s">
        <v>822</v>
      </c>
    </row>
    <row r="857" spans="1:7" x14ac:dyDescent="0.3">
      <c r="A857" s="13" t="s">
        <v>256</v>
      </c>
      <c r="B857" s="13">
        <v>14431</v>
      </c>
      <c r="C857" s="13">
        <v>1536</v>
      </c>
      <c r="D857" s="13" t="s">
        <v>1054</v>
      </c>
      <c r="E857" s="13">
        <v>6381</v>
      </c>
      <c r="F857" s="13">
        <v>6015</v>
      </c>
      <c r="G857" t="s">
        <v>822</v>
      </c>
    </row>
    <row r="858" spans="1:7" x14ac:dyDescent="0.3">
      <c r="A858" s="13" t="s">
        <v>379</v>
      </c>
      <c r="B858" s="13">
        <v>169.49</v>
      </c>
      <c r="C858" s="13">
        <v>598637</v>
      </c>
      <c r="D858" s="13" t="s">
        <v>1055</v>
      </c>
      <c r="E858" s="13">
        <v>1842905</v>
      </c>
      <c r="F858" s="13">
        <v>1080560</v>
      </c>
      <c r="G858" t="s">
        <v>822</v>
      </c>
    </row>
    <row r="859" spans="1:7" x14ac:dyDescent="0.3">
      <c r="A859" s="13" t="s">
        <v>293</v>
      </c>
      <c r="B859" s="13">
        <v>43500</v>
      </c>
      <c r="C859" s="13">
        <v>125</v>
      </c>
      <c r="D859" s="13" t="s">
        <v>1054</v>
      </c>
      <c r="E859" s="13">
        <v>738</v>
      </c>
      <c r="F859" s="13">
        <v>477</v>
      </c>
      <c r="G859" t="s">
        <v>822</v>
      </c>
    </row>
    <row r="860" spans="1:7" x14ac:dyDescent="0.3">
      <c r="A860" s="13" t="s">
        <v>179</v>
      </c>
      <c r="B860" s="13">
        <v>942.05</v>
      </c>
      <c r="C860" s="13">
        <v>9841</v>
      </c>
      <c r="D860" s="13" t="s">
        <v>1053</v>
      </c>
      <c r="E860" s="13">
        <v>87628</v>
      </c>
      <c r="F860" s="13">
        <v>56083</v>
      </c>
      <c r="G860" t="s">
        <v>822</v>
      </c>
    </row>
    <row r="861" spans="1:7" x14ac:dyDescent="0.3">
      <c r="A861" s="13" t="s">
        <v>37</v>
      </c>
      <c r="B861" s="13">
        <v>3155.9</v>
      </c>
      <c r="C861" s="13">
        <v>6723</v>
      </c>
      <c r="D861" s="13" t="s">
        <v>1055</v>
      </c>
      <c r="E861" s="13">
        <v>116550</v>
      </c>
      <c r="F861" s="13">
        <v>46761</v>
      </c>
      <c r="G861" t="s">
        <v>822</v>
      </c>
    </row>
    <row r="862" spans="1:7" x14ac:dyDescent="0.3">
      <c r="A862" s="13" t="s">
        <v>892</v>
      </c>
      <c r="B862" s="13">
        <v>825.9</v>
      </c>
      <c r="C862" s="13">
        <v>5470</v>
      </c>
      <c r="D862" s="13" t="s">
        <v>1053</v>
      </c>
      <c r="E862" s="13">
        <v>46175</v>
      </c>
      <c r="F862" s="13">
        <v>30924</v>
      </c>
      <c r="G862" t="s">
        <v>822</v>
      </c>
    </row>
    <row r="863" spans="1:7" x14ac:dyDescent="0.3">
      <c r="A863" s="13" t="s">
        <v>872</v>
      </c>
      <c r="B863" s="13">
        <v>510.25</v>
      </c>
      <c r="C863" s="13">
        <v>85206</v>
      </c>
      <c r="D863" s="13" t="s">
        <v>1055</v>
      </c>
      <c r="E863" s="13">
        <v>170356</v>
      </c>
      <c r="F863" s="13">
        <v>84573</v>
      </c>
      <c r="G863" t="s">
        <v>822</v>
      </c>
    </row>
    <row r="864" spans="1:7" x14ac:dyDescent="0.3">
      <c r="A864" s="13" t="s">
        <v>225</v>
      </c>
      <c r="B864" s="13">
        <v>1034</v>
      </c>
      <c r="C864" s="13">
        <v>537</v>
      </c>
      <c r="D864" s="13" t="s">
        <v>1056</v>
      </c>
      <c r="E864" s="13">
        <v>16117</v>
      </c>
      <c r="F864" s="13">
        <v>12240</v>
      </c>
      <c r="G864" t="s">
        <v>822</v>
      </c>
    </row>
    <row r="865" spans="1:7" x14ac:dyDescent="0.3">
      <c r="A865" s="13" t="s">
        <v>960</v>
      </c>
      <c r="B865" s="13">
        <v>3958.5</v>
      </c>
      <c r="C865" s="13">
        <v>194</v>
      </c>
      <c r="D865" s="13" t="s">
        <v>1054</v>
      </c>
      <c r="E865" s="13">
        <v>10086</v>
      </c>
      <c r="F865" s="13">
        <v>9647</v>
      </c>
      <c r="G865" t="s">
        <v>822</v>
      </c>
    </row>
    <row r="866" spans="1:7" x14ac:dyDescent="0.3">
      <c r="A866" s="13" t="s">
        <v>259</v>
      </c>
      <c r="B866" s="13">
        <v>2985.5</v>
      </c>
      <c r="C866" s="13">
        <v>19897</v>
      </c>
      <c r="D866" s="13" t="s">
        <v>1055</v>
      </c>
      <c r="E866" s="13">
        <v>61765</v>
      </c>
      <c r="F866" s="13">
        <v>39593</v>
      </c>
      <c r="G866" t="s">
        <v>822</v>
      </c>
    </row>
    <row r="867" spans="1:7" x14ac:dyDescent="0.3">
      <c r="A867" s="13" t="s">
        <v>373</v>
      </c>
      <c r="B867" s="13">
        <v>567.5</v>
      </c>
      <c r="C867" s="13">
        <v>1187</v>
      </c>
      <c r="D867" s="13" t="s">
        <v>1055</v>
      </c>
      <c r="E867" s="13">
        <v>47179</v>
      </c>
      <c r="F867" s="13">
        <v>24445</v>
      </c>
      <c r="G867" t="s">
        <v>822</v>
      </c>
    </row>
    <row r="868" spans="1:7" x14ac:dyDescent="0.3">
      <c r="A868" s="13" t="s">
        <v>944</v>
      </c>
      <c r="B868" s="13">
        <v>1209</v>
      </c>
      <c r="C868" s="13">
        <v>10178</v>
      </c>
      <c r="D868" s="13" t="s">
        <v>1053</v>
      </c>
      <c r="E868" s="13">
        <v>167786</v>
      </c>
      <c r="F868" s="13">
        <v>26103</v>
      </c>
      <c r="G868" t="s">
        <v>822</v>
      </c>
    </row>
    <row r="869" spans="1:7" x14ac:dyDescent="0.3">
      <c r="A869" s="13" t="s">
        <v>111</v>
      </c>
      <c r="B869" s="13">
        <v>1395</v>
      </c>
      <c r="C869" s="13">
        <v>19473</v>
      </c>
      <c r="D869" s="13" t="s">
        <v>1053</v>
      </c>
      <c r="E869" s="13">
        <v>52482</v>
      </c>
      <c r="F869" s="13">
        <v>44416</v>
      </c>
      <c r="G869" t="s">
        <v>822</v>
      </c>
    </row>
    <row r="870" spans="1:7" x14ac:dyDescent="0.3">
      <c r="A870" s="13" t="s">
        <v>215</v>
      </c>
      <c r="B870" s="13">
        <v>1006.4</v>
      </c>
      <c r="C870" s="13">
        <v>113873</v>
      </c>
      <c r="D870" s="13" t="s">
        <v>1055</v>
      </c>
      <c r="E870" s="13">
        <v>664088</v>
      </c>
      <c r="F870" s="13">
        <v>242808</v>
      </c>
      <c r="G870" t="s">
        <v>822</v>
      </c>
    </row>
    <row r="871" spans="1:7" x14ac:dyDescent="0.3">
      <c r="A871" s="13" t="s">
        <v>878</v>
      </c>
      <c r="B871" s="13">
        <v>18653</v>
      </c>
      <c r="C871" s="13">
        <v>1165</v>
      </c>
      <c r="D871" s="13" t="s">
        <v>1055</v>
      </c>
      <c r="E871" s="13">
        <v>4670</v>
      </c>
      <c r="F871" s="13">
        <v>4372</v>
      </c>
      <c r="G871" t="s">
        <v>822</v>
      </c>
    </row>
    <row r="872" spans="1:7" x14ac:dyDescent="0.3">
      <c r="A872" s="13" t="s">
        <v>357</v>
      </c>
      <c r="B872" s="13">
        <v>2008</v>
      </c>
      <c r="C872" s="13">
        <v>38127</v>
      </c>
      <c r="D872" s="13" t="s">
        <v>1055</v>
      </c>
      <c r="E872" s="13">
        <v>162004</v>
      </c>
      <c r="F872" s="13">
        <v>96942</v>
      </c>
      <c r="G872" t="s">
        <v>822</v>
      </c>
    </row>
    <row r="873" spans="1:7" x14ac:dyDescent="0.3">
      <c r="A873" s="13" t="s">
        <v>603</v>
      </c>
      <c r="B873" s="13">
        <v>9975</v>
      </c>
      <c r="C873" s="13">
        <v>4104</v>
      </c>
      <c r="D873" s="13" t="s">
        <v>1055</v>
      </c>
      <c r="E873" s="13">
        <v>6087</v>
      </c>
      <c r="F873" s="13">
        <v>5884</v>
      </c>
      <c r="G873" t="s">
        <v>822</v>
      </c>
    </row>
    <row r="874" spans="1:7" x14ac:dyDescent="0.3">
      <c r="A874" s="13" t="s">
        <v>367</v>
      </c>
      <c r="B874" s="13">
        <v>3586</v>
      </c>
      <c r="C874" s="13">
        <v>23763</v>
      </c>
      <c r="D874" s="13" t="s">
        <v>1053</v>
      </c>
      <c r="E874" s="13">
        <v>29098</v>
      </c>
      <c r="F874" s="13">
        <v>11140</v>
      </c>
      <c r="G874" t="s">
        <v>822</v>
      </c>
    </row>
    <row r="875" spans="1:7" x14ac:dyDescent="0.3">
      <c r="A875" s="13" t="s">
        <v>976</v>
      </c>
      <c r="B875" s="13">
        <v>3599.1</v>
      </c>
      <c r="C875" s="13">
        <v>3229</v>
      </c>
      <c r="D875" s="13" t="s">
        <v>1055</v>
      </c>
      <c r="E875" s="13">
        <v>12581</v>
      </c>
      <c r="F875" s="13">
        <v>11910</v>
      </c>
      <c r="G875" t="s">
        <v>822</v>
      </c>
    </row>
    <row r="876" spans="1:7" x14ac:dyDescent="0.3">
      <c r="A876" s="13" t="s">
        <v>934</v>
      </c>
      <c r="B876" s="13">
        <v>80.900000000000006</v>
      </c>
      <c r="C876" s="13">
        <v>332951</v>
      </c>
      <c r="D876" s="13" t="s">
        <v>1055</v>
      </c>
      <c r="E876" s="13">
        <v>854275</v>
      </c>
      <c r="F876" s="13">
        <v>695607</v>
      </c>
      <c r="G876" t="s">
        <v>822</v>
      </c>
    </row>
    <row r="877" spans="1:7" x14ac:dyDescent="0.3">
      <c r="A877" s="13" t="s">
        <v>223</v>
      </c>
      <c r="B877" s="13">
        <v>290.7</v>
      </c>
      <c r="C877" s="13">
        <v>41840</v>
      </c>
      <c r="D877" s="13" t="s">
        <v>1053</v>
      </c>
      <c r="E877" s="13">
        <v>270712</v>
      </c>
      <c r="F877" s="13">
        <v>804715</v>
      </c>
      <c r="G877" t="s">
        <v>836</v>
      </c>
    </row>
    <row r="878" spans="1:7" x14ac:dyDescent="0.3">
      <c r="A878" s="13" t="s">
        <v>321</v>
      </c>
      <c r="B878" s="13">
        <v>1310</v>
      </c>
      <c r="C878" s="13">
        <v>49322</v>
      </c>
      <c r="D878" s="13" t="s">
        <v>1055</v>
      </c>
      <c r="E878" s="13">
        <v>147506</v>
      </c>
      <c r="F878" s="13">
        <v>473836</v>
      </c>
      <c r="G878" t="s">
        <v>836</v>
      </c>
    </row>
    <row r="879" spans="1:7" x14ac:dyDescent="0.3">
      <c r="A879" s="13" t="s">
        <v>299</v>
      </c>
      <c r="B879" s="13">
        <v>279.5</v>
      </c>
      <c r="C879" s="13">
        <v>933</v>
      </c>
      <c r="D879" s="13" t="s">
        <v>1056</v>
      </c>
      <c r="E879" s="13">
        <v>19142</v>
      </c>
      <c r="F879" s="13">
        <v>51396</v>
      </c>
      <c r="G879" t="s">
        <v>836</v>
      </c>
    </row>
    <row r="880" spans="1:7" x14ac:dyDescent="0.3">
      <c r="A880" s="13" t="s">
        <v>856</v>
      </c>
      <c r="B880" s="13">
        <v>141.88</v>
      </c>
      <c r="C880" s="13">
        <v>17545</v>
      </c>
      <c r="D880" s="13" t="s">
        <v>1052</v>
      </c>
      <c r="E880" s="13">
        <v>100182</v>
      </c>
      <c r="F880" s="13">
        <v>180066</v>
      </c>
      <c r="G880" t="s">
        <v>836</v>
      </c>
    </row>
    <row r="881" spans="1:7" x14ac:dyDescent="0.3">
      <c r="A881" s="13" t="s">
        <v>242</v>
      </c>
      <c r="B881" s="13">
        <v>4100</v>
      </c>
      <c r="C881" s="13">
        <v>4988</v>
      </c>
      <c r="D881" s="13" t="s">
        <v>1054</v>
      </c>
      <c r="E881" s="13">
        <v>19773</v>
      </c>
      <c r="F881" s="13">
        <v>45995</v>
      </c>
      <c r="G881" t="s">
        <v>836</v>
      </c>
    </row>
    <row r="882" spans="1:7" x14ac:dyDescent="0.3">
      <c r="A882" s="13" t="s">
        <v>924</v>
      </c>
      <c r="B882" s="13">
        <v>1141.7</v>
      </c>
      <c r="C882" s="13">
        <v>4350</v>
      </c>
      <c r="D882" s="13" t="s">
        <v>1054</v>
      </c>
      <c r="E882" s="13">
        <v>11434</v>
      </c>
      <c r="F882" s="13">
        <v>24625</v>
      </c>
      <c r="G882" t="s">
        <v>836</v>
      </c>
    </row>
    <row r="883" spans="1:7" x14ac:dyDescent="0.3">
      <c r="A883" s="13" t="s">
        <v>956</v>
      </c>
      <c r="B883" s="13">
        <v>1053.2</v>
      </c>
      <c r="C883" s="13">
        <v>1377</v>
      </c>
      <c r="D883" s="13" t="s">
        <v>1054</v>
      </c>
      <c r="E883" s="13">
        <v>6856</v>
      </c>
      <c r="F883" s="13">
        <v>36435</v>
      </c>
      <c r="G883" t="s">
        <v>836</v>
      </c>
    </row>
    <row r="884" spans="1:7" x14ac:dyDescent="0.3">
      <c r="A884" s="13" t="s">
        <v>187</v>
      </c>
      <c r="B884" s="13">
        <v>1381.9</v>
      </c>
      <c r="C884" s="13">
        <v>84318</v>
      </c>
      <c r="D884" s="13" t="s">
        <v>1055</v>
      </c>
      <c r="E884" s="13">
        <v>31797</v>
      </c>
      <c r="F884" s="13">
        <v>109460</v>
      </c>
      <c r="G884" t="s">
        <v>836</v>
      </c>
    </row>
    <row r="885" spans="1:7" x14ac:dyDescent="0.3">
      <c r="A885" s="13" t="s">
        <v>361</v>
      </c>
      <c r="B885" s="13">
        <v>4404</v>
      </c>
      <c r="C885" s="13">
        <v>814</v>
      </c>
      <c r="D885" s="13" t="s">
        <v>1055</v>
      </c>
      <c r="E885" s="13">
        <v>2992</v>
      </c>
      <c r="F885" s="13">
        <v>13123</v>
      </c>
      <c r="G885" t="s">
        <v>836</v>
      </c>
    </row>
    <row r="886" spans="1:7" x14ac:dyDescent="0.3">
      <c r="A886" s="13" t="s">
        <v>916</v>
      </c>
      <c r="B886" s="13">
        <v>993.5</v>
      </c>
      <c r="C886" s="13">
        <v>6609</v>
      </c>
      <c r="D886" s="13" t="s">
        <v>1055</v>
      </c>
      <c r="E886" s="13">
        <v>17406</v>
      </c>
      <c r="F886" s="13">
        <v>41952</v>
      </c>
      <c r="G886" t="s">
        <v>836</v>
      </c>
    </row>
    <row r="887" spans="1:7" x14ac:dyDescent="0.3">
      <c r="A887" s="13" t="s">
        <v>145</v>
      </c>
      <c r="B887" s="13">
        <v>331.75</v>
      </c>
      <c r="C887" s="13">
        <v>7709</v>
      </c>
      <c r="D887" s="13" t="s">
        <v>1054</v>
      </c>
      <c r="E887" s="13">
        <v>35753</v>
      </c>
      <c r="F887" s="13">
        <v>93413</v>
      </c>
      <c r="G887" t="s">
        <v>836</v>
      </c>
    </row>
    <row r="888" spans="1:7" x14ac:dyDescent="0.3">
      <c r="A888" s="13" t="s">
        <v>193</v>
      </c>
      <c r="B888" s="13">
        <v>14.68</v>
      </c>
      <c r="C888" s="13">
        <v>1448232</v>
      </c>
      <c r="D888" s="13" t="s">
        <v>1055</v>
      </c>
      <c r="E888" s="13">
        <v>9456714</v>
      </c>
      <c r="F888" s="13">
        <v>27128692</v>
      </c>
      <c r="G888" t="s">
        <v>836</v>
      </c>
    </row>
    <row r="889" spans="1:7" x14ac:dyDescent="0.3">
      <c r="A889" s="13" t="s">
        <v>240</v>
      </c>
      <c r="B889" s="13">
        <v>555</v>
      </c>
      <c r="C889" s="13">
        <v>959</v>
      </c>
      <c r="D889" s="13" t="s">
        <v>1053</v>
      </c>
      <c r="E889" s="13">
        <v>19635</v>
      </c>
      <c r="F889" s="13">
        <v>27815</v>
      </c>
      <c r="G889" t="s">
        <v>836</v>
      </c>
    </row>
    <row r="890" spans="1:7" x14ac:dyDescent="0.3">
      <c r="A890" s="13" t="s">
        <v>157</v>
      </c>
      <c r="B890" s="13">
        <v>1962</v>
      </c>
      <c r="C890" s="13">
        <v>1484</v>
      </c>
      <c r="D890" s="13" t="s">
        <v>1054</v>
      </c>
      <c r="E890" s="13">
        <v>7370</v>
      </c>
      <c r="F890" s="13">
        <v>14325</v>
      </c>
      <c r="G890" t="s">
        <v>836</v>
      </c>
    </row>
    <row r="891" spans="1:7" x14ac:dyDescent="0.3">
      <c r="A891" s="13" t="s">
        <v>51</v>
      </c>
      <c r="B891" s="13">
        <v>2720</v>
      </c>
      <c r="C891" s="13">
        <v>5145</v>
      </c>
      <c r="D891" s="13" t="s">
        <v>1053</v>
      </c>
      <c r="E891" s="13">
        <v>9724</v>
      </c>
      <c r="F891" s="13">
        <v>31189</v>
      </c>
      <c r="G891" t="s">
        <v>836</v>
      </c>
    </row>
    <row r="892" spans="1:7" x14ac:dyDescent="0.3">
      <c r="A892" s="13" t="s">
        <v>962</v>
      </c>
      <c r="B892" s="13">
        <v>238.4</v>
      </c>
      <c r="C892" s="13">
        <v>10776</v>
      </c>
      <c r="D892" s="13" t="s">
        <v>1056</v>
      </c>
      <c r="E892" s="13">
        <v>79513</v>
      </c>
      <c r="F892" s="13">
        <v>252964</v>
      </c>
      <c r="G892" t="s">
        <v>836</v>
      </c>
    </row>
    <row r="893" spans="1:7" x14ac:dyDescent="0.3">
      <c r="A893" s="13" t="s">
        <v>238</v>
      </c>
      <c r="B893" s="13">
        <v>1495.2</v>
      </c>
      <c r="C893" s="13">
        <v>3084</v>
      </c>
      <c r="D893" s="13" t="s">
        <v>1053</v>
      </c>
      <c r="E893" s="13">
        <v>6017</v>
      </c>
      <c r="F893" s="13">
        <v>19078</v>
      </c>
      <c r="G893" t="s">
        <v>836</v>
      </c>
    </row>
    <row r="894" spans="1:7" x14ac:dyDescent="0.3">
      <c r="A894" s="13" t="s">
        <v>133</v>
      </c>
      <c r="B894" s="13">
        <v>11970</v>
      </c>
      <c r="C894" s="13">
        <v>936</v>
      </c>
      <c r="D894" s="13" t="s">
        <v>1055</v>
      </c>
      <c r="E894" s="13">
        <v>4249</v>
      </c>
      <c r="F894" s="13">
        <v>10179</v>
      </c>
      <c r="G894" t="s">
        <v>836</v>
      </c>
    </row>
    <row r="895" spans="1:7" x14ac:dyDescent="0.3">
      <c r="A895" s="13" t="s">
        <v>127</v>
      </c>
      <c r="B895" s="13">
        <v>1710.9</v>
      </c>
      <c r="C895" s="13">
        <v>19</v>
      </c>
      <c r="D895" s="13" t="s">
        <v>1056</v>
      </c>
      <c r="E895" s="13">
        <v>2367</v>
      </c>
      <c r="F895" s="13">
        <v>6013</v>
      </c>
      <c r="G895" t="s">
        <v>836</v>
      </c>
    </row>
    <row r="896" spans="1:7" x14ac:dyDescent="0.3">
      <c r="A896" s="13" t="s">
        <v>87</v>
      </c>
      <c r="B896" s="13">
        <v>414.95</v>
      </c>
      <c r="C896" s="13">
        <v>30529</v>
      </c>
      <c r="D896" s="13" t="s">
        <v>1053</v>
      </c>
      <c r="E896" s="13">
        <v>71866</v>
      </c>
      <c r="F896" s="13">
        <v>280900</v>
      </c>
      <c r="G896" t="s">
        <v>836</v>
      </c>
    </row>
    <row r="897" spans="1:7" x14ac:dyDescent="0.3">
      <c r="A897" s="13" t="s">
        <v>275</v>
      </c>
      <c r="B897" s="13">
        <v>335.5</v>
      </c>
      <c r="C897" s="13">
        <v>26515</v>
      </c>
      <c r="D897" s="13" t="s">
        <v>1053</v>
      </c>
      <c r="E897" s="13">
        <v>89921</v>
      </c>
      <c r="F897" s="13">
        <v>155105</v>
      </c>
      <c r="G897" t="s">
        <v>836</v>
      </c>
    </row>
    <row r="898" spans="1:7" x14ac:dyDescent="0.3">
      <c r="A898" s="13" t="s">
        <v>882</v>
      </c>
      <c r="B898" s="13">
        <v>113.8</v>
      </c>
      <c r="C898" s="13">
        <v>43693</v>
      </c>
      <c r="D898" s="13" t="s">
        <v>1054</v>
      </c>
      <c r="E898" s="13">
        <v>96594</v>
      </c>
      <c r="F898" s="13">
        <v>407449</v>
      </c>
      <c r="G898" t="s">
        <v>836</v>
      </c>
    </row>
    <row r="899" spans="1:7" x14ac:dyDescent="0.3">
      <c r="A899" s="13" t="s">
        <v>842</v>
      </c>
      <c r="B899" s="13">
        <v>1524.9</v>
      </c>
      <c r="C899" s="13">
        <v>3393</v>
      </c>
      <c r="D899" s="13" t="s">
        <v>1053</v>
      </c>
      <c r="E899" s="13">
        <v>8403</v>
      </c>
      <c r="F899" s="13">
        <v>103600</v>
      </c>
      <c r="G899" t="s">
        <v>836</v>
      </c>
    </row>
    <row r="900" spans="1:7" x14ac:dyDescent="0.3">
      <c r="A900" s="13" t="s">
        <v>319</v>
      </c>
      <c r="B900" s="13">
        <v>371</v>
      </c>
      <c r="C900" s="13">
        <v>10491</v>
      </c>
      <c r="D900" s="13" t="s">
        <v>1054</v>
      </c>
      <c r="E900" s="13">
        <v>163037</v>
      </c>
      <c r="F900" s="13">
        <v>375833</v>
      </c>
      <c r="G900" t="s">
        <v>836</v>
      </c>
    </row>
    <row r="901" spans="1:7" x14ac:dyDescent="0.3">
      <c r="A901" s="13" t="s">
        <v>325</v>
      </c>
      <c r="B901" s="13">
        <v>598</v>
      </c>
      <c r="C901" s="13">
        <v>2006</v>
      </c>
      <c r="D901" s="13" t="s">
        <v>1055</v>
      </c>
      <c r="E901" s="13">
        <v>25308</v>
      </c>
      <c r="F901" s="13">
        <v>35966</v>
      </c>
      <c r="G901" t="s">
        <v>836</v>
      </c>
    </row>
    <row r="902" spans="1:7" x14ac:dyDescent="0.3">
      <c r="A902" s="13" t="s">
        <v>93</v>
      </c>
      <c r="B902" s="13">
        <v>305</v>
      </c>
      <c r="C902" s="13">
        <v>24608</v>
      </c>
      <c r="D902" s="13" t="s">
        <v>1055</v>
      </c>
      <c r="E902" s="13">
        <v>63728</v>
      </c>
      <c r="F902" s="13">
        <v>184582</v>
      </c>
      <c r="G902" t="s">
        <v>836</v>
      </c>
    </row>
    <row r="903" spans="1:7" x14ac:dyDescent="0.3">
      <c r="A903" s="13" t="s">
        <v>942</v>
      </c>
      <c r="B903" s="13">
        <v>414.3</v>
      </c>
      <c r="C903" s="13">
        <v>6566</v>
      </c>
      <c r="D903" s="13" t="s">
        <v>1053</v>
      </c>
      <c r="E903" s="13">
        <v>17006</v>
      </c>
      <c r="F903" s="13">
        <v>26020</v>
      </c>
      <c r="G903" t="s">
        <v>836</v>
      </c>
    </row>
    <row r="904" spans="1:7" x14ac:dyDescent="0.3">
      <c r="A904" s="13" t="s">
        <v>866</v>
      </c>
      <c r="B904" s="13">
        <v>1335.8</v>
      </c>
      <c r="C904" s="13">
        <v>9150</v>
      </c>
      <c r="D904" s="13" t="s">
        <v>1055</v>
      </c>
      <c r="E904" s="13">
        <v>24466</v>
      </c>
      <c r="F904" s="13">
        <v>97210</v>
      </c>
      <c r="G904" t="s">
        <v>836</v>
      </c>
    </row>
    <row r="905" spans="1:7" x14ac:dyDescent="0.3">
      <c r="A905" s="13" t="s">
        <v>970</v>
      </c>
      <c r="B905" s="13">
        <v>3231.3</v>
      </c>
      <c r="C905" s="13">
        <v>90</v>
      </c>
      <c r="D905" s="13" t="s">
        <v>1056</v>
      </c>
      <c r="E905" s="13">
        <v>2245</v>
      </c>
      <c r="F905" s="13">
        <v>8278</v>
      </c>
      <c r="G905" t="s">
        <v>836</v>
      </c>
    </row>
    <row r="906" spans="1:7" x14ac:dyDescent="0.3">
      <c r="A906" s="13" t="s">
        <v>884</v>
      </c>
      <c r="B906" s="13">
        <v>2165</v>
      </c>
      <c r="C906" s="13">
        <v>400</v>
      </c>
      <c r="D906" s="13" t="s">
        <v>1055</v>
      </c>
      <c r="E906" s="13">
        <v>6195</v>
      </c>
      <c r="F906" s="13">
        <v>14061</v>
      </c>
      <c r="G906" t="s">
        <v>836</v>
      </c>
    </row>
    <row r="907" spans="1:7" x14ac:dyDescent="0.3">
      <c r="A907" s="13" t="s">
        <v>966</v>
      </c>
      <c r="B907" s="13">
        <v>18650</v>
      </c>
      <c r="C907" s="13">
        <v>229</v>
      </c>
      <c r="D907" s="13" t="s">
        <v>1057</v>
      </c>
      <c r="E907" s="13">
        <v>964</v>
      </c>
      <c r="F907" s="13">
        <v>8088</v>
      </c>
      <c r="G907" t="s">
        <v>836</v>
      </c>
    </row>
    <row r="908" spans="1:7" x14ac:dyDescent="0.3">
      <c r="A908" s="13" t="s">
        <v>606</v>
      </c>
      <c r="B908" s="13">
        <v>3136.8</v>
      </c>
      <c r="C908" s="13">
        <v>16669</v>
      </c>
      <c r="D908" s="13" t="s">
        <v>1055</v>
      </c>
      <c r="E908" s="13">
        <v>41638</v>
      </c>
      <c r="F908" s="13">
        <v>47014</v>
      </c>
      <c r="G908" t="s">
        <v>836</v>
      </c>
    </row>
    <row r="909" spans="1:7" x14ac:dyDescent="0.3">
      <c r="A909" s="13" t="s">
        <v>303</v>
      </c>
      <c r="B909" s="13">
        <v>1585</v>
      </c>
      <c r="C909" s="13">
        <v>1276</v>
      </c>
      <c r="D909" s="13" t="s">
        <v>1055</v>
      </c>
      <c r="E909" s="13">
        <v>7413</v>
      </c>
      <c r="F909" s="13">
        <v>14861</v>
      </c>
      <c r="G909" t="s">
        <v>836</v>
      </c>
    </row>
    <row r="910" spans="1:7" x14ac:dyDescent="0.3">
      <c r="A910" s="13" t="s">
        <v>185</v>
      </c>
      <c r="B910" s="13">
        <v>2186</v>
      </c>
      <c r="C910" s="13">
        <v>2559</v>
      </c>
      <c r="D910" s="13" t="s">
        <v>1053</v>
      </c>
      <c r="E910" s="13">
        <v>10744</v>
      </c>
      <c r="F910" s="13">
        <v>32276</v>
      </c>
      <c r="G910" t="s">
        <v>836</v>
      </c>
    </row>
    <row r="911" spans="1:7" x14ac:dyDescent="0.3">
      <c r="A911" s="13" t="s">
        <v>26</v>
      </c>
      <c r="B911" s="13">
        <v>6950</v>
      </c>
      <c r="C911" s="13">
        <v>204</v>
      </c>
      <c r="D911" s="13" t="s">
        <v>1058</v>
      </c>
      <c r="E911" s="13">
        <v>2279</v>
      </c>
      <c r="F911" s="13">
        <v>8504</v>
      </c>
      <c r="G911" t="s">
        <v>836</v>
      </c>
    </row>
    <row r="912" spans="1:7" x14ac:dyDescent="0.3">
      <c r="A912" s="13" t="s">
        <v>139</v>
      </c>
      <c r="B912" s="13">
        <v>7155</v>
      </c>
      <c r="C912" s="13">
        <v>8901</v>
      </c>
      <c r="D912" s="13" t="s">
        <v>1054</v>
      </c>
      <c r="E912" s="13">
        <v>14344</v>
      </c>
      <c r="F912" s="13">
        <v>16790</v>
      </c>
      <c r="G912" t="s">
        <v>836</v>
      </c>
    </row>
    <row r="913" spans="1:7" x14ac:dyDescent="0.3">
      <c r="A913" s="13" t="s">
        <v>123</v>
      </c>
      <c r="B913" s="13">
        <v>5680.5</v>
      </c>
      <c r="C913" s="13">
        <v>218</v>
      </c>
      <c r="D913" s="13" t="s">
        <v>1059</v>
      </c>
      <c r="E913" s="13">
        <v>1802</v>
      </c>
      <c r="F913" s="13">
        <v>3391</v>
      </c>
      <c r="G913" t="s">
        <v>836</v>
      </c>
    </row>
    <row r="914" spans="1:7" x14ac:dyDescent="0.3">
      <c r="A914" s="13" t="s">
        <v>938</v>
      </c>
      <c r="B914" s="13">
        <v>309.60000000000002</v>
      </c>
      <c r="C914" s="13">
        <v>3980</v>
      </c>
      <c r="D914" s="13" t="s">
        <v>1053</v>
      </c>
      <c r="E914" s="13">
        <v>12453</v>
      </c>
      <c r="F914" s="13">
        <v>76797</v>
      </c>
      <c r="G914" t="s">
        <v>836</v>
      </c>
    </row>
    <row r="915" spans="1:7" x14ac:dyDescent="0.3">
      <c r="A915" s="13" t="s">
        <v>896</v>
      </c>
      <c r="B915" s="13">
        <v>128.22999999999999</v>
      </c>
      <c r="C915" s="13">
        <v>10551</v>
      </c>
      <c r="D915" s="13" t="s">
        <v>1054</v>
      </c>
      <c r="E915" s="13">
        <v>126785</v>
      </c>
      <c r="F915" s="13">
        <v>898576</v>
      </c>
      <c r="G915" t="s">
        <v>836</v>
      </c>
    </row>
    <row r="916" spans="1:7" x14ac:dyDescent="0.3">
      <c r="A916" s="13" t="s">
        <v>329</v>
      </c>
      <c r="B916" s="13">
        <v>1050.9000000000001</v>
      </c>
      <c r="C916" s="13">
        <v>50269</v>
      </c>
      <c r="D916" s="13" t="s">
        <v>1053</v>
      </c>
      <c r="E916" s="13">
        <v>77377</v>
      </c>
      <c r="F916" s="13">
        <v>233084</v>
      </c>
      <c r="G916" t="s">
        <v>836</v>
      </c>
    </row>
    <row r="917" spans="1:7" x14ac:dyDescent="0.3">
      <c r="A917" s="13" t="s">
        <v>860</v>
      </c>
      <c r="B917" s="13">
        <v>1609.9</v>
      </c>
      <c r="C917" s="13">
        <v>277</v>
      </c>
      <c r="D917" s="13" t="s">
        <v>1052</v>
      </c>
      <c r="E917" s="13">
        <v>4466</v>
      </c>
      <c r="F917" s="13">
        <v>7139</v>
      </c>
      <c r="G917" t="s">
        <v>836</v>
      </c>
    </row>
    <row r="918" spans="1:7" x14ac:dyDescent="0.3">
      <c r="A918" s="13" t="s">
        <v>197</v>
      </c>
      <c r="B918" s="13">
        <v>78.900000000000006</v>
      </c>
      <c r="C918" s="13">
        <v>16749</v>
      </c>
      <c r="D918" s="13" t="s">
        <v>1057</v>
      </c>
      <c r="E918" s="13">
        <v>177214</v>
      </c>
      <c r="F918" s="13">
        <v>645907</v>
      </c>
      <c r="G918" t="s">
        <v>836</v>
      </c>
    </row>
    <row r="919" spans="1:7" x14ac:dyDescent="0.3">
      <c r="A919" s="13" t="s">
        <v>864</v>
      </c>
      <c r="B919" s="13">
        <v>792</v>
      </c>
      <c r="C919" s="13">
        <v>2598</v>
      </c>
      <c r="D919" s="13" t="s">
        <v>1059</v>
      </c>
      <c r="E919" s="13">
        <v>9500</v>
      </c>
      <c r="F919" s="13">
        <v>37132</v>
      </c>
      <c r="G919" t="s">
        <v>836</v>
      </c>
    </row>
    <row r="920" spans="1:7" x14ac:dyDescent="0.3">
      <c r="A920" s="13" t="s">
        <v>57</v>
      </c>
      <c r="B920" s="13">
        <v>1051.2</v>
      </c>
      <c r="C920" s="13">
        <v>1040</v>
      </c>
      <c r="D920" s="13" t="s">
        <v>1052</v>
      </c>
      <c r="E920" s="13">
        <v>3996</v>
      </c>
      <c r="F920" s="13">
        <v>18646</v>
      </c>
      <c r="G920" t="s">
        <v>836</v>
      </c>
    </row>
    <row r="921" spans="1:7" x14ac:dyDescent="0.3">
      <c r="A921" s="13" t="s">
        <v>988</v>
      </c>
      <c r="B921" s="13">
        <v>515.04999999999995</v>
      </c>
      <c r="C921" s="13">
        <v>6784</v>
      </c>
      <c r="D921" s="13" t="s">
        <v>1055</v>
      </c>
      <c r="E921" s="13">
        <v>26249</v>
      </c>
      <c r="F921" s="13">
        <v>154343</v>
      </c>
      <c r="G921" t="s">
        <v>836</v>
      </c>
    </row>
    <row r="922" spans="1:7" x14ac:dyDescent="0.3">
      <c r="A922" s="13" t="s">
        <v>91</v>
      </c>
      <c r="B922" s="13">
        <v>40750</v>
      </c>
      <c r="C922" s="13">
        <v>24</v>
      </c>
      <c r="D922" s="13" t="s">
        <v>1052</v>
      </c>
      <c r="E922" s="13">
        <v>223</v>
      </c>
      <c r="F922" s="13">
        <v>641</v>
      </c>
      <c r="G922" t="s">
        <v>836</v>
      </c>
    </row>
    <row r="923" spans="1:7" x14ac:dyDescent="0.3">
      <c r="A923" s="13" t="s">
        <v>165</v>
      </c>
      <c r="B923" s="13">
        <v>4431</v>
      </c>
      <c r="C923" s="13">
        <v>1691</v>
      </c>
      <c r="D923" s="13" t="s">
        <v>1054</v>
      </c>
      <c r="E923" s="13">
        <v>5772</v>
      </c>
      <c r="F923" s="13">
        <v>28489</v>
      </c>
      <c r="G923" t="s">
        <v>836</v>
      </c>
    </row>
    <row r="924" spans="1:7" x14ac:dyDescent="0.3">
      <c r="A924" s="13" t="s">
        <v>954</v>
      </c>
      <c r="B924" s="13">
        <v>34250</v>
      </c>
      <c r="C924" s="13">
        <v>428</v>
      </c>
      <c r="D924" s="13" t="s">
        <v>1055</v>
      </c>
      <c r="E924" s="13">
        <v>905</v>
      </c>
      <c r="F924" s="13">
        <v>3846</v>
      </c>
      <c r="G924" t="s">
        <v>836</v>
      </c>
    </row>
    <row r="925" spans="1:7" x14ac:dyDescent="0.3">
      <c r="A925" s="13" t="s">
        <v>311</v>
      </c>
      <c r="B925" s="13">
        <v>287.55</v>
      </c>
      <c r="C925" s="13">
        <v>34292</v>
      </c>
      <c r="D925" s="13" t="s">
        <v>1055</v>
      </c>
      <c r="E925" s="13">
        <v>74762</v>
      </c>
      <c r="F925" s="13">
        <v>139948</v>
      </c>
      <c r="G925" t="s">
        <v>836</v>
      </c>
    </row>
    <row r="926" spans="1:7" x14ac:dyDescent="0.3">
      <c r="A926" s="13" t="s">
        <v>914</v>
      </c>
      <c r="B926" s="13">
        <v>434.7</v>
      </c>
      <c r="C926" s="13">
        <v>3361</v>
      </c>
      <c r="D926" s="13" t="s">
        <v>1054</v>
      </c>
      <c r="E926" s="13">
        <v>93113</v>
      </c>
      <c r="F926" s="13">
        <v>241773</v>
      </c>
      <c r="G926" t="s">
        <v>836</v>
      </c>
    </row>
    <row r="927" spans="1:7" x14ac:dyDescent="0.3">
      <c r="A927" s="13" t="s">
        <v>880</v>
      </c>
      <c r="B927" s="13">
        <v>949</v>
      </c>
      <c r="C927" s="13">
        <v>1202</v>
      </c>
      <c r="D927" s="13" t="s">
        <v>1054</v>
      </c>
      <c r="E927" s="13">
        <v>5325</v>
      </c>
      <c r="F927" s="13">
        <v>15453</v>
      </c>
      <c r="G927" t="s">
        <v>836</v>
      </c>
    </row>
    <row r="928" spans="1:7" x14ac:dyDescent="0.3">
      <c r="A928" s="13" t="s">
        <v>972</v>
      </c>
      <c r="B928" s="13">
        <v>58.35</v>
      </c>
      <c r="C928" s="13">
        <v>219296</v>
      </c>
      <c r="D928" s="13" t="s">
        <v>1055</v>
      </c>
      <c r="E928" s="13">
        <v>1768063</v>
      </c>
      <c r="F928" s="13">
        <v>5108679</v>
      </c>
      <c r="G928" t="s">
        <v>836</v>
      </c>
    </row>
    <row r="929" spans="1:7" x14ac:dyDescent="0.3">
      <c r="A929" s="13" t="s">
        <v>337</v>
      </c>
      <c r="B929" s="13">
        <v>2739.9</v>
      </c>
      <c r="C929" s="13">
        <v>129</v>
      </c>
      <c r="D929" s="13" t="s">
        <v>1056</v>
      </c>
      <c r="E929" s="13">
        <v>9063</v>
      </c>
      <c r="F929" s="13">
        <v>9706</v>
      </c>
      <c r="G929" t="s">
        <v>836</v>
      </c>
    </row>
    <row r="930" spans="1:7" x14ac:dyDescent="0.3">
      <c r="A930" s="13" t="s">
        <v>199</v>
      </c>
      <c r="B930" s="13">
        <v>123</v>
      </c>
      <c r="C930" s="13">
        <v>91441</v>
      </c>
      <c r="D930" s="13" t="s">
        <v>1055</v>
      </c>
      <c r="E930" s="13">
        <v>110497</v>
      </c>
      <c r="F930" s="13">
        <v>426127</v>
      </c>
      <c r="G930" t="s">
        <v>836</v>
      </c>
    </row>
    <row r="931" spans="1:7" x14ac:dyDescent="0.3">
      <c r="A931" s="13" t="s">
        <v>948</v>
      </c>
      <c r="B931" s="13">
        <v>2007</v>
      </c>
      <c r="C931" s="13">
        <v>3033</v>
      </c>
      <c r="D931" s="13" t="s">
        <v>1053</v>
      </c>
      <c r="E931" s="13">
        <v>1250</v>
      </c>
      <c r="F931" s="13">
        <v>6624</v>
      </c>
      <c r="G931" t="s">
        <v>836</v>
      </c>
    </row>
    <row r="932" spans="1:7" x14ac:dyDescent="0.3">
      <c r="A932" s="13" t="s">
        <v>85</v>
      </c>
      <c r="B932" s="13">
        <v>1860.8</v>
      </c>
      <c r="C932" s="13">
        <v>150173</v>
      </c>
      <c r="D932" s="13" t="s">
        <v>1055</v>
      </c>
      <c r="E932" s="13">
        <v>35401</v>
      </c>
      <c r="F932" s="13">
        <v>49895</v>
      </c>
      <c r="G932" t="s">
        <v>836</v>
      </c>
    </row>
    <row r="933" spans="1:7" x14ac:dyDescent="0.3">
      <c r="A933" s="13" t="s">
        <v>67</v>
      </c>
      <c r="B933" s="13">
        <v>994.7</v>
      </c>
      <c r="C933" s="13">
        <v>332289</v>
      </c>
      <c r="D933" s="13" t="s">
        <v>1053</v>
      </c>
      <c r="E933" s="13">
        <v>15298</v>
      </c>
      <c r="F933" s="13">
        <v>132193</v>
      </c>
      <c r="G933" t="s">
        <v>836</v>
      </c>
    </row>
    <row r="934" spans="1:7" x14ac:dyDescent="0.3">
      <c r="A934" s="13" t="s">
        <v>940</v>
      </c>
      <c r="B934" s="13">
        <v>415</v>
      </c>
      <c r="C934" s="13">
        <v>6321</v>
      </c>
      <c r="D934" s="13" t="s">
        <v>1055</v>
      </c>
      <c r="E934" s="13">
        <v>23547</v>
      </c>
      <c r="F934" s="13">
        <v>87924</v>
      </c>
      <c r="G934" t="s">
        <v>836</v>
      </c>
    </row>
    <row r="935" spans="1:7" x14ac:dyDescent="0.3">
      <c r="A935" s="13" t="s">
        <v>886</v>
      </c>
      <c r="B935" s="13">
        <v>4850</v>
      </c>
      <c r="C935" s="13">
        <v>3662</v>
      </c>
      <c r="D935" s="13" t="s">
        <v>1055</v>
      </c>
      <c r="E935" s="13">
        <v>6729</v>
      </c>
      <c r="F935" s="13">
        <v>12921</v>
      </c>
      <c r="G935" t="s">
        <v>836</v>
      </c>
    </row>
    <row r="936" spans="1:7" x14ac:dyDescent="0.3">
      <c r="A936" s="13" t="s">
        <v>30</v>
      </c>
      <c r="B936" s="13">
        <v>392.5</v>
      </c>
      <c r="C936" s="13">
        <v>4724</v>
      </c>
      <c r="D936" s="13" t="s">
        <v>1052</v>
      </c>
      <c r="E936" s="13">
        <v>21822</v>
      </c>
      <c r="F936" s="13">
        <v>113088</v>
      </c>
      <c r="G936" t="s">
        <v>836</v>
      </c>
    </row>
    <row r="937" spans="1:7" x14ac:dyDescent="0.3">
      <c r="A937" s="13" t="s">
        <v>323</v>
      </c>
      <c r="B937" s="13">
        <v>168</v>
      </c>
      <c r="C937" s="13">
        <v>36402</v>
      </c>
      <c r="D937" s="13" t="s">
        <v>1055</v>
      </c>
      <c r="E937" s="13">
        <v>116999</v>
      </c>
      <c r="F937" s="13">
        <v>452823</v>
      </c>
      <c r="G937" t="s">
        <v>836</v>
      </c>
    </row>
    <row r="938" spans="1:7" x14ac:dyDescent="0.3">
      <c r="A938" s="13" t="s">
        <v>173</v>
      </c>
      <c r="B938" s="13">
        <v>795</v>
      </c>
      <c r="C938" s="13">
        <v>566154</v>
      </c>
      <c r="D938" s="13" t="s">
        <v>1053</v>
      </c>
      <c r="E938" s="13">
        <v>401025</v>
      </c>
      <c r="F938" s="13">
        <v>687436</v>
      </c>
      <c r="G938" t="s">
        <v>836</v>
      </c>
    </row>
    <row r="939" spans="1:7" x14ac:dyDescent="0.3">
      <c r="A939" s="13" t="s">
        <v>291</v>
      </c>
      <c r="B939" s="13">
        <v>234</v>
      </c>
      <c r="C939" s="13">
        <v>39732</v>
      </c>
      <c r="D939" s="13" t="s">
        <v>1053</v>
      </c>
      <c r="E939" s="13">
        <v>174614</v>
      </c>
      <c r="F939" s="13">
        <v>433387</v>
      </c>
      <c r="G939" t="s">
        <v>836</v>
      </c>
    </row>
    <row r="940" spans="1:7" x14ac:dyDescent="0.3">
      <c r="A940" s="13" t="s">
        <v>41</v>
      </c>
      <c r="B940" s="13">
        <v>5545</v>
      </c>
      <c r="C940" s="13">
        <v>262</v>
      </c>
      <c r="D940" s="13" t="s">
        <v>1059</v>
      </c>
      <c r="E940" s="13">
        <v>518</v>
      </c>
      <c r="F940" s="13">
        <v>2196</v>
      </c>
      <c r="G940" t="s">
        <v>836</v>
      </c>
    </row>
    <row r="941" spans="1:7" x14ac:dyDescent="0.3">
      <c r="A941" s="13" t="s">
        <v>113</v>
      </c>
      <c r="B941" s="13">
        <v>2064.1999999999998</v>
      </c>
      <c r="C941" s="13">
        <v>595</v>
      </c>
      <c r="D941" s="13" t="s">
        <v>1056</v>
      </c>
      <c r="E941" s="13">
        <v>5444</v>
      </c>
      <c r="F941" s="13">
        <v>21363</v>
      </c>
      <c r="G941" t="s">
        <v>836</v>
      </c>
    </row>
    <row r="942" spans="1:7" x14ac:dyDescent="0.3">
      <c r="A942" s="13" t="s">
        <v>233</v>
      </c>
      <c r="B942" s="13">
        <v>400.45</v>
      </c>
      <c r="C942" s="13">
        <v>23549</v>
      </c>
      <c r="D942" s="13" t="s">
        <v>1055</v>
      </c>
      <c r="E942" s="13">
        <v>49689</v>
      </c>
      <c r="F942" s="13">
        <v>170200</v>
      </c>
      <c r="G942" t="s">
        <v>836</v>
      </c>
    </row>
    <row r="943" spans="1:7" x14ac:dyDescent="0.3">
      <c r="A943" s="13" t="s">
        <v>213</v>
      </c>
      <c r="B943" s="13">
        <v>389</v>
      </c>
      <c r="C943" s="13">
        <v>2025</v>
      </c>
      <c r="D943" s="13" t="s">
        <v>1057</v>
      </c>
      <c r="E943" s="13">
        <v>24857</v>
      </c>
      <c r="F943" s="13">
        <v>100569</v>
      </c>
      <c r="G943" t="s">
        <v>836</v>
      </c>
    </row>
    <row r="944" spans="1:7" x14ac:dyDescent="0.3">
      <c r="A944" s="13" t="s">
        <v>171</v>
      </c>
      <c r="B944" s="13">
        <v>2747</v>
      </c>
      <c r="C944" s="13">
        <v>3476</v>
      </c>
      <c r="D944" s="13" t="s">
        <v>1053</v>
      </c>
      <c r="E944" s="13">
        <v>3672</v>
      </c>
      <c r="F944" s="13">
        <v>12015</v>
      </c>
      <c r="G944" t="s">
        <v>836</v>
      </c>
    </row>
    <row r="945" spans="1:7" x14ac:dyDescent="0.3">
      <c r="A945" s="13" t="s">
        <v>135</v>
      </c>
      <c r="B945" s="13">
        <v>649.04999999999995</v>
      </c>
      <c r="C945" s="13">
        <v>20038</v>
      </c>
      <c r="D945" s="13" t="s">
        <v>1055</v>
      </c>
      <c r="E945" s="13">
        <v>47326</v>
      </c>
      <c r="F945" s="13">
        <v>70907</v>
      </c>
      <c r="G945" t="s">
        <v>836</v>
      </c>
    </row>
    <row r="946" spans="1:7" x14ac:dyDescent="0.3">
      <c r="A946" s="13" t="s">
        <v>252</v>
      </c>
      <c r="B946" s="13">
        <v>316.7</v>
      </c>
      <c r="C946" s="13">
        <v>4932</v>
      </c>
      <c r="D946" s="13" t="s">
        <v>1054</v>
      </c>
      <c r="E946" s="13">
        <v>15888</v>
      </c>
      <c r="F946" s="13">
        <v>82132</v>
      </c>
      <c r="G946" t="s">
        <v>836</v>
      </c>
    </row>
    <row r="947" spans="1:7" x14ac:dyDescent="0.3">
      <c r="A947" s="13" t="s">
        <v>45</v>
      </c>
      <c r="B947" s="13">
        <v>8620</v>
      </c>
      <c r="C947" s="13">
        <v>496</v>
      </c>
      <c r="D947" s="13" t="s">
        <v>1059</v>
      </c>
      <c r="E947" s="13">
        <v>1813</v>
      </c>
      <c r="F947" s="13">
        <v>3565</v>
      </c>
      <c r="G947" t="s">
        <v>836</v>
      </c>
    </row>
    <row r="948" spans="1:7" x14ac:dyDescent="0.3">
      <c r="A948" s="13" t="s">
        <v>870</v>
      </c>
      <c r="B948" s="13">
        <v>1504.9</v>
      </c>
      <c r="C948" s="13">
        <v>3441</v>
      </c>
      <c r="D948" s="13" t="s">
        <v>1052</v>
      </c>
      <c r="E948" s="13">
        <v>17448</v>
      </c>
      <c r="F948" s="13">
        <v>42547</v>
      </c>
      <c r="G948" t="s">
        <v>836</v>
      </c>
    </row>
    <row r="949" spans="1:7" x14ac:dyDescent="0.3">
      <c r="A949" s="13" t="s">
        <v>254</v>
      </c>
      <c r="B949" s="13">
        <v>851.65</v>
      </c>
      <c r="C949" s="13">
        <v>4609</v>
      </c>
      <c r="D949" s="13" t="s">
        <v>1055</v>
      </c>
      <c r="E949" s="13">
        <v>13494</v>
      </c>
      <c r="F949" s="13">
        <v>17465</v>
      </c>
      <c r="G949" t="s">
        <v>836</v>
      </c>
    </row>
    <row r="950" spans="1:7" x14ac:dyDescent="0.3">
      <c r="A950" s="13" t="s">
        <v>952</v>
      </c>
      <c r="B950" s="13">
        <v>1685.7</v>
      </c>
      <c r="C950" s="13">
        <v>2120</v>
      </c>
      <c r="D950" s="13" t="s">
        <v>1055</v>
      </c>
      <c r="E950" s="13">
        <v>4706</v>
      </c>
      <c r="F950" s="13">
        <v>7612</v>
      </c>
      <c r="G950" t="s">
        <v>836</v>
      </c>
    </row>
    <row r="951" spans="1:7" x14ac:dyDescent="0.3">
      <c r="A951" s="13" t="s">
        <v>858</v>
      </c>
      <c r="B951" s="13">
        <v>1380.3</v>
      </c>
      <c r="C951" s="13">
        <v>2624</v>
      </c>
      <c r="D951" s="13" t="s">
        <v>1052</v>
      </c>
      <c r="E951" s="13">
        <v>11306</v>
      </c>
      <c r="F951" s="13">
        <v>66972</v>
      </c>
      <c r="G951" t="s">
        <v>836</v>
      </c>
    </row>
    <row r="952" spans="1:7" x14ac:dyDescent="0.3">
      <c r="A952" s="13" t="s">
        <v>982</v>
      </c>
      <c r="B952" s="13">
        <v>175</v>
      </c>
      <c r="C952" s="13">
        <v>49726</v>
      </c>
      <c r="D952" s="13" t="s">
        <v>1055</v>
      </c>
      <c r="E952" s="13">
        <v>266365</v>
      </c>
      <c r="F952" s="13">
        <v>641241</v>
      </c>
      <c r="G952" t="s">
        <v>836</v>
      </c>
    </row>
    <row r="953" spans="1:7" x14ac:dyDescent="0.3">
      <c r="A953" s="13" t="s">
        <v>994</v>
      </c>
      <c r="B953" s="13">
        <v>24.6</v>
      </c>
      <c r="C953" s="13">
        <v>236774</v>
      </c>
      <c r="D953" s="13" t="s">
        <v>1055</v>
      </c>
      <c r="E953" s="13">
        <v>1346534</v>
      </c>
      <c r="F953" s="13">
        <v>5920369</v>
      </c>
      <c r="G953" t="s">
        <v>836</v>
      </c>
    </row>
    <row r="954" spans="1:7" x14ac:dyDescent="0.3">
      <c r="A954" s="13" t="s">
        <v>377</v>
      </c>
      <c r="B954" s="13">
        <v>1282.0999999999999</v>
      </c>
      <c r="C954" s="13">
        <v>1056</v>
      </c>
      <c r="D954" s="13" t="s">
        <v>1056</v>
      </c>
      <c r="E954" s="13">
        <v>9794</v>
      </c>
      <c r="F954" s="13">
        <v>11458</v>
      </c>
      <c r="G954" t="s">
        <v>836</v>
      </c>
    </row>
    <row r="955" spans="1:7" x14ac:dyDescent="0.3">
      <c r="A955" s="13" t="s">
        <v>137</v>
      </c>
      <c r="B955" s="13">
        <v>1339.9</v>
      </c>
      <c r="C955" s="13">
        <v>1378</v>
      </c>
      <c r="D955" s="13" t="s">
        <v>1054</v>
      </c>
      <c r="E955" s="13">
        <v>6929</v>
      </c>
      <c r="F955" s="13">
        <v>30202</v>
      </c>
      <c r="G955" t="s">
        <v>836</v>
      </c>
    </row>
    <row r="956" spans="1:7" x14ac:dyDescent="0.3">
      <c r="A956" s="13" t="s">
        <v>874</v>
      </c>
      <c r="B956" s="13">
        <v>4328.6000000000004</v>
      </c>
      <c r="C956" s="13">
        <v>882</v>
      </c>
      <c r="D956" s="13" t="s">
        <v>1054</v>
      </c>
      <c r="E956" s="13">
        <v>2380</v>
      </c>
      <c r="F956" s="13">
        <v>17403</v>
      </c>
      <c r="G956" t="s">
        <v>836</v>
      </c>
    </row>
    <row r="957" spans="1:7" x14ac:dyDescent="0.3">
      <c r="A957" s="13" t="s">
        <v>125</v>
      </c>
      <c r="B957" s="13">
        <v>444.75</v>
      </c>
      <c r="C957" s="13">
        <v>7600</v>
      </c>
      <c r="D957" s="13" t="s">
        <v>1053</v>
      </c>
      <c r="E957" s="13">
        <v>55200</v>
      </c>
      <c r="F957" s="13">
        <v>65879</v>
      </c>
      <c r="G957" t="s">
        <v>836</v>
      </c>
    </row>
    <row r="958" spans="1:7" x14ac:dyDescent="0.3">
      <c r="A958" s="13" t="s">
        <v>900</v>
      </c>
      <c r="B958" s="13">
        <v>240.01</v>
      </c>
      <c r="C958" s="13">
        <v>29975</v>
      </c>
      <c r="D958" s="13" t="s">
        <v>1055</v>
      </c>
      <c r="E958" s="13">
        <v>318879</v>
      </c>
      <c r="F958" s="13">
        <v>645055</v>
      </c>
      <c r="G958" t="s">
        <v>836</v>
      </c>
    </row>
    <row r="959" spans="1:7" x14ac:dyDescent="0.3">
      <c r="A959" s="13" t="s">
        <v>211</v>
      </c>
      <c r="B959" s="13">
        <v>941.6</v>
      </c>
      <c r="C959" s="13">
        <v>1759</v>
      </c>
      <c r="D959" s="13" t="s">
        <v>1055</v>
      </c>
      <c r="E959" s="13">
        <v>11830</v>
      </c>
      <c r="F959" s="13">
        <v>52176</v>
      </c>
      <c r="G959" t="s">
        <v>836</v>
      </c>
    </row>
    <row r="960" spans="1:7" x14ac:dyDescent="0.3">
      <c r="A960" s="13" t="s">
        <v>147</v>
      </c>
      <c r="B960" s="13">
        <v>174.5</v>
      </c>
      <c r="C960" s="13">
        <v>9368</v>
      </c>
      <c r="D960" s="13" t="s">
        <v>1054</v>
      </c>
      <c r="E960" s="13">
        <v>44435</v>
      </c>
      <c r="F960" s="13">
        <v>256276</v>
      </c>
      <c r="G960" t="s">
        <v>836</v>
      </c>
    </row>
    <row r="961" spans="1:7" x14ac:dyDescent="0.3">
      <c r="A961" s="13" t="s">
        <v>846</v>
      </c>
      <c r="B961" s="13">
        <v>226.87</v>
      </c>
      <c r="C961" s="13">
        <v>63780</v>
      </c>
      <c r="D961" s="13" t="s">
        <v>1055</v>
      </c>
      <c r="E961" s="13">
        <v>152438</v>
      </c>
      <c r="F961" s="13">
        <v>861272</v>
      </c>
      <c r="G961" t="s">
        <v>836</v>
      </c>
    </row>
    <row r="962" spans="1:7" x14ac:dyDescent="0.3">
      <c r="A962" s="13" t="s">
        <v>365</v>
      </c>
      <c r="B962" s="13">
        <v>3290.5</v>
      </c>
      <c r="C962" s="13">
        <v>1804</v>
      </c>
      <c r="D962" s="13" t="s">
        <v>1053</v>
      </c>
      <c r="E962" s="13">
        <v>6333</v>
      </c>
      <c r="F962" s="13">
        <v>26500</v>
      </c>
      <c r="G962" t="s">
        <v>836</v>
      </c>
    </row>
    <row r="963" spans="1:7" x14ac:dyDescent="0.3">
      <c r="A963" s="13" t="s">
        <v>844</v>
      </c>
      <c r="B963" s="13">
        <v>1535.1</v>
      </c>
      <c r="C963" s="13">
        <v>5271</v>
      </c>
      <c r="D963" s="13" t="s">
        <v>1056</v>
      </c>
      <c r="E963" s="13">
        <v>14916</v>
      </c>
      <c r="F963" s="13">
        <v>76375</v>
      </c>
      <c r="G963" t="s">
        <v>836</v>
      </c>
    </row>
    <row r="964" spans="1:7" x14ac:dyDescent="0.3">
      <c r="A964" s="13" t="s">
        <v>79</v>
      </c>
      <c r="B964" s="13">
        <v>416.25</v>
      </c>
      <c r="C964" s="13">
        <v>102626</v>
      </c>
      <c r="D964" s="13" t="s">
        <v>1053</v>
      </c>
      <c r="E964" s="13">
        <v>162432</v>
      </c>
      <c r="F964" s="13">
        <v>782303</v>
      </c>
      <c r="G964" t="s">
        <v>836</v>
      </c>
    </row>
    <row r="965" spans="1:7" x14ac:dyDescent="0.3">
      <c r="A965" s="13" t="s">
        <v>73</v>
      </c>
      <c r="B965" s="13">
        <v>205.04</v>
      </c>
      <c r="C965" s="13">
        <v>8578</v>
      </c>
      <c r="D965" s="13" t="s">
        <v>1056</v>
      </c>
      <c r="E965" s="13">
        <v>52632</v>
      </c>
      <c r="F965" s="13">
        <v>313957</v>
      </c>
      <c r="G965" t="s">
        <v>836</v>
      </c>
    </row>
    <row r="966" spans="1:7" x14ac:dyDescent="0.3">
      <c r="A966" s="13" t="s">
        <v>850</v>
      </c>
      <c r="B966" s="13">
        <v>340.4</v>
      </c>
      <c r="C966" s="13">
        <v>9543</v>
      </c>
      <c r="D966" s="13" t="s">
        <v>1058</v>
      </c>
      <c r="E966" s="13">
        <v>30774</v>
      </c>
      <c r="F966" s="13">
        <v>193334</v>
      </c>
      <c r="G966" t="s">
        <v>836</v>
      </c>
    </row>
    <row r="967" spans="1:7" x14ac:dyDescent="0.3">
      <c r="A967" s="13" t="s">
        <v>363</v>
      </c>
      <c r="B967" s="13">
        <v>4672</v>
      </c>
      <c r="C967" s="13">
        <v>346</v>
      </c>
      <c r="D967" s="13" t="s">
        <v>1055</v>
      </c>
      <c r="E967" s="13">
        <v>414</v>
      </c>
      <c r="F967" s="13">
        <v>2853</v>
      </c>
      <c r="G967" t="s">
        <v>836</v>
      </c>
    </row>
    <row r="968" spans="1:7" x14ac:dyDescent="0.3">
      <c r="A968" s="13" t="s">
        <v>307</v>
      </c>
      <c r="B968" s="13">
        <v>108.26</v>
      </c>
      <c r="C968" s="13">
        <v>42629</v>
      </c>
      <c r="D968" s="13" t="s">
        <v>1054</v>
      </c>
      <c r="E968" s="13">
        <v>295969</v>
      </c>
      <c r="F968" s="13">
        <v>1010525</v>
      </c>
      <c r="G968" t="s">
        <v>836</v>
      </c>
    </row>
    <row r="969" spans="1:7" x14ac:dyDescent="0.3">
      <c r="A969" s="13" t="s">
        <v>936</v>
      </c>
      <c r="B969" s="13">
        <v>1800</v>
      </c>
      <c r="C969" s="13">
        <v>146</v>
      </c>
      <c r="D969" s="13" t="s">
        <v>1053</v>
      </c>
      <c r="E969" s="13">
        <v>2770</v>
      </c>
      <c r="F969" s="13">
        <v>7450</v>
      </c>
      <c r="G969" t="s">
        <v>836</v>
      </c>
    </row>
    <row r="970" spans="1:7" x14ac:dyDescent="0.3">
      <c r="A970" s="13" t="s">
        <v>371</v>
      </c>
      <c r="B970" s="13">
        <v>11531</v>
      </c>
      <c r="C970" s="13">
        <v>341</v>
      </c>
      <c r="D970" s="13" t="s">
        <v>1056</v>
      </c>
      <c r="E970" s="13">
        <v>2198</v>
      </c>
      <c r="F970" s="13">
        <v>5262</v>
      </c>
      <c r="G970" t="s">
        <v>836</v>
      </c>
    </row>
    <row r="971" spans="1:7" x14ac:dyDescent="0.3">
      <c r="A971" s="13" t="s">
        <v>920</v>
      </c>
      <c r="B971" s="13">
        <v>3570.1</v>
      </c>
      <c r="C971" s="13">
        <v>833</v>
      </c>
      <c r="D971" s="13" t="s">
        <v>1053</v>
      </c>
      <c r="E971" s="13">
        <v>6296</v>
      </c>
      <c r="F971" s="13">
        <v>8520</v>
      </c>
      <c r="G971" t="s">
        <v>836</v>
      </c>
    </row>
    <row r="972" spans="1:7" x14ac:dyDescent="0.3">
      <c r="A972" s="13" t="s">
        <v>906</v>
      </c>
      <c r="B972" s="13">
        <v>3173</v>
      </c>
      <c r="C972" s="13">
        <v>1665</v>
      </c>
      <c r="D972" s="13" t="s">
        <v>1054</v>
      </c>
      <c r="E972" s="13">
        <v>15731</v>
      </c>
      <c r="F972" s="13">
        <v>27377</v>
      </c>
      <c r="G972" t="s">
        <v>836</v>
      </c>
    </row>
    <row r="973" spans="1:7" x14ac:dyDescent="0.3">
      <c r="A973" s="13" t="s">
        <v>183</v>
      </c>
      <c r="B973" s="13">
        <v>394.95</v>
      </c>
      <c r="C973" s="13">
        <v>20649</v>
      </c>
      <c r="D973" s="13" t="s">
        <v>1055</v>
      </c>
      <c r="E973" s="13">
        <v>83940</v>
      </c>
      <c r="F973" s="13">
        <v>195859</v>
      </c>
      <c r="G973" t="s">
        <v>836</v>
      </c>
    </row>
    <row r="974" spans="1:7" x14ac:dyDescent="0.3">
      <c r="A974" s="13" t="s">
        <v>175</v>
      </c>
      <c r="B974" s="13">
        <v>574.29999999999995</v>
      </c>
      <c r="C974" s="13">
        <v>4428</v>
      </c>
      <c r="D974" s="13" t="s">
        <v>1053</v>
      </c>
      <c r="E974" s="13">
        <v>40918</v>
      </c>
      <c r="F974" s="13">
        <v>52983</v>
      </c>
      <c r="G974" t="s">
        <v>836</v>
      </c>
    </row>
    <row r="975" spans="1:7" x14ac:dyDescent="0.3">
      <c r="A975" s="13" t="s">
        <v>191</v>
      </c>
      <c r="B975" s="13">
        <v>496.9</v>
      </c>
      <c r="C975" s="13">
        <v>1091</v>
      </c>
      <c r="D975" s="13" t="s">
        <v>1054</v>
      </c>
      <c r="E975" s="13">
        <v>22441</v>
      </c>
      <c r="F975" s="13">
        <v>22753</v>
      </c>
      <c r="G975" t="s">
        <v>836</v>
      </c>
    </row>
    <row r="976" spans="1:7" x14ac:dyDescent="0.3">
      <c r="A976" s="13" t="s">
        <v>75</v>
      </c>
      <c r="B976" s="13">
        <v>273.5</v>
      </c>
      <c r="C976" s="13">
        <v>10236</v>
      </c>
      <c r="D976" s="13" t="s">
        <v>1058</v>
      </c>
      <c r="E976" s="13">
        <v>155674</v>
      </c>
      <c r="F976" s="13">
        <v>322624</v>
      </c>
      <c r="G976" t="s">
        <v>836</v>
      </c>
    </row>
    <row r="977" spans="1:7" x14ac:dyDescent="0.3">
      <c r="A977" s="13" t="s">
        <v>273</v>
      </c>
      <c r="B977" s="13">
        <v>2935</v>
      </c>
      <c r="C977" s="13">
        <v>1266</v>
      </c>
      <c r="D977" s="13" t="s">
        <v>1054</v>
      </c>
      <c r="E977" s="13">
        <v>6166</v>
      </c>
      <c r="F977" s="13">
        <v>6496</v>
      </c>
      <c r="G977" t="s">
        <v>836</v>
      </c>
    </row>
    <row r="978" spans="1:7" x14ac:dyDescent="0.3">
      <c r="A978" s="13" t="s">
        <v>888</v>
      </c>
      <c r="B978" s="13">
        <v>528.1</v>
      </c>
      <c r="C978" s="13">
        <v>7460</v>
      </c>
      <c r="D978" s="13" t="s">
        <v>1055</v>
      </c>
      <c r="E978" s="13">
        <v>66900</v>
      </c>
      <c r="F978" s="13">
        <v>158560</v>
      </c>
      <c r="G978" t="s">
        <v>836</v>
      </c>
    </row>
    <row r="979" spans="1:7" x14ac:dyDescent="0.3">
      <c r="A979" s="13" t="s">
        <v>854</v>
      </c>
      <c r="B979" s="13">
        <v>10780</v>
      </c>
      <c r="C979" s="13">
        <v>22</v>
      </c>
      <c r="D979" s="13" t="s">
        <v>1059</v>
      </c>
      <c r="E979" s="13">
        <v>498</v>
      </c>
      <c r="F979" s="13">
        <v>2071</v>
      </c>
      <c r="G979" t="s">
        <v>836</v>
      </c>
    </row>
    <row r="980" spans="1:7" x14ac:dyDescent="0.3">
      <c r="A980" s="13" t="s">
        <v>968</v>
      </c>
      <c r="B980" s="13">
        <v>623</v>
      </c>
      <c r="C980" s="13">
        <v>2237</v>
      </c>
      <c r="D980" s="13" t="s">
        <v>1054</v>
      </c>
      <c r="E980" s="13">
        <v>8861</v>
      </c>
      <c r="F980" s="13">
        <v>61813</v>
      </c>
      <c r="G980" t="s">
        <v>836</v>
      </c>
    </row>
    <row r="981" spans="1:7" x14ac:dyDescent="0.3">
      <c r="A981" s="13" t="s">
        <v>53</v>
      </c>
      <c r="B981" s="13">
        <v>1370</v>
      </c>
      <c r="C981" s="13">
        <v>1282</v>
      </c>
      <c r="D981" s="13" t="s">
        <v>1058</v>
      </c>
      <c r="E981" s="13">
        <v>9808</v>
      </c>
      <c r="F981" s="13">
        <v>29057</v>
      </c>
      <c r="G981" t="s">
        <v>836</v>
      </c>
    </row>
    <row r="982" spans="1:7" x14ac:dyDescent="0.3">
      <c r="A982" s="13" t="s">
        <v>89</v>
      </c>
      <c r="B982" s="13">
        <v>420.5</v>
      </c>
      <c r="C982" s="13">
        <v>497</v>
      </c>
      <c r="D982" s="13" t="s">
        <v>1055</v>
      </c>
      <c r="E982" s="13">
        <v>21097</v>
      </c>
      <c r="F982" s="13">
        <v>101328</v>
      </c>
      <c r="G982" t="s">
        <v>836</v>
      </c>
    </row>
    <row r="983" spans="1:7" x14ac:dyDescent="0.3">
      <c r="A983" s="13" t="s">
        <v>39</v>
      </c>
      <c r="B983" s="13">
        <v>1858.5</v>
      </c>
      <c r="C983" s="13">
        <v>9278</v>
      </c>
      <c r="D983" s="13" t="s">
        <v>1058</v>
      </c>
      <c r="E983" s="13">
        <v>26418</v>
      </c>
      <c r="F983" s="13">
        <v>39654</v>
      </c>
      <c r="G983" t="s">
        <v>836</v>
      </c>
    </row>
    <row r="984" spans="1:7" x14ac:dyDescent="0.3">
      <c r="A984" s="13" t="s">
        <v>285</v>
      </c>
      <c r="B984" s="13">
        <v>359.95</v>
      </c>
      <c r="C984" s="13">
        <v>7989</v>
      </c>
      <c r="D984" s="13" t="s">
        <v>1053</v>
      </c>
      <c r="E984" s="13">
        <v>56386</v>
      </c>
      <c r="F984" s="13">
        <v>100362</v>
      </c>
      <c r="G984" t="s">
        <v>836</v>
      </c>
    </row>
    <row r="985" spans="1:7" x14ac:dyDescent="0.3">
      <c r="A985" s="13" t="s">
        <v>974</v>
      </c>
      <c r="B985" s="13">
        <v>248.52</v>
      </c>
      <c r="C985" s="13">
        <v>11600</v>
      </c>
      <c r="D985" s="13" t="s">
        <v>1055</v>
      </c>
      <c r="E985" s="13">
        <v>144553</v>
      </c>
      <c r="F985" s="13">
        <v>200796</v>
      </c>
      <c r="G985" t="s">
        <v>836</v>
      </c>
    </row>
    <row r="986" spans="1:7" x14ac:dyDescent="0.3">
      <c r="A986" s="13" t="s">
        <v>912</v>
      </c>
      <c r="B986" s="13">
        <v>561</v>
      </c>
      <c r="C986" s="13">
        <v>34580</v>
      </c>
      <c r="D986" s="13" t="s">
        <v>1055</v>
      </c>
      <c r="E986" s="13">
        <v>183598</v>
      </c>
      <c r="F986" s="13">
        <v>237365</v>
      </c>
      <c r="G986" t="s">
        <v>836</v>
      </c>
    </row>
    <row r="987" spans="1:7" x14ac:dyDescent="0.3">
      <c r="A987" s="13" t="s">
        <v>105</v>
      </c>
      <c r="B987" s="13">
        <v>1814.9</v>
      </c>
      <c r="C987" s="13">
        <v>6397</v>
      </c>
      <c r="D987" s="13" t="s">
        <v>1058</v>
      </c>
      <c r="E987" s="13">
        <v>3110</v>
      </c>
      <c r="F987" s="13">
        <v>6776</v>
      </c>
      <c r="G987" t="s">
        <v>836</v>
      </c>
    </row>
    <row r="988" spans="1:7" x14ac:dyDescent="0.3">
      <c r="A988" s="13" t="s">
        <v>149</v>
      </c>
      <c r="B988" s="13">
        <v>2174.9</v>
      </c>
      <c r="C988" s="13">
        <v>1178</v>
      </c>
      <c r="D988" s="13" t="s">
        <v>1053</v>
      </c>
      <c r="E988" s="13">
        <v>9607</v>
      </c>
      <c r="F988" s="13">
        <v>13729</v>
      </c>
      <c r="G988" t="s">
        <v>836</v>
      </c>
    </row>
    <row r="989" spans="1:7" x14ac:dyDescent="0.3">
      <c r="A989" s="13" t="s">
        <v>107</v>
      </c>
      <c r="B989" s="13">
        <v>1465.4</v>
      </c>
      <c r="C989" s="13">
        <v>905</v>
      </c>
      <c r="D989" s="13" t="s">
        <v>1056</v>
      </c>
      <c r="E989" s="13">
        <v>7348</v>
      </c>
      <c r="F989" s="13">
        <v>31854</v>
      </c>
      <c r="G989" t="s">
        <v>836</v>
      </c>
    </row>
    <row r="990" spans="1:7" x14ac:dyDescent="0.3">
      <c r="A990" s="13" t="s">
        <v>155</v>
      </c>
      <c r="B990" s="13">
        <v>1050</v>
      </c>
      <c r="C990" s="13">
        <v>3681</v>
      </c>
      <c r="D990" s="13" t="s">
        <v>1054</v>
      </c>
      <c r="E990" s="13">
        <v>13098</v>
      </c>
      <c r="F990" s="13">
        <v>29761</v>
      </c>
      <c r="G990" t="s">
        <v>836</v>
      </c>
    </row>
    <row r="991" spans="1:7" x14ac:dyDescent="0.3">
      <c r="A991" s="13" t="s">
        <v>958</v>
      </c>
      <c r="B991" s="13">
        <v>1643.5</v>
      </c>
      <c r="C991" s="13">
        <v>4269</v>
      </c>
      <c r="D991" s="13" t="s">
        <v>1053</v>
      </c>
      <c r="E991" s="13">
        <v>10889</v>
      </c>
      <c r="F991" s="13">
        <v>33234</v>
      </c>
      <c r="G991" t="s">
        <v>836</v>
      </c>
    </row>
    <row r="992" spans="1:7" x14ac:dyDescent="0.3">
      <c r="A992" s="13" t="s">
        <v>283</v>
      </c>
      <c r="B992" s="13">
        <v>85.29</v>
      </c>
      <c r="C992" s="13">
        <v>57539</v>
      </c>
      <c r="D992" s="13" t="s">
        <v>1055</v>
      </c>
      <c r="E992" s="13">
        <v>510844</v>
      </c>
      <c r="F992" s="13">
        <v>615734</v>
      </c>
      <c r="G992" t="s">
        <v>836</v>
      </c>
    </row>
    <row r="993" spans="1:7" x14ac:dyDescent="0.3">
      <c r="A993" s="13" t="s">
        <v>359</v>
      </c>
      <c r="B993" s="13">
        <v>1378.3</v>
      </c>
      <c r="C993" s="13">
        <v>6366</v>
      </c>
      <c r="D993" s="13" t="s">
        <v>1055</v>
      </c>
      <c r="E993" s="13">
        <v>30202</v>
      </c>
      <c r="F993" s="13">
        <v>30491</v>
      </c>
      <c r="G993" t="s">
        <v>836</v>
      </c>
    </row>
    <row r="994" spans="1:7" x14ac:dyDescent="0.3">
      <c r="A994" s="13" t="s">
        <v>287</v>
      </c>
      <c r="B994" s="13">
        <v>1822.9</v>
      </c>
      <c r="C994" s="13">
        <v>1981</v>
      </c>
      <c r="D994" s="13" t="s">
        <v>1053</v>
      </c>
      <c r="E994" s="13">
        <v>12299</v>
      </c>
      <c r="F994" s="13">
        <v>13449</v>
      </c>
      <c r="G994" t="s">
        <v>836</v>
      </c>
    </row>
    <row r="995" spans="1:7" x14ac:dyDescent="0.3">
      <c r="A995" s="13" t="s">
        <v>49</v>
      </c>
      <c r="B995" s="13">
        <v>164</v>
      </c>
      <c r="C995" s="13">
        <v>231454</v>
      </c>
      <c r="D995" s="13" t="s">
        <v>1053</v>
      </c>
      <c r="E995" s="13">
        <v>555630</v>
      </c>
      <c r="F995" s="13">
        <v>972685</v>
      </c>
      <c r="G995" t="s">
        <v>836</v>
      </c>
    </row>
    <row r="996" spans="1:7" x14ac:dyDescent="0.3">
      <c r="A996" s="13" t="s">
        <v>904</v>
      </c>
      <c r="B996" s="13">
        <v>385.25</v>
      </c>
      <c r="C996" s="13">
        <v>18941</v>
      </c>
      <c r="D996" s="13" t="s">
        <v>1053</v>
      </c>
      <c r="E996" s="13">
        <v>52126</v>
      </c>
      <c r="F996" s="13">
        <v>140719</v>
      </c>
      <c r="G996" t="s">
        <v>836</v>
      </c>
    </row>
    <row r="997" spans="1:7" x14ac:dyDescent="0.3">
      <c r="A997" s="13" t="s">
        <v>269</v>
      </c>
      <c r="B997" s="13">
        <v>2158.6999999999998</v>
      </c>
      <c r="C997" s="13">
        <v>4207</v>
      </c>
      <c r="D997" s="13" t="s">
        <v>1055</v>
      </c>
      <c r="E997" s="13">
        <v>4304</v>
      </c>
      <c r="F997" s="13">
        <v>12217</v>
      </c>
      <c r="G997" t="s">
        <v>836</v>
      </c>
    </row>
    <row r="998" spans="1:7" x14ac:dyDescent="0.3">
      <c r="A998" s="13" t="s">
        <v>99</v>
      </c>
      <c r="B998" s="13">
        <v>128.27000000000001</v>
      </c>
      <c r="C998" s="13">
        <v>489588</v>
      </c>
      <c r="D998" s="13" t="s">
        <v>1053</v>
      </c>
      <c r="E998" s="13">
        <v>1372757</v>
      </c>
      <c r="F998" s="13">
        <v>1781787</v>
      </c>
      <c r="G998" t="s">
        <v>836</v>
      </c>
    </row>
    <row r="999" spans="1:7" x14ac:dyDescent="0.3">
      <c r="A999" s="13" t="s">
        <v>990</v>
      </c>
      <c r="B999" s="13">
        <v>118.9</v>
      </c>
      <c r="C999" s="13">
        <v>71070</v>
      </c>
      <c r="D999" s="13" t="s">
        <v>1055</v>
      </c>
      <c r="E999" s="13">
        <v>174359</v>
      </c>
      <c r="F999" s="13">
        <v>417618</v>
      </c>
      <c r="G999" t="s">
        <v>836</v>
      </c>
    </row>
    <row r="1000" spans="1:7" x14ac:dyDescent="0.3">
      <c r="A1000" s="13" t="s">
        <v>297</v>
      </c>
      <c r="B1000" s="13">
        <v>4384</v>
      </c>
      <c r="C1000" s="13">
        <v>4167</v>
      </c>
      <c r="D1000" s="13" t="s">
        <v>1055</v>
      </c>
      <c r="E1000" s="13">
        <v>9604</v>
      </c>
      <c r="F1000" s="13">
        <v>54972</v>
      </c>
      <c r="G1000" t="s">
        <v>836</v>
      </c>
    </row>
    <row r="1001" spans="1:7" x14ac:dyDescent="0.3">
      <c r="A1001" s="13" t="s">
        <v>83</v>
      </c>
      <c r="B1001" s="13">
        <v>2135</v>
      </c>
      <c r="C1001" s="13">
        <v>3664</v>
      </c>
      <c r="D1001" s="13" t="s">
        <v>1055</v>
      </c>
      <c r="E1001" s="13">
        <v>3935</v>
      </c>
      <c r="F1001" s="13">
        <v>12380</v>
      </c>
      <c r="G1001" t="s">
        <v>836</v>
      </c>
    </row>
    <row r="1002" spans="1:7" x14ac:dyDescent="0.3">
      <c r="A1002" s="13" t="s">
        <v>169</v>
      </c>
      <c r="B1002" s="13">
        <v>1049</v>
      </c>
      <c r="C1002" s="13">
        <v>22290</v>
      </c>
      <c r="D1002" s="13" t="s">
        <v>1055</v>
      </c>
      <c r="E1002" s="13">
        <v>77265</v>
      </c>
      <c r="F1002" s="13">
        <v>78466</v>
      </c>
      <c r="G1002" t="s">
        <v>836</v>
      </c>
    </row>
    <row r="1003" spans="1:7" x14ac:dyDescent="0.3">
      <c r="A1003" s="13" t="s">
        <v>131</v>
      </c>
      <c r="B1003" s="13">
        <v>6600</v>
      </c>
      <c r="C1003" s="13">
        <v>116</v>
      </c>
      <c r="D1003" s="13" t="s">
        <v>1054</v>
      </c>
      <c r="E1003" s="13">
        <v>758</v>
      </c>
      <c r="F1003" s="13">
        <v>2838</v>
      </c>
      <c r="G1003" t="s">
        <v>836</v>
      </c>
    </row>
    <row r="1004" spans="1:7" x14ac:dyDescent="0.3">
      <c r="A1004" s="13" t="s">
        <v>109</v>
      </c>
      <c r="B1004" s="13">
        <v>438.4</v>
      </c>
      <c r="C1004" s="13">
        <v>47471</v>
      </c>
      <c r="D1004" s="13" t="s">
        <v>1055</v>
      </c>
      <c r="E1004" s="13">
        <v>179072</v>
      </c>
      <c r="F1004" s="13">
        <v>215830</v>
      </c>
      <c r="G1004" t="s">
        <v>836</v>
      </c>
    </row>
    <row r="1005" spans="1:7" x14ac:dyDescent="0.3">
      <c r="A1005" s="13" t="s">
        <v>840</v>
      </c>
      <c r="B1005" s="13">
        <v>1075</v>
      </c>
      <c r="C1005" s="13">
        <v>362</v>
      </c>
      <c r="D1005" s="13" t="s">
        <v>1052</v>
      </c>
      <c r="E1005" s="13">
        <v>5233</v>
      </c>
      <c r="F1005" s="13">
        <v>12493</v>
      </c>
      <c r="G1005" t="s">
        <v>836</v>
      </c>
    </row>
    <row r="1006" spans="1:7" x14ac:dyDescent="0.3">
      <c r="A1006" s="13" t="s">
        <v>43</v>
      </c>
      <c r="B1006" s="13">
        <v>422.2</v>
      </c>
      <c r="C1006" s="13">
        <v>4322</v>
      </c>
      <c r="D1006" s="13" t="s">
        <v>1058</v>
      </c>
      <c r="E1006" s="13">
        <v>69649</v>
      </c>
      <c r="F1006" s="13">
        <v>116433</v>
      </c>
      <c r="G1006" t="s">
        <v>836</v>
      </c>
    </row>
    <row r="1007" spans="1:7" x14ac:dyDescent="0.3">
      <c r="A1007" s="13" t="s">
        <v>229</v>
      </c>
      <c r="B1007" s="13">
        <v>1226</v>
      </c>
      <c r="C1007" s="13">
        <v>2042</v>
      </c>
      <c r="D1007" s="13" t="s">
        <v>1057</v>
      </c>
      <c r="E1007" s="13">
        <v>7360</v>
      </c>
      <c r="F1007" s="13">
        <v>14657</v>
      </c>
      <c r="G1007" t="s">
        <v>836</v>
      </c>
    </row>
    <row r="1008" spans="1:7" x14ac:dyDescent="0.3">
      <c r="A1008" s="13" t="s">
        <v>876</v>
      </c>
      <c r="B1008" s="13">
        <v>282</v>
      </c>
      <c r="C1008" s="13">
        <v>279613</v>
      </c>
      <c r="D1008" s="13" t="s">
        <v>1055</v>
      </c>
      <c r="E1008" s="13">
        <v>336718</v>
      </c>
      <c r="F1008" s="13">
        <v>559786</v>
      </c>
      <c r="G1008" t="s">
        <v>836</v>
      </c>
    </row>
    <row r="1009" spans="1:7" x14ac:dyDescent="0.3">
      <c r="A1009" s="13" t="s">
        <v>115</v>
      </c>
      <c r="B1009" s="13">
        <v>484.9</v>
      </c>
      <c r="C1009" s="13">
        <v>11389</v>
      </c>
      <c r="D1009" s="13" t="s">
        <v>1058</v>
      </c>
      <c r="E1009" s="13">
        <v>11459</v>
      </c>
      <c r="F1009" s="13">
        <v>174447</v>
      </c>
      <c r="G1009" t="s">
        <v>836</v>
      </c>
    </row>
    <row r="1010" spans="1:7" x14ac:dyDescent="0.3">
      <c r="A1010" s="13" t="s">
        <v>946</v>
      </c>
      <c r="B1010" s="13">
        <v>556.20000000000005</v>
      </c>
      <c r="C1010" s="13">
        <v>13446</v>
      </c>
      <c r="D1010" s="13" t="s">
        <v>1057</v>
      </c>
      <c r="E1010" s="13">
        <v>31546</v>
      </c>
      <c r="F1010" s="13">
        <v>44158</v>
      </c>
      <c r="G1010" t="s">
        <v>836</v>
      </c>
    </row>
    <row r="1011" spans="1:7" x14ac:dyDescent="0.3">
      <c r="A1011" s="13" t="s">
        <v>289</v>
      </c>
      <c r="B1011" s="13">
        <v>10971</v>
      </c>
      <c r="C1011" s="13">
        <v>488</v>
      </c>
      <c r="D1011" s="13" t="s">
        <v>1053</v>
      </c>
      <c r="E1011" s="13">
        <v>2492</v>
      </c>
      <c r="F1011" s="13">
        <v>3556</v>
      </c>
      <c r="G1011" t="s">
        <v>836</v>
      </c>
    </row>
    <row r="1012" spans="1:7" x14ac:dyDescent="0.3">
      <c r="A1012" s="13" t="s">
        <v>177</v>
      </c>
      <c r="B1012" s="13">
        <v>4879.3999999999996</v>
      </c>
      <c r="C1012" s="13">
        <v>4534</v>
      </c>
      <c r="D1012" s="13" t="s">
        <v>1053</v>
      </c>
      <c r="E1012" s="13">
        <v>10186</v>
      </c>
      <c r="F1012" s="13">
        <v>22689</v>
      </c>
      <c r="G1012" t="s">
        <v>836</v>
      </c>
    </row>
    <row r="1013" spans="1:7" x14ac:dyDescent="0.3">
      <c r="A1013" s="13" t="s">
        <v>248</v>
      </c>
      <c r="B1013" s="13">
        <v>2420</v>
      </c>
      <c r="C1013" s="13">
        <v>3635</v>
      </c>
      <c r="D1013" s="13" t="s">
        <v>1056</v>
      </c>
      <c r="E1013" s="13">
        <v>7189</v>
      </c>
      <c r="F1013" s="13">
        <v>23636</v>
      </c>
      <c r="G1013" t="s">
        <v>836</v>
      </c>
    </row>
    <row r="1014" spans="1:7" x14ac:dyDescent="0.3">
      <c r="A1014" s="13" t="s">
        <v>980</v>
      </c>
      <c r="B1014" s="13">
        <v>351.15</v>
      </c>
      <c r="C1014" s="13">
        <v>27818</v>
      </c>
      <c r="D1014" s="13" t="s">
        <v>1055</v>
      </c>
      <c r="E1014" s="13">
        <v>181909</v>
      </c>
      <c r="F1014" s="13">
        <v>316970</v>
      </c>
      <c r="G1014" t="s">
        <v>836</v>
      </c>
    </row>
    <row r="1015" spans="1:7" x14ac:dyDescent="0.3">
      <c r="A1015" s="13" t="s">
        <v>984</v>
      </c>
      <c r="B1015" s="13">
        <v>1359.8</v>
      </c>
      <c r="C1015" s="13">
        <v>289</v>
      </c>
      <c r="D1015" s="13" t="s">
        <v>1054</v>
      </c>
      <c r="E1015" s="13">
        <v>4978</v>
      </c>
      <c r="F1015" s="13">
        <v>21888</v>
      </c>
      <c r="G1015" t="s">
        <v>836</v>
      </c>
    </row>
    <row r="1016" spans="1:7" x14ac:dyDescent="0.3">
      <c r="A1016" s="13" t="s">
        <v>305</v>
      </c>
      <c r="B1016" s="13">
        <v>2585</v>
      </c>
      <c r="C1016" s="13">
        <v>161</v>
      </c>
      <c r="D1016" s="13" t="s">
        <v>1055</v>
      </c>
      <c r="E1016" s="13">
        <v>2467</v>
      </c>
      <c r="F1016" s="13">
        <v>3954</v>
      </c>
      <c r="G1016" t="s">
        <v>836</v>
      </c>
    </row>
    <row r="1017" spans="1:7" x14ac:dyDescent="0.3">
      <c r="A1017" s="13" t="s">
        <v>922</v>
      </c>
      <c r="B1017" s="13">
        <v>2500</v>
      </c>
      <c r="C1017" s="13">
        <v>1009</v>
      </c>
      <c r="D1017" s="13" t="s">
        <v>1055</v>
      </c>
      <c r="E1017" s="13">
        <v>4500</v>
      </c>
      <c r="F1017" s="13">
        <v>9922</v>
      </c>
      <c r="G1017" t="s">
        <v>836</v>
      </c>
    </row>
    <row r="1018" spans="1:7" x14ac:dyDescent="0.3">
      <c r="A1018" s="13" t="s">
        <v>231</v>
      </c>
      <c r="B1018" s="13">
        <v>423.1</v>
      </c>
      <c r="C1018" s="13">
        <v>3258</v>
      </c>
      <c r="D1018" s="13" t="s">
        <v>1056</v>
      </c>
      <c r="E1018" s="13">
        <v>15268</v>
      </c>
      <c r="F1018" s="13">
        <v>46769</v>
      </c>
      <c r="G1018" t="s">
        <v>836</v>
      </c>
    </row>
    <row r="1019" spans="1:7" x14ac:dyDescent="0.3">
      <c r="A1019" s="13" t="s">
        <v>910</v>
      </c>
      <c r="B1019" s="13">
        <v>885</v>
      </c>
      <c r="C1019" s="13">
        <v>402</v>
      </c>
      <c r="D1019" s="13" t="s">
        <v>1057</v>
      </c>
      <c r="E1019" s="13">
        <v>9639</v>
      </c>
      <c r="F1019" s="13">
        <v>18154</v>
      </c>
      <c r="G1019" t="s">
        <v>836</v>
      </c>
    </row>
    <row r="1020" spans="1:7" x14ac:dyDescent="0.3">
      <c r="A1020" s="13" t="s">
        <v>848</v>
      </c>
      <c r="B1020" s="13">
        <v>7479</v>
      </c>
      <c r="C1020" s="13">
        <v>268</v>
      </c>
      <c r="D1020" s="13" t="s">
        <v>1058</v>
      </c>
      <c r="E1020" s="13">
        <v>2188</v>
      </c>
      <c r="F1020" s="13">
        <v>7607</v>
      </c>
      <c r="G1020" t="s">
        <v>836</v>
      </c>
    </row>
    <row r="1021" spans="1:7" x14ac:dyDescent="0.3">
      <c r="A1021" s="13" t="s">
        <v>331</v>
      </c>
      <c r="B1021" s="13">
        <v>26020</v>
      </c>
      <c r="C1021" s="13">
        <v>17</v>
      </c>
      <c r="D1021" s="13" t="s">
        <v>1052</v>
      </c>
      <c r="E1021" s="13">
        <v>88</v>
      </c>
      <c r="F1021" s="13">
        <v>653</v>
      </c>
      <c r="G1021" t="s">
        <v>836</v>
      </c>
    </row>
    <row r="1022" spans="1:7" x14ac:dyDescent="0.3">
      <c r="A1022" s="13" t="s">
        <v>209</v>
      </c>
      <c r="B1022" s="13">
        <v>5421</v>
      </c>
      <c r="C1022" s="13">
        <v>3347</v>
      </c>
      <c r="D1022" s="13" t="s">
        <v>1055</v>
      </c>
      <c r="E1022" s="13">
        <v>3882</v>
      </c>
      <c r="F1022" s="13">
        <v>16236</v>
      </c>
      <c r="G1022" t="s">
        <v>836</v>
      </c>
    </row>
    <row r="1023" spans="1:7" x14ac:dyDescent="0.3">
      <c r="A1023" s="13" t="s">
        <v>978</v>
      </c>
      <c r="B1023" s="13">
        <v>3110</v>
      </c>
      <c r="C1023" s="13">
        <v>217</v>
      </c>
      <c r="D1023" s="13" t="s">
        <v>1056</v>
      </c>
      <c r="E1023" s="13">
        <v>1462</v>
      </c>
      <c r="F1023" s="13">
        <v>4351</v>
      </c>
      <c r="G1023" t="s">
        <v>836</v>
      </c>
    </row>
    <row r="1024" spans="1:7" x14ac:dyDescent="0.3">
      <c r="A1024" s="13" t="s">
        <v>918</v>
      </c>
      <c r="B1024" s="13">
        <v>314</v>
      </c>
      <c r="C1024" s="13">
        <v>9186</v>
      </c>
      <c r="D1024" s="13" t="s">
        <v>1054</v>
      </c>
      <c r="E1024" s="13">
        <v>55324</v>
      </c>
      <c r="F1024" s="13">
        <v>122655</v>
      </c>
      <c r="G1024" t="s">
        <v>836</v>
      </c>
    </row>
    <row r="1025" spans="1:7" x14ac:dyDescent="0.3">
      <c r="A1025" s="13" t="s">
        <v>61</v>
      </c>
      <c r="B1025" s="13">
        <v>1374</v>
      </c>
      <c r="C1025" s="13">
        <v>17553</v>
      </c>
      <c r="D1025" s="13" t="s">
        <v>1053</v>
      </c>
      <c r="E1025" s="13">
        <v>10215</v>
      </c>
      <c r="F1025" s="13">
        <v>44398</v>
      </c>
      <c r="G1025" t="s">
        <v>836</v>
      </c>
    </row>
    <row r="1026" spans="1:7" x14ac:dyDescent="0.3">
      <c r="A1026" s="13" t="s">
        <v>327</v>
      </c>
      <c r="B1026" s="13">
        <v>1798</v>
      </c>
      <c r="C1026" s="13">
        <v>974</v>
      </c>
      <c r="D1026" s="13" t="s">
        <v>1055</v>
      </c>
      <c r="E1026" s="13">
        <v>4588</v>
      </c>
      <c r="F1026" s="13">
        <v>16190</v>
      </c>
      <c r="G1026" t="s">
        <v>836</v>
      </c>
    </row>
    <row r="1027" spans="1:7" x14ac:dyDescent="0.3">
      <c r="A1027" s="13" t="s">
        <v>161</v>
      </c>
      <c r="B1027" s="13">
        <v>3153</v>
      </c>
      <c r="C1027" s="13">
        <v>745</v>
      </c>
      <c r="D1027" s="13" t="s">
        <v>1054</v>
      </c>
      <c r="E1027" s="13">
        <v>959</v>
      </c>
      <c r="F1027" s="13">
        <v>7136</v>
      </c>
      <c r="G1027" t="s">
        <v>836</v>
      </c>
    </row>
    <row r="1028" spans="1:7" x14ac:dyDescent="0.3">
      <c r="A1028" s="13" t="s">
        <v>353</v>
      </c>
      <c r="B1028" s="13">
        <v>376.8</v>
      </c>
      <c r="C1028" s="13">
        <v>13735</v>
      </c>
      <c r="D1028" s="13" t="s">
        <v>1054</v>
      </c>
      <c r="E1028" s="13">
        <v>116961</v>
      </c>
      <c r="F1028" s="13">
        <v>155801</v>
      </c>
      <c r="G1028" t="s">
        <v>836</v>
      </c>
    </row>
    <row r="1029" spans="1:7" x14ac:dyDescent="0.3">
      <c r="A1029" s="13" t="s">
        <v>281</v>
      </c>
      <c r="B1029" s="13">
        <v>1459</v>
      </c>
      <c r="C1029" s="13">
        <v>3842</v>
      </c>
      <c r="D1029" s="13" t="s">
        <v>1055</v>
      </c>
      <c r="E1029" s="13">
        <v>13916</v>
      </c>
      <c r="F1029" s="13">
        <v>18766</v>
      </c>
      <c r="G1029" t="s">
        <v>836</v>
      </c>
    </row>
    <row r="1030" spans="1:7" x14ac:dyDescent="0.3">
      <c r="A1030" s="13" t="s">
        <v>868</v>
      </c>
      <c r="B1030" s="13">
        <v>980</v>
      </c>
      <c r="C1030" s="13">
        <v>16782</v>
      </c>
      <c r="D1030" s="13" t="s">
        <v>1055</v>
      </c>
      <c r="E1030" s="13">
        <v>75203</v>
      </c>
      <c r="F1030" s="13">
        <v>84941</v>
      </c>
      <c r="G1030" t="s">
        <v>836</v>
      </c>
    </row>
    <row r="1031" spans="1:7" x14ac:dyDescent="0.3">
      <c r="A1031" s="13" t="s">
        <v>277</v>
      </c>
      <c r="B1031" s="13">
        <v>996.95</v>
      </c>
      <c r="C1031" s="13">
        <v>867</v>
      </c>
      <c r="D1031" s="13" t="s">
        <v>1057</v>
      </c>
      <c r="E1031" s="13">
        <v>13849</v>
      </c>
      <c r="F1031" s="13">
        <v>33165</v>
      </c>
      <c r="G1031" t="s">
        <v>836</v>
      </c>
    </row>
    <row r="1032" spans="1:7" x14ac:dyDescent="0.3">
      <c r="A1032" s="13" t="s">
        <v>217</v>
      </c>
      <c r="B1032" s="13">
        <v>140.30000000000001</v>
      </c>
      <c r="C1032" s="13">
        <v>71183</v>
      </c>
      <c r="D1032" s="13" t="s">
        <v>1055</v>
      </c>
      <c r="E1032" s="13">
        <v>275195</v>
      </c>
      <c r="F1032" s="13">
        <v>669437</v>
      </c>
      <c r="G1032" t="s">
        <v>836</v>
      </c>
    </row>
    <row r="1033" spans="1:7" x14ac:dyDescent="0.3">
      <c r="A1033" s="13" t="s">
        <v>890</v>
      </c>
      <c r="B1033" s="13">
        <v>1924.9</v>
      </c>
      <c r="C1033" s="13">
        <v>567</v>
      </c>
      <c r="D1033" s="13" t="s">
        <v>1054</v>
      </c>
      <c r="E1033" s="13">
        <v>7187</v>
      </c>
      <c r="F1033" s="13">
        <v>14496</v>
      </c>
      <c r="G1033" t="s">
        <v>836</v>
      </c>
    </row>
    <row r="1034" spans="1:7" x14ac:dyDescent="0.3">
      <c r="A1034" s="13" t="s">
        <v>309</v>
      </c>
      <c r="B1034" s="13">
        <v>9749</v>
      </c>
      <c r="C1034" s="13">
        <v>517</v>
      </c>
      <c r="D1034" s="13" t="s">
        <v>1055</v>
      </c>
      <c r="E1034" s="13">
        <v>2574</v>
      </c>
      <c r="F1034" s="13">
        <v>23038</v>
      </c>
      <c r="G1034" t="s">
        <v>836</v>
      </c>
    </row>
    <row r="1035" spans="1:7" x14ac:dyDescent="0.3">
      <c r="A1035" s="13" t="s">
        <v>301</v>
      </c>
      <c r="B1035" s="13">
        <v>432.35</v>
      </c>
      <c r="C1035" s="13">
        <v>5338</v>
      </c>
      <c r="D1035" s="13" t="s">
        <v>1055</v>
      </c>
      <c r="E1035" s="13">
        <v>36872</v>
      </c>
      <c r="F1035" s="13">
        <v>156209</v>
      </c>
      <c r="G1035" t="s">
        <v>836</v>
      </c>
    </row>
    <row r="1036" spans="1:7" x14ac:dyDescent="0.3">
      <c r="A1036" s="13" t="s">
        <v>950</v>
      </c>
      <c r="B1036" s="13">
        <v>1055.8</v>
      </c>
      <c r="C1036" s="13">
        <v>253</v>
      </c>
      <c r="D1036" s="13" t="s">
        <v>1054</v>
      </c>
      <c r="E1036" s="13">
        <v>9674</v>
      </c>
      <c r="F1036" s="13">
        <v>17233</v>
      </c>
      <c r="G1036" t="s">
        <v>836</v>
      </c>
    </row>
    <row r="1037" spans="1:7" x14ac:dyDescent="0.3">
      <c r="A1037" s="13" t="s">
        <v>65</v>
      </c>
      <c r="B1037" s="13">
        <v>1804</v>
      </c>
      <c r="C1037" s="13">
        <v>3337</v>
      </c>
      <c r="D1037" s="13" t="s">
        <v>1058</v>
      </c>
      <c r="E1037" s="13">
        <v>5923</v>
      </c>
      <c r="F1037" s="13">
        <v>26892</v>
      </c>
      <c r="G1037" t="s">
        <v>836</v>
      </c>
    </row>
    <row r="1038" spans="1:7" x14ac:dyDescent="0.3">
      <c r="A1038" s="13" t="s">
        <v>986</v>
      </c>
      <c r="B1038" s="13">
        <v>1092.0999999999999</v>
      </c>
      <c r="C1038" s="13">
        <v>483</v>
      </c>
      <c r="D1038" s="13" t="s">
        <v>1056</v>
      </c>
      <c r="E1038" s="13">
        <v>8764</v>
      </c>
      <c r="F1038" s="13">
        <v>16424</v>
      </c>
      <c r="G1038" t="s">
        <v>836</v>
      </c>
    </row>
    <row r="1039" spans="1:7" x14ac:dyDescent="0.3">
      <c r="A1039" s="13" t="s">
        <v>333</v>
      </c>
      <c r="B1039" s="13">
        <v>1052</v>
      </c>
      <c r="C1039" s="13">
        <v>19738</v>
      </c>
      <c r="D1039" s="13" t="s">
        <v>1055</v>
      </c>
      <c r="E1039" s="13">
        <v>23461</v>
      </c>
      <c r="F1039" s="13">
        <v>67187</v>
      </c>
      <c r="G1039" t="s">
        <v>836</v>
      </c>
    </row>
    <row r="1040" spans="1:7" x14ac:dyDescent="0.3">
      <c r="A1040" s="13" t="s">
        <v>926</v>
      </c>
      <c r="B1040" s="13">
        <v>2548</v>
      </c>
      <c r="C1040" s="13">
        <v>6601</v>
      </c>
      <c r="D1040" s="13" t="s">
        <v>1055</v>
      </c>
      <c r="E1040" s="13">
        <v>20303</v>
      </c>
      <c r="F1040" s="13">
        <v>74660</v>
      </c>
      <c r="G1040" t="s">
        <v>836</v>
      </c>
    </row>
    <row r="1041" spans="1:7" x14ac:dyDescent="0.3">
      <c r="A1041" s="13" t="s">
        <v>335</v>
      </c>
      <c r="B1041" s="13">
        <v>3578.5</v>
      </c>
      <c r="C1041" s="13">
        <v>120</v>
      </c>
      <c r="D1041" s="13" t="s">
        <v>1055</v>
      </c>
      <c r="E1041" s="13">
        <v>2555</v>
      </c>
      <c r="F1041" s="13">
        <v>8521</v>
      </c>
      <c r="G1041" t="s">
        <v>836</v>
      </c>
    </row>
    <row r="1042" spans="1:7" x14ac:dyDescent="0.3">
      <c r="A1042" s="13" t="s">
        <v>908</v>
      </c>
      <c r="B1042" s="13">
        <v>5273.5</v>
      </c>
      <c r="C1042" s="13">
        <v>106</v>
      </c>
      <c r="D1042" s="13" t="s">
        <v>1053</v>
      </c>
      <c r="E1042" s="13">
        <v>4499</v>
      </c>
      <c r="F1042" s="13">
        <v>6393</v>
      </c>
      <c r="G1042" t="s">
        <v>836</v>
      </c>
    </row>
    <row r="1043" spans="1:7" x14ac:dyDescent="0.3">
      <c r="A1043" s="13" t="s">
        <v>189</v>
      </c>
      <c r="B1043" s="13">
        <v>1766</v>
      </c>
      <c r="C1043" s="13">
        <v>323</v>
      </c>
      <c r="D1043" s="13" t="s">
        <v>1055</v>
      </c>
      <c r="E1043" s="13">
        <v>1806</v>
      </c>
      <c r="F1043" s="13">
        <v>1983</v>
      </c>
      <c r="G1043" t="s">
        <v>836</v>
      </c>
    </row>
    <row r="1044" spans="1:7" x14ac:dyDescent="0.3">
      <c r="A1044" s="13" t="s">
        <v>95</v>
      </c>
      <c r="B1044" s="13">
        <v>5287</v>
      </c>
      <c r="C1044" s="13">
        <v>501</v>
      </c>
      <c r="D1044" s="13" t="s">
        <v>1055</v>
      </c>
      <c r="E1044" s="13">
        <v>2659</v>
      </c>
      <c r="F1044" s="13">
        <v>9473</v>
      </c>
      <c r="G1044" t="s">
        <v>836</v>
      </c>
    </row>
    <row r="1045" spans="1:7" x14ac:dyDescent="0.3">
      <c r="A1045" s="13" t="s">
        <v>267</v>
      </c>
      <c r="B1045" s="13">
        <v>148.24</v>
      </c>
      <c r="C1045" s="13">
        <v>23549</v>
      </c>
      <c r="D1045" s="13" t="s">
        <v>1055</v>
      </c>
      <c r="E1045" s="13">
        <v>241609</v>
      </c>
      <c r="F1045" s="13">
        <v>386089</v>
      </c>
      <c r="G1045" t="s">
        <v>836</v>
      </c>
    </row>
    <row r="1046" spans="1:7" x14ac:dyDescent="0.3">
      <c r="A1046" s="13" t="s">
        <v>375</v>
      </c>
      <c r="B1046" s="13">
        <v>277</v>
      </c>
      <c r="C1046" s="13">
        <v>45520</v>
      </c>
      <c r="D1046" s="13" t="s">
        <v>1055</v>
      </c>
      <c r="E1046" s="13">
        <v>242632</v>
      </c>
      <c r="F1046" s="13">
        <v>700431</v>
      </c>
      <c r="G1046" t="s">
        <v>836</v>
      </c>
    </row>
    <row r="1047" spans="1:7" x14ac:dyDescent="0.3">
      <c r="A1047" s="13" t="s">
        <v>339</v>
      </c>
      <c r="B1047" s="13">
        <v>1876</v>
      </c>
      <c r="C1047" s="13">
        <v>2485</v>
      </c>
      <c r="D1047" s="13" t="s">
        <v>1055</v>
      </c>
      <c r="E1047" s="13">
        <v>7020</v>
      </c>
      <c r="F1047" s="13">
        <v>27297</v>
      </c>
      <c r="G1047" t="s">
        <v>836</v>
      </c>
    </row>
    <row r="1048" spans="1:7" x14ac:dyDescent="0.3">
      <c r="A1048" s="13" t="s">
        <v>932</v>
      </c>
      <c r="B1048" s="13">
        <v>105</v>
      </c>
      <c r="C1048" s="13">
        <v>24469</v>
      </c>
      <c r="D1048" s="13" t="s">
        <v>1054</v>
      </c>
      <c r="E1048" s="13">
        <v>161467</v>
      </c>
      <c r="F1048" s="13">
        <v>366023</v>
      </c>
      <c r="G1048" t="s">
        <v>836</v>
      </c>
    </row>
    <row r="1049" spans="1:7" x14ac:dyDescent="0.3">
      <c r="A1049" s="13" t="s">
        <v>894</v>
      </c>
      <c r="B1049" s="13">
        <v>90.3</v>
      </c>
      <c r="C1049" s="13">
        <v>19244</v>
      </c>
      <c r="D1049" s="13" t="s">
        <v>1056</v>
      </c>
      <c r="E1049" s="13">
        <v>119563</v>
      </c>
      <c r="F1049" s="13">
        <v>435879</v>
      </c>
      <c r="G1049" t="s">
        <v>836</v>
      </c>
    </row>
    <row r="1050" spans="1:7" x14ac:dyDescent="0.3">
      <c r="A1050" s="13" t="s">
        <v>862</v>
      </c>
      <c r="B1050" s="13">
        <v>3963.7</v>
      </c>
      <c r="C1050" s="13">
        <v>12007</v>
      </c>
      <c r="D1050" s="13" t="s">
        <v>1053</v>
      </c>
      <c r="E1050" s="13">
        <v>30796</v>
      </c>
      <c r="F1050" s="13">
        <v>105242</v>
      </c>
      <c r="G1050" t="s">
        <v>836</v>
      </c>
    </row>
    <row r="1051" spans="1:7" x14ac:dyDescent="0.3">
      <c r="A1051" s="13" t="s">
        <v>928</v>
      </c>
      <c r="B1051" s="13">
        <v>960.85</v>
      </c>
      <c r="C1051" s="13">
        <v>4671</v>
      </c>
      <c r="D1051" s="13" t="s">
        <v>1054</v>
      </c>
      <c r="E1051" s="13">
        <v>6745</v>
      </c>
      <c r="F1051" s="13">
        <v>33583</v>
      </c>
      <c r="G1051" t="s">
        <v>836</v>
      </c>
    </row>
    <row r="1052" spans="1:7" x14ac:dyDescent="0.3">
      <c r="A1052" s="13" t="s">
        <v>383</v>
      </c>
      <c r="B1052" s="13">
        <v>1114.0999999999999</v>
      </c>
      <c r="C1052" s="13">
        <v>522</v>
      </c>
      <c r="D1052" s="13" t="s">
        <v>1055</v>
      </c>
      <c r="E1052" s="13">
        <v>5133</v>
      </c>
      <c r="F1052" s="13">
        <v>30095</v>
      </c>
      <c r="G1052" t="s">
        <v>836</v>
      </c>
    </row>
    <row r="1053" spans="1:7" x14ac:dyDescent="0.3">
      <c r="A1053" s="13" t="s">
        <v>317</v>
      </c>
      <c r="B1053" s="13">
        <v>363.4</v>
      </c>
      <c r="C1053" s="13">
        <v>2888</v>
      </c>
      <c r="D1053" s="13" t="s">
        <v>1054</v>
      </c>
      <c r="E1053" s="13">
        <v>30057</v>
      </c>
      <c r="F1053" s="13">
        <v>94505</v>
      </c>
      <c r="G1053" t="s">
        <v>836</v>
      </c>
    </row>
    <row r="1054" spans="1:7" x14ac:dyDescent="0.3">
      <c r="A1054" s="13" t="s">
        <v>355</v>
      </c>
      <c r="B1054" s="13">
        <v>186</v>
      </c>
      <c r="C1054" s="13">
        <v>35086</v>
      </c>
      <c r="D1054" s="13" t="s">
        <v>1055</v>
      </c>
      <c r="E1054" s="13">
        <v>291243</v>
      </c>
      <c r="F1054" s="13">
        <v>488951</v>
      </c>
      <c r="G1054" t="s">
        <v>836</v>
      </c>
    </row>
    <row r="1055" spans="1:7" x14ac:dyDescent="0.3">
      <c r="A1055" s="13" t="s">
        <v>143</v>
      </c>
      <c r="B1055" s="13">
        <v>392</v>
      </c>
      <c r="C1055" s="13">
        <v>5083</v>
      </c>
      <c r="D1055" s="13" t="s">
        <v>1054</v>
      </c>
      <c r="E1055" s="13">
        <v>27356</v>
      </c>
      <c r="F1055" s="13">
        <v>75453</v>
      </c>
      <c r="G1055" t="s">
        <v>836</v>
      </c>
    </row>
    <row r="1056" spans="1:7" x14ac:dyDescent="0.3">
      <c r="A1056" s="13" t="s">
        <v>992</v>
      </c>
      <c r="B1056" s="13">
        <v>2890</v>
      </c>
      <c r="C1056" s="13">
        <v>2561</v>
      </c>
      <c r="D1056" s="13" t="s">
        <v>1057</v>
      </c>
      <c r="E1056" s="13">
        <v>13709</v>
      </c>
      <c r="F1056" s="13">
        <v>32801</v>
      </c>
      <c r="G1056" t="s">
        <v>836</v>
      </c>
    </row>
    <row r="1057" spans="1:7" x14ac:dyDescent="0.3">
      <c r="A1057" s="13" t="s">
        <v>167</v>
      </c>
      <c r="B1057" s="13">
        <v>1193.9000000000001</v>
      </c>
      <c r="C1057" s="13">
        <v>561</v>
      </c>
      <c r="D1057" s="13" t="s">
        <v>1057</v>
      </c>
      <c r="E1057" s="13">
        <v>10390</v>
      </c>
      <c r="F1057" s="13">
        <v>26082</v>
      </c>
      <c r="G1057" t="s">
        <v>836</v>
      </c>
    </row>
    <row r="1058" spans="1:7" x14ac:dyDescent="0.3">
      <c r="A1058" s="13" t="s">
        <v>930</v>
      </c>
      <c r="B1058" s="13">
        <v>1202</v>
      </c>
      <c r="C1058" s="13">
        <v>1857</v>
      </c>
      <c r="D1058" s="13" t="s">
        <v>1053</v>
      </c>
      <c r="E1058" s="13">
        <v>16768</v>
      </c>
      <c r="F1058" s="13">
        <v>17327</v>
      </c>
      <c r="G1058" t="s">
        <v>836</v>
      </c>
    </row>
    <row r="1059" spans="1:7" x14ac:dyDescent="0.3">
      <c r="A1059" s="13" t="s">
        <v>59</v>
      </c>
      <c r="B1059" s="13">
        <v>1559.9</v>
      </c>
      <c r="C1059" s="13">
        <v>367</v>
      </c>
      <c r="D1059" s="13" t="s">
        <v>1056</v>
      </c>
      <c r="E1059" s="13">
        <v>3970</v>
      </c>
      <c r="F1059" s="13">
        <v>10952</v>
      </c>
      <c r="G1059" t="s">
        <v>836</v>
      </c>
    </row>
    <row r="1060" spans="1:7" x14ac:dyDescent="0.3">
      <c r="A1060" s="13" t="s">
        <v>263</v>
      </c>
      <c r="B1060" s="13">
        <v>1616.7</v>
      </c>
      <c r="C1060" s="13">
        <v>205</v>
      </c>
      <c r="D1060" s="13" t="s">
        <v>1052</v>
      </c>
      <c r="E1060" s="13">
        <v>1772</v>
      </c>
      <c r="F1060" s="13">
        <v>6021</v>
      </c>
      <c r="G1060" t="s">
        <v>836</v>
      </c>
    </row>
    <row r="1061" spans="1:7" x14ac:dyDescent="0.3">
      <c r="A1061" s="13" t="s">
        <v>902</v>
      </c>
      <c r="B1061" s="13">
        <v>572</v>
      </c>
      <c r="C1061" s="13">
        <v>1719</v>
      </c>
      <c r="D1061" s="13" t="s">
        <v>1054</v>
      </c>
      <c r="E1061" s="13">
        <v>26996</v>
      </c>
      <c r="F1061" s="13">
        <v>74775</v>
      </c>
      <c r="G1061" t="s">
        <v>836</v>
      </c>
    </row>
    <row r="1062" spans="1:7" x14ac:dyDescent="0.3">
      <c r="A1062" s="13" t="s">
        <v>203</v>
      </c>
      <c r="B1062" s="13">
        <v>722</v>
      </c>
      <c r="C1062" s="13">
        <v>2712</v>
      </c>
      <c r="D1062" s="13" t="s">
        <v>1054</v>
      </c>
      <c r="E1062" s="13">
        <v>11832</v>
      </c>
      <c r="F1062" s="13">
        <v>50456</v>
      </c>
      <c r="G1062" t="s">
        <v>836</v>
      </c>
    </row>
    <row r="1063" spans="1:7" x14ac:dyDescent="0.3">
      <c r="A1063" s="13" t="s">
        <v>898</v>
      </c>
      <c r="B1063" s="13">
        <v>91.6</v>
      </c>
      <c r="C1063" s="13">
        <v>42223</v>
      </c>
      <c r="D1063" s="13" t="s">
        <v>1055</v>
      </c>
      <c r="E1063" s="13">
        <v>473436</v>
      </c>
      <c r="F1063" s="13">
        <v>1411219</v>
      </c>
      <c r="G1063" t="s">
        <v>836</v>
      </c>
    </row>
    <row r="1065" spans="1:7" x14ac:dyDescent="0.3">
      <c r="A1065" s="13" t="s">
        <v>995</v>
      </c>
      <c r="B1065" s="13" t="s">
        <v>996</v>
      </c>
      <c r="C1065" s="13" t="s">
        <v>997</v>
      </c>
      <c r="D1065" s="13" t="s">
        <v>998</v>
      </c>
      <c r="E1065" s="13" t="s">
        <v>999</v>
      </c>
      <c r="F1065" s="13" t="s">
        <v>1000</v>
      </c>
      <c r="G1065" t="s">
        <v>1010</v>
      </c>
    </row>
    <row r="1066" spans="1:7" x14ac:dyDescent="0.3">
      <c r="A1066" s="13" t="s">
        <v>229</v>
      </c>
      <c r="B1066" s="13">
        <v>1232</v>
      </c>
      <c r="C1066" s="13">
        <v>3113</v>
      </c>
      <c r="D1066" s="13" t="s">
        <v>1098</v>
      </c>
      <c r="E1066" s="13">
        <v>33978</v>
      </c>
      <c r="F1066" s="13">
        <v>17353</v>
      </c>
      <c r="G1066" t="s">
        <v>822</v>
      </c>
    </row>
    <row r="1067" spans="1:7" x14ac:dyDescent="0.3">
      <c r="A1067" s="13" t="s">
        <v>852</v>
      </c>
      <c r="B1067" s="13">
        <v>1805</v>
      </c>
      <c r="C1067" s="13">
        <v>667</v>
      </c>
      <c r="D1067" s="13" t="s">
        <v>1099</v>
      </c>
      <c r="E1067" s="13">
        <v>8930</v>
      </c>
      <c r="F1067" s="13">
        <v>8407</v>
      </c>
      <c r="G1067" t="s">
        <v>822</v>
      </c>
    </row>
    <row r="1068" spans="1:7" x14ac:dyDescent="0.3">
      <c r="A1068" s="13" t="s">
        <v>37</v>
      </c>
      <c r="B1068" s="13">
        <v>3192</v>
      </c>
      <c r="C1068" s="13">
        <v>26645</v>
      </c>
      <c r="D1068" s="13" t="s">
        <v>1100</v>
      </c>
      <c r="E1068" s="13">
        <v>51652</v>
      </c>
      <c r="F1068" s="13">
        <v>48263</v>
      </c>
      <c r="G1068" t="s">
        <v>822</v>
      </c>
    </row>
    <row r="1069" spans="1:7" x14ac:dyDescent="0.3">
      <c r="A1069" s="13" t="s">
        <v>892</v>
      </c>
      <c r="B1069" s="13">
        <v>818</v>
      </c>
      <c r="C1069" s="13">
        <v>2365</v>
      </c>
      <c r="D1069" s="13" t="s">
        <v>1101</v>
      </c>
      <c r="E1069" s="13">
        <v>39343</v>
      </c>
      <c r="F1069" s="13">
        <v>31501</v>
      </c>
      <c r="G1069" t="s">
        <v>822</v>
      </c>
    </row>
    <row r="1070" spans="1:7" x14ac:dyDescent="0.3">
      <c r="A1070" s="13" t="s">
        <v>67</v>
      </c>
      <c r="B1070" s="13">
        <v>1035</v>
      </c>
      <c r="C1070" s="13">
        <v>138727</v>
      </c>
      <c r="D1070" s="13" t="s">
        <v>1101</v>
      </c>
      <c r="E1070" s="13">
        <v>219380</v>
      </c>
      <c r="F1070" s="13">
        <v>91452</v>
      </c>
      <c r="G1070" t="s">
        <v>822</v>
      </c>
    </row>
    <row r="1071" spans="1:7" x14ac:dyDescent="0.3">
      <c r="A1071" s="13" t="s">
        <v>65</v>
      </c>
      <c r="B1071" s="13">
        <v>1885</v>
      </c>
      <c r="C1071" s="13">
        <v>16818</v>
      </c>
      <c r="D1071" s="13" t="s">
        <v>1101</v>
      </c>
      <c r="E1071" s="13">
        <v>24646</v>
      </c>
      <c r="F1071" s="13">
        <v>22865</v>
      </c>
      <c r="G1071" t="s">
        <v>822</v>
      </c>
    </row>
    <row r="1072" spans="1:7" x14ac:dyDescent="0.3">
      <c r="A1072" s="13" t="s">
        <v>111</v>
      </c>
      <c r="B1072" s="13">
        <v>1460.4</v>
      </c>
      <c r="C1072" s="13">
        <v>9608</v>
      </c>
      <c r="D1072" s="13" t="s">
        <v>1101</v>
      </c>
      <c r="E1072" s="13">
        <v>40871</v>
      </c>
      <c r="F1072" s="13">
        <v>37269</v>
      </c>
      <c r="G1072" t="s">
        <v>822</v>
      </c>
    </row>
    <row r="1073" spans="1:7" x14ac:dyDescent="0.3">
      <c r="A1073" s="13" t="s">
        <v>337</v>
      </c>
      <c r="B1073" s="13">
        <v>2828</v>
      </c>
      <c r="C1073" s="13">
        <v>3690</v>
      </c>
      <c r="D1073" s="13" t="s">
        <v>1099</v>
      </c>
      <c r="E1073" s="13">
        <v>13468</v>
      </c>
      <c r="F1073" s="13">
        <v>9140</v>
      </c>
      <c r="G1073" t="s">
        <v>822</v>
      </c>
    </row>
    <row r="1074" spans="1:7" x14ac:dyDescent="0.3">
      <c r="A1074" s="13" t="s">
        <v>233</v>
      </c>
      <c r="B1074" s="13">
        <v>400</v>
      </c>
      <c r="C1074" s="13">
        <v>81071</v>
      </c>
      <c r="D1074" s="13" t="s">
        <v>1100</v>
      </c>
      <c r="E1074" s="13">
        <v>707498</v>
      </c>
      <c r="F1074" s="13">
        <v>168821</v>
      </c>
      <c r="G1074" t="s">
        <v>822</v>
      </c>
    </row>
    <row r="1075" spans="1:7" x14ac:dyDescent="0.3">
      <c r="A1075" s="13" t="s">
        <v>95</v>
      </c>
      <c r="B1075" s="13">
        <v>5409.5</v>
      </c>
      <c r="C1075" s="13">
        <v>1733</v>
      </c>
      <c r="D1075" s="13" t="s">
        <v>1098</v>
      </c>
      <c r="E1075" s="13">
        <v>7204</v>
      </c>
      <c r="F1075" s="13">
        <v>6191</v>
      </c>
      <c r="G1075" t="s">
        <v>822</v>
      </c>
    </row>
    <row r="1076" spans="1:7" x14ac:dyDescent="0.3">
      <c r="A1076" s="13" t="s">
        <v>349</v>
      </c>
      <c r="B1076" s="13">
        <v>1115.3</v>
      </c>
      <c r="C1076" s="13">
        <v>3747</v>
      </c>
      <c r="D1076" s="13" t="s">
        <v>1102</v>
      </c>
      <c r="E1076" s="13">
        <v>16542</v>
      </c>
      <c r="F1076" s="13">
        <v>15089</v>
      </c>
      <c r="G1076" t="s">
        <v>822</v>
      </c>
    </row>
    <row r="1077" spans="1:7" x14ac:dyDescent="0.3">
      <c r="A1077" s="13" t="s">
        <v>363</v>
      </c>
      <c r="B1077" s="13">
        <v>4680</v>
      </c>
      <c r="C1077" s="13">
        <v>57</v>
      </c>
      <c r="D1077" s="13" t="s">
        <v>1103</v>
      </c>
      <c r="E1077" s="13">
        <v>2966</v>
      </c>
      <c r="F1077" s="13">
        <v>2948</v>
      </c>
      <c r="G1077" t="s">
        <v>822</v>
      </c>
    </row>
    <row r="1078" spans="1:7" x14ac:dyDescent="0.3">
      <c r="A1078" s="13" t="s">
        <v>373</v>
      </c>
      <c r="B1078" s="13">
        <v>592.95000000000005</v>
      </c>
      <c r="C1078" s="13">
        <v>5397</v>
      </c>
      <c r="D1078" s="13" t="s">
        <v>1102</v>
      </c>
      <c r="E1078" s="13">
        <v>39618</v>
      </c>
      <c r="F1078" s="13">
        <v>38774</v>
      </c>
      <c r="G1078" t="s">
        <v>822</v>
      </c>
    </row>
    <row r="1079" spans="1:7" x14ac:dyDescent="0.3">
      <c r="A1079" s="13" t="s">
        <v>874</v>
      </c>
      <c r="B1079" s="13">
        <v>4090</v>
      </c>
      <c r="C1079" s="13">
        <v>20854</v>
      </c>
      <c r="D1079" s="13" t="s">
        <v>1101</v>
      </c>
      <c r="E1079" s="13">
        <v>74878</v>
      </c>
      <c r="F1079" s="13">
        <v>36702</v>
      </c>
      <c r="G1079" t="s">
        <v>822</v>
      </c>
    </row>
    <row r="1080" spans="1:7" x14ac:dyDescent="0.3">
      <c r="A1080" s="13" t="s">
        <v>291</v>
      </c>
      <c r="B1080" s="13">
        <v>237.2</v>
      </c>
      <c r="C1080" s="13">
        <v>25447</v>
      </c>
      <c r="D1080" s="13" t="s">
        <v>1101</v>
      </c>
      <c r="E1080" s="13">
        <v>276825</v>
      </c>
      <c r="F1080" s="13">
        <v>265444</v>
      </c>
      <c r="G1080" t="s">
        <v>822</v>
      </c>
    </row>
    <row r="1081" spans="1:7" x14ac:dyDescent="0.3">
      <c r="A1081" s="13" t="s">
        <v>254</v>
      </c>
      <c r="B1081" s="13">
        <v>873</v>
      </c>
      <c r="C1081" s="13">
        <v>152409</v>
      </c>
      <c r="D1081" s="13" t="s">
        <v>1101</v>
      </c>
      <c r="E1081" s="13">
        <v>146302</v>
      </c>
      <c r="F1081" s="13">
        <v>47557</v>
      </c>
      <c r="G1081" t="s">
        <v>822</v>
      </c>
    </row>
    <row r="1082" spans="1:7" x14ac:dyDescent="0.3">
      <c r="A1082" s="13" t="s">
        <v>297</v>
      </c>
      <c r="B1082" s="13">
        <v>4670</v>
      </c>
      <c r="C1082" s="13">
        <v>7381</v>
      </c>
      <c r="D1082" s="13" t="s">
        <v>1099</v>
      </c>
      <c r="E1082" s="13">
        <v>14594</v>
      </c>
      <c r="F1082" s="13">
        <v>9235</v>
      </c>
      <c r="G1082" t="s">
        <v>822</v>
      </c>
    </row>
    <row r="1083" spans="1:7" x14ac:dyDescent="0.3">
      <c r="A1083" s="13" t="s">
        <v>273</v>
      </c>
      <c r="B1083" s="13">
        <v>3016.6</v>
      </c>
      <c r="C1083" s="13">
        <v>9387</v>
      </c>
      <c r="D1083" s="13" t="s">
        <v>1099</v>
      </c>
      <c r="E1083" s="13">
        <v>11632</v>
      </c>
      <c r="F1083" s="13">
        <v>8934</v>
      </c>
      <c r="G1083" t="s">
        <v>822</v>
      </c>
    </row>
    <row r="1084" spans="1:7" x14ac:dyDescent="0.3">
      <c r="A1084" s="13" t="s">
        <v>952</v>
      </c>
      <c r="B1084" s="13">
        <v>1620</v>
      </c>
      <c r="C1084" s="13">
        <v>127943</v>
      </c>
      <c r="D1084" s="13" t="s">
        <v>1101</v>
      </c>
      <c r="E1084" s="13">
        <v>795228</v>
      </c>
      <c r="F1084" s="13">
        <v>84965</v>
      </c>
      <c r="G1084" t="s">
        <v>822</v>
      </c>
    </row>
    <row r="1085" spans="1:7" x14ac:dyDescent="0.3">
      <c r="A1085" s="13" t="s">
        <v>240</v>
      </c>
      <c r="B1085" s="13">
        <v>555.79999999999995</v>
      </c>
      <c r="C1085" s="13">
        <v>526</v>
      </c>
      <c r="D1085" s="13" t="s">
        <v>1103</v>
      </c>
      <c r="E1085" s="13">
        <v>40755</v>
      </c>
      <c r="F1085" s="13">
        <v>30102</v>
      </c>
      <c r="G1085" t="s">
        <v>822</v>
      </c>
    </row>
    <row r="1086" spans="1:7" x14ac:dyDescent="0.3">
      <c r="A1086" s="13" t="s">
        <v>916</v>
      </c>
      <c r="B1086" s="13">
        <v>1015</v>
      </c>
      <c r="C1086" s="13">
        <v>4630</v>
      </c>
      <c r="D1086" s="13" t="s">
        <v>1104</v>
      </c>
      <c r="E1086" s="13">
        <v>92237</v>
      </c>
      <c r="F1086" s="13">
        <v>28705</v>
      </c>
      <c r="G1086" t="s">
        <v>822</v>
      </c>
    </row>
    <row r="1087" spans="1:7" x14ac:dyDescent="0.3">
      <c r="A1087" s="13" t="s">
        <v>323</v>
      </c>
      <c r="B1087" s="13">
        <v>171</v>
      </c>
      <c r="C1087" s="13">
        <v>91940</v>
      </c>
      <c r="D1087" s="13" t="s">
        <v>1100</v>
      </c>
      <c r="E1087" s="13">
        <v>474407</v>
      </c>
      <c r="F1087" s="13">
        <v>292467</v>
      </c>
      <c r="G1087" t="s">
        <v>822</v>
      </c>
    </row>
    <row r="1088" spans="1:7" x14ac:dyDescent="0.3">
      <c r="A1088" s="13" t="s">
        <v>189</v>
      </c>
      <c r="B1088" s="13">
        <v>1762.9</v>
      </c>
      <c r="C1088" s="13">
        <v>42</v>
      </c>
      <c r="D1088" s="13" t="s">
        <v>1099</v>
      </c>
      <c r="E1088" s="13">
        <v>1924</v>
      </c>
      <c r="F1088" s="13">
        <v>1858</v>
      </c>
      <c r="G1088" t="s">
        <v>822</v>
      </c>
    </row>
    <row r="1089" spans="1:7" x14ac:dyDescent="0.3">
      <c r="A1089" s="13" t="s">
        <v>966</v>
      </c>
      <c r="B1089" s="13">
        <v>18734</v>
      </c>
      <c r="C1089" s="13">
        <v>427</v>
      </c>
      <c r="D1089" s="13" t="s">
        <v>1102</v>
      </c>
      <c r="E1089" s="13">
        <v>1412</v>
      </c>
      <c r="F1089" s="13">
        <v>7109</v>
      </c>
      <c r="G1089" t="s">
        <v>836</v>
      </c>
    </row>
    <row r="1090" spans="1:7" x14ac:dyDescent="0.3">
      <c r="A1090" s="13" t="s">
        <v>950</v>
      </c>
      <c r="B1090" s="13">
        <v>1059.5999999999999</v>
      </c>
      <c r="C1090" s="13">
        <v>230</v>
      </c>
      <c r="D1090" s="13" t="s">
        <v>1103</v>
      </c>
      <c r="E1090" s="13">
        <v>9506</v>
      </c>
      <c r="F1090" s="13">
        <v>18474</v>
      </c>
      <c r="G1090" t="s">
        <v>836</v>
      </c>
    </row>
    <row r="1091" spans="1:7" x14ac:dyDescent="0.3">
      <c r="A1091" s="13" t="s">
        <v>145</v>
      </c>
      <c r="B1091" s="13">
        <v>332.4</v>
      </c>
      <c r="C1091" s="13">
        <v>8428</v>
      </c>
      <c r="D1091" s="13" t="s">
        <v>1102</v>
      </c>
      <c r="E1091" s="13">
        <v>46458</v>
      </c>
      <c r="F1091" s="13">
        <v>72940</v>
      </c>
      <c r="G1091" t="s">
        <v>836</v>
      </c>
    </row>
    <row r="1092" spans="1:7" x14ac:dyDescent="0.3">
      <c r="A1092" s="13" t="s">
        <v>940</v>
      </c>
      <c r="B1092" s="13">
        <v>422</v>
      </c>
      <c r="C1092" s="13">
        <v>3516</v>
      </c>
      <c r="D1092" s="13" t="s">
        <v>1103</v>
      </c>
      <c r="E1092" s="13">
        <v>56548</v>
      </c>
      <c r="F1092" s="13">
        <v>88195</v>
      </c>
      <c r="G1092" t="s">
        <v>836</v>
      </c>
    </row>
    <row r="1093" spans="1:7" x14ac:dyDescent="0.3">
      <c r="A1093" s="13" t="s">
        <v>890</v>
      </c>
      <c r="B1093" s="13">
        <v>1957</v>
      </c>
      <c r="C1093" s="13">
        <v>526</v>
      </c>
      <c r="D1093" s="13" t="s">
        <v>1098</v>
      </c>
      <c r="E1093" s="13">
        <v>6895</v>
      </c>
      <c r="F1093" s="13">
        <v>15798</v>
      </c>
      <c r="G1093" t="s">
        <v>836</v>
      </c>
    </row>
    <row r="1094" spans="1:7" x14ac:dyDescent="0.3">
      <c r="A1094" s="13" t="s">
        <v>305</v>
      </c>
      <c r="B1094" s="13">
        <v>2619</v>
      </c>
      <c r="C1094" s="13">
        <v>168</v>
      </c>
      <c r="D1094" s="13" t="s">
        <v>1103</v>
      </c>
      <c r="E1094" s="13">
        <v>3390</v>
      </c>
      <c r="F1094" s="13">
        <v>4768</v>
      </c>
      <c r="G1094" t="s">
        <v>836</v>
      </c>
    </row>
    <row r="1095" spans="1:7" x14ac:dyDescent="0.3">
      <c r="A1095" s="13" t="s">
        <v>880</v>
      </c>
      <c r="B1095" s="13">
        <v>979</v>
      </c>
      <c r="C1095" s="13">
        <v>1336</v>
      </c>
      <c r="D1095" s="13" t="s">
        <v>1102</v>
      </c>
      <c r="E1095" s="13">
        <v>12652</v>
      </c>
      <c r="F1095" s="13">
        <v>22568</v>
      </c>
      <c r="G1095" t="s">
        <v>836</v>
      </c>
    </row>
    <row r="1096" spans="1:7" x14ac:dyDescent="0.3">
      <c r="A1096" s="13" t="s">
        <v>942</v>
      </c>
      <c r="B1096" s="13">
        <v>415</v>
      </c>
      <c r="C1096" s="13">
        <v>5134</v>
      </c>
      <c r="D1096" s="13" t="s">
        <v>1103</v>
      </c>
      <c r="E1096" s="13">
        <v>25841</v>
      </c>
      <c r="F1096" s="13">
        <v>62732</v>
      </c>
      <c r="G1096" t="s">
        <v>836</v>
      </c>
    </row>
    <row r="1097" spans="1:7" x14ac:dyDescent="0.3">
      <c r="A1097" s="13" t="s">
        <v>377</v>
      </c>
      <c r="B1097" s="13">
        <v>1295.5</v>
      </c>
      <c r="C1097" s="13">
        <v>1258</v>
      </c>
      <c r="D1097" s="13" t="s">
        <v>1099</v>
      </c>
      <c r="E1097" s="13">
        <v>8989</v>
      </c>
      <c r="F1097" s="13">
        <v>20405</v>
      </c>
      <c r="G1097" t="s">
        <v>836</v>
      </c>
    </row>
    <row r="1098" spans="1:7" x14ac:dyDescent="0.3">
      <c r="A1098" s="13" t="s">
        <v>371</v>
      </c>
      <c r="B1098" s="13">
        <v>11577</v>
      </c>
      <c r="C1098" s="13">
        <v>609</v>
      </c>
      <c r="D1098" s="13" t="s">
        <v>1099</v>
      </c>
      <c r="E1098" s="13">
        <v>2048</v>
      </c>
      <c r="F1098" s="13">
        <v>6395</v>
      </c>
      <c r="G1098" t="s">
        <v>836</v>
      </c>
    </row>
    <row r="1099" spans="1:7" x14ac:dyDescent="0.3">
      <c r="A1099" s="13" t="s">
        <v>161</v>
      </c>
      <c r="B1099" s="13">
        <v>3180</v>
      </c>
      <c r="C1099" s="13">
        <v>2463</v>
      </c>
      <c r="D1099" s="13" t="s">
        <v>1101</v>
      </c>
      <c r="E1099" s="13">
        <v>2126</v>
      </c>
      <c r="F1099" s="13">
        <v>6912</v>
      </c>
      <c r="G1099" t="s">
        <v>836</v>
      </c>
    </row>
    <row r="1100" spans="1:7" x14ac:dyDescent="0.3">
      <c r="A1100" s="13" t="s">
        <v>127</v>
      </c>
      <c r="B1100" s="13">
        <v>1754.5</v>
      </c>
      <c r="C1100" s="13">
        <v>287</v>
      </c>
      <c r="D1100" s="13" t="s">
        <v>1102</v>
      </c>
      <c r="E1100" s="13">
        <v>2158</v>
      </c>
      <c r="F1100" s="13">
        <v>8913</v>
      </c>
      <c r="G1100" t="s">
        <v>836</v>
      </c>
    </row>
    <row r="1101" spans="1:7" x14ac:dyDescent="0.3">
      <c r="A1101" s="13" t="s">
        <v>842</v>
      </c>
      <c r="B1101" s="13">
        <v>1562</v>
      </c>
      <c r="C1101" s="13">
        <v>5303</v>
      </c>
      <c r="D1101" s="13" t="s">
        <v>1101</v>
      </c>
      <c r="E1101" s="13">
        <v>17448</v>
      </c>
      <c r="F1101" s="13">
        <v>90398</v>
      </c>
      <c r="G1101" t="s">
        <v>836</v>
      </c>
    </row>
    <row r="1102" spans="1:7" x14ac:dyDescent="0.3">
      <c r="A1102" s="13" t="s">
        <v>213</v>
      </c>
      <c r="B1102" s="13">
        <v>385.25</v>
      </c>
      <c r="C1102" s="13">
        <v>3141</v>
      </c>
      <c r="D1102" s="13" t="s">
        <v>1098</v>
      </c>
      <c r="E1102" s="13">
        <v>53346</v>
      </c>
      <c r="F1102" s="13">
        <v>129759</v>
      </c>
      <c r="G1102" t="s">
        <v>836</v>
      </c>
    </row>
    <row r="1103" spans="1:7" x14ac:dyDescent="0.3">
      <c r="A1103" s="13" t="s">
        <v>870</v>
      </c>
      <c r="B1103" s="13">
        <v>1525</v>
      </c>
      <c r="C1103" s="13">
        <v>2855</v>
      </c>
      <c r="D1103" s="13" t="s">
        <v>1102</v>
      </c>
      <c r="E1103" s="13">
        <v>15995</v>
      </c>
      <c r="F1103" s="13">
        <v>64719</v>
      </c>
      <c r="G1103" t="s">
        <v>836</v>
      </c>
    </row>
    <row r="1104" spans="1:7" x14ac:dyDescent="0.3">
      <c r="A1104" s="13" t="s">
        <v>926</v>
      </c>
      <c r="B1104" s="13">
        <v>2565</v>
      </c>
      <c r="C1104" s="13">
        <v>5056</v>
      </c>
      <c r="D1104" s="13" t="s">
        <v>1100</v>
      </c>
      <c r="E1104" s="13">
        <v>13287</v>
      </c>
      <c r="F1104" s="13">
        <v>78964</v>
      </c>
      <c r="G1104" t="s">
        <v>836</v>
      </c>
    </row>
    <row r="1105" spans="1:7" x14ac:dyDescent="0.3">
      <c r="A1105" s="13" t="s">
        <v>922</v>
      </c>
      <c r="B1105" s="13">
        <v>2498.9</v>
      </c>
      <c r="C1105" s="13">
        <v>416</v>
      </c>
      <c r="D1105" s="13" t="s">
        <v>1103</v>
      </c>
      <c r="E1105" s="13">
        <v>2230</v>
      </c>
      <c r="F1105" s="13">
        <v>7087</v>
      </c>
      <c r="G1105" t="s">
        <v>836</v>
      </c>
    </row>
    <row r="1106" spans="1:7" x14ac:dyDescent="0.3">
      <c r="A1106" s="13" t="s">
        <v>223</v>
      </c>
      <c r="B1106" s="13">
        <v>291.3</v>
      </c>
      <c r="C1106" s="13">
        <v>37323</v>
      </c>
      <c r="D1106" s="13" t="s">
        <v>1101</v>
      </c>
      <c r="E1106" s="13">
        <v>295982</v>
      </c>
      <c r="F1106" s="13">
        <v>616772</v>
      </c>
      <c r="G1106" t="s">
        <v>836</v>
      </c>
    </row>
    <row r="1107" spans="1:7" x14ac:dyDescent="0.3">
      <c r="A1107" s="13" t="s">
        <v>211</v>
      </c>
      <c r="B1107" s="13">
        <v>948</v>
      </c>
      <c r="C1107" s="13">
        <v>4363</v>
      </c>
      <c r="D1107" s="13" t="s">
        <v>1099</v>
      </c>
      <c r="E1107" s="13">
        <v>18274</v>
      </c>
      <c r="F1107" s="13">
        <v>47439</v>
      </c>
      <c r="G1107" t="s">
        <v>836</v>
      </c>
    </row>
    <row r="1108" spans="1:7" x14ac:dyDescent="0.3">
      <c r="A1108" s="13" t="s">
        <v>958</v>
      </c>
      <c r="B1108" s="13">
        <v>1682</v>
      </c>
      <c r="C1108" s="13">
        <v>998</v>
      </c>
      <c r="D1108" s="13" t="s">
        <v>1103</v>
      </c>
      <c r="E1108" s="13">
        <v>3387</v>
      </c>
      <c r="F1108" s="13">
        <v>37011</v>
      </c>
      <c r="G1108" t="s">
        <v>836</v>
      </c>
    </row>
    <row r="1109" spans="1:7" x14ac:dyDescent="0.3">
      <c r="A1109" s="13" t="s">
        <v>856</v>
      </c>
      <c r="B1109" s="13">
        <v>145.63999999999999</v>
      </c>
      <c r="C1109" s="13">
        <v>17712</v>
      </c>
      <c r="D1109" s="13" t="s">
        <v>1098</v>
      </c>
      <c r="E1109" s="13">
        <v>114354</v>
      </c>
      <c r="F1109" s="13">
        <v>340228</v>
      </c>
      <c r="G1109" t="s">
        <v>836</v>
      </c>
    </row>
    <row r="1110" spans="1:7" x14ac:dyDescent="0.3">
      <c r="A1110" s="13" t="s">
        <v>339</v>
      </c>
      <c r="B1110" s="13">
        <v>1880</v>
      </c>
      <c r="C1110" s="13">
        <v>6014</v>
      </c>
      <c r="D1110" s="13" t="s">
        <v>1100</v>
      </c>
      <c r="E1110" s="13">
        <v>6848</v>
      </c>
      <c r="F1110" s="13">
        <v>23905</v>
      </c>
      <c r="G1110" t="s">
        <v>836</v>
      </c>
    </row>
    <row r="1111" spans="1:7" x14ac:dyDescent="0.3">
      <c r="A1111" s="13" t="s">
        <v>970</v>
      </c>
      <c r="B1111" s="13">
        <v>3292</v>
      </c>
      <c r="C1111" s="13">
        <v>116</v>
      </c>
      <c r="D1111" s="13" t="s">
        <v>1099</v>
      </c>
      <c r="E1111" s="13">
        <v>2475</v>
      </c>
      <c r="F1111" s="13">
        <v>5884</v>
      </c>
      <c r="G1111" t="s">
        <v>836</v>
      </c>
    </row>
    <row r="1112" spans="1:7" x14ac:dyDescent="0.3">
      <c r="A1112" s="13" t="s">
        <v>165</v>
      </c>
      <c r="B1112" s="13">
        <v>4456.2</v>
      </c>
      <c r="C1112" s="13">
        <v>3676</v>
      </c>
      <c r="D1112" s="13" t="s">
        <v>1101</v>
      </c>
      <c r="E1112" s="13">
        <v>7588</v>
      </c>
      <c r="F1112" s="13">
        <v>35386</v>
      </c>
      <c r="G1112" t="s">
        <v>836</v>
      </c>
    </row>
    <row r="1113" spans="1:7" x14ac:dyDescent="0.3">
      <c r="A1113" s="13" t="s">
        <v>73</v>
      </c>
      <c r="B1113" s="13">
        <v>206.12</v>
      </c>
      <c r="C1113" s="13">
        <v>7623</v>
      </c>
      <c r="D1113" s="13" t="s">
        <v>1098</v>
      </c>
      <c r="E1113" s="13">
        <v>55740</v>
      </c>
      <c r="F1113" s="13">
        <v>277606</v>
      </c>
      <c r="G1113" t="s">
        <v>836</v>
      </c>
    </row>
    <row r="1114" spans="1:7" x14ac:dyDescent="0.3">
      <c r="A1114" s="13" t="s">
        <v>904</v>
      </c>
      <c r="B1114" s="13">
        <v>390</v>
      </c>
      <c r="C1114" s="13">
        <v>8888</v>
      </c>
      <c r="D1114" s="13" t="s">
        <v>1103</v>
      </c>
      <c r="E1114" s="13">
        <v>38439</v>
      </c>
      <c r="F1114" s="13">
        <v>181264</v>
      </c>
      <c r="G1114" t="s">
        <v>836</v>
      </c>
    </row>
    <row r="1115" spans="1:7" x14ac:dyDescent="0.3">
      <c r="A1115" s="13" t="s">
        <v>217</v>
      </c>
      <c r="B1115" s="13">
        <v>142.32</v>
      </c>
      <c r="C1115" s="13">
        <v>33488</v>
      </c>
      <c r="D1115" s="13" t="s">
        <v>1101</v>
      </c>
      <c r="E1115" s="13">
        <v>275644</v>
      </c>
      <c r="F1115" s="13">
        <v>915609</v>
      </c>
      <c r="G1115" t="s">
        <v>836</v>
      </c>
    </row>
    <row r="1116" spans="1:7" x14ac:dyDescent="0.3">
      <c r="A1116" s="13" t="s">
        <v>978</v>
      </c>
      <c r="B1116" s="13">
        <v>3106.1</v>
      </c>
      <c r="C1116" s="13">
        <v>247</v>
      </c>
      <c r="D1116" s="13" t="s">
        <v>1100</v>
      </c>
      <c r="E1116" s="13">
        <v>1424</v>
      </c>
      <c r="F1116" s="13">
        <v>4862</v>
      </c>
      <c r="G1116" t="s">
        <v>836</v>
      </c>
    </row>
    <row r="1117" spans="1:7" x14ac:dyDescent="0.3">
      <c r="A1117" s="13" t="s">
        <v>125</v>
      </c>
      <c r="B1117" s="13">
        <v>448.9</v>
      </c>
      <c r="C1117" s="13">
        <v>8905</v>
      </c>
      <c r="D1117" s="13" t="s">
        <v>1101</v>
      </c>
      <c r="E1117" s="13">
        <v>26297</v>
      </c>
      <c r="F1117" s="13">
        <v>69476</v>
      </c>
      <c r="G1117" t="s">
        <v>836</v>
      </c>
    </row>
    <row r="1118" spans="1:7" x14ac:dyDescent="0.3">
      <c r="A1118" s="13" t="s">
        <v>603</v>
      </c>
      <c r="B1118" s="13">
        <v>9899</v>
      </c>
      <c r="C1118" s="13">
        <v>1122</v>
      </c>
      <c r="D1118" s="13" t="s">
        <v>1098</v>
      </c>
      <c r="E1118" s="13">
        <v>2767</v>
      </c>
      <c r="F1118" s="13">
        <v>7212</v>
      </c>
      <c r="G1118" t="s">
        <v>836</v>
      </c>
    </row>
    <row r="1119" spans="1:7" x14ac:dyDescent="0.3">
      <c r="A1119" s="13" t="s">
        <v>53</v>
      </c>
      <c r="B1119" s="13">
        <v>1370</v>
      </c>
      <c r="C1119" s="13">
        <v>837</v>
      </c>
      <c r="D1119" s="13" t="s">
        <v>1102</v>
      </c>
      <c r="E1119" s="13">
        <v>10563</v>
      </c>
      <c r="F1119" s="13">
        <v>22259</v>
      </c>
      <c r="G1119" t="s">
        <v>836</v>
      </c>
    </row>
    <row r="1120" spans="1:7" x14ac:dyDescent="0.3">
      <c r="A1120" s="13" t="s">
        <v>928</v>
      </c>
      <c r="B1120" s="13">
        <v>961</v>
      </c>
      <c r="C1120" s="13">
        <v>628</v>
      </c>
      <c r="D1120" s="13" t="s">
        <v>1103</v>
      </c>
      <c r="E1120" s="13">
        <v>10142</v>
      </c>
      <c r="F1120" s="13">
        <v>39684</v>
      </c>
      <c r="G1120" t="s">
        <v>836</v>
      </c>
    </row>
    <row r="1121" spans="1:7" x14ac:dyDescent="0.3">
      <c r="A1121" s="13" t="s">
        <v>231</v>
      </c>
      <c r="B1121" s="13">
        <v>433.45</v>
      </c>
      <c r="C1121" s="13">
        <v>2027</v>
      </c>
      <c r="D1121" s="13" t="s">
        <v>1102</v>
      </c>
      <c r="E1121" s="13">
        <v>21047</v>
      </c>
      <c r="F1121" s="13">
        <v>71545</v>
      </c>
      <c r="G1121" t="s">
        <v>836</v>
      </c>
    </row>
    <row r="1122" spans="1:7" x14ac:dyDescent="0.3">
      <c r="A1122" s="13" t="s">
        <v>902</v>
      </c>
      <c r="B1122" s="13">
        <v>567.79999999999995</v>
      </c>
      <c r="C1122" s="13">
        <v>1828</v>
      </c>
      <c r="D1122" s="13" t="s">
        <v>1098</v>
      </c>
      <c r="E1122" s="13">
        <v>17835</v>
      </c>
      <c r="F1122" s="13">
        <v>78699</v>
      </c>
      <c r="G1122" t="s">
        <v>836</v>
      </c>
    </row>
    <row r="1123" spans="1:7" x14ac:dyDescent="0.3">
      <c r="A1123" s="13" t="s">
        <v>59</v>
      </c>
      <c r="B1123" s="13">
        <v>1568</v>
      </c>
      <c r="C1123" s="13">
        <v>572</v>
      </c>
      <c r="D1123" s="13" t="s">
        <v>1102</v>
      </c>
      <c r="E1123" s="13">
        <v>5034</v>
      </c>
      <c r="F1123" s="13">
        <v>13698</v>
      </c>
      <c r="G1123" t="s">
        <v>836</v>
      </c>
    </row>
    <row r="1124" spans="1:7" x14ac:dyDescent="0.3">
      <c r="A1124" s="13" t="s">
        <v>135</v>
      </c>
      <c r="B1124" s="13">
        <v>661.2</v>
      </c>
      <c r="C1124" s="13">
        <v>6411</v>
      </c>
      <c r="D1124" s="13" t="s">
        <v>1102</v>
      </c>
      <c r="E1124" s="13">
        <v>25249</v>
      </c>
      <c r="F1124" s="13">
        <v>97600</v>
      </c>
      <c r="G1124" t="s">
        <v>836</v>
      </c>
    </row>
    <row r="1125" spans="1:7" x14ac:dyDescent="0.3">
      <c r="A1125" s="13" t="s">
        <v>383</v>
      </c>
      <c r="B1125" s="13">
        <v>1105</v>
      </c>
      <c r="C1125" s="13">
        <v>1522</v>
      </c>
      <c r="D1125" s="13" t="s">
        <v>1101</v>
      </c>
      <c r="E1125" s="13">
        <v>10033</v>
      </c>
      <c r="F1125" s="13">
        <v>21246</v>
      </c>
      <c r="G1125" t="s">
        <v>836</v>
      </c>
    </row>
    <row r="1126" spans="1:7" x14ac:dyDescent="0.3">
      <c r="A1126" s="13" t="s">
        <v>972</v>
      </c>
      <c r="B1126" s="13">
        <v>57.93</v>
      </c>
      <c r="C1126" s="13">
        <v>158671</v>
      </c>
      <c r="D1126" s="13" t="s">
        <v>1101</v>
      </c>
      <c r="E1126" s="13">
        <v>1226693</v>
      </c>
      <c r="F1126" s="13">
        <v>4710027</v>
      </c>
      <c r="G1126" t="s">
        <v>836</v>
      </c>
    </row>
    <row r="1127" spans="1:7" x14ac:dyDescent="0.3">
      <c r="A1127" s="13" t="s">
        <v>968</v>
      </c>
      <c r="B1127" s="13">
        <v>665.25</v>
      </c>
      <c r="C1127" s="13">
        <v>8114</v>
      </c>
      <c r="D1127" s="13" t="s">
        <v>1098</v>
      </c>
      <c r="E1127" s="13">
        <v>28106</v>
      </c>
      <c r="F1127" s="13">
        <v>50902</v>
      </c>
      <c r="G1127" t="s">
        <v>836</v>
      </c>
    </row>
    <row r="1128" spans="1:7" x14ac:dyDescent="0.3">
      <c r="A1128" s="13" t="s">
        <v>934</v>
      </c>
      <c r="B1128" s="13">
        <v>80.95</v>
      </c>
      <c r="C1128" s="13">
        <v>36607</v>
      </c>
      <c r="D1128" s="13" t="s">
        <v>1101</v>
      </c>
      <c r="E1128" s="13">
        <v>225387</v>
      </c>
      <c r="F1128" s="13">
        <v>1158150</v>
      </c>
      <c r="G1128" t="s">
        <v>836</v>
      </c>
    </row>
    <row r="1129" spans="1:7" x14ac:dyDescent="0.3">
      <c r="A1129" s="13" t="s">
        <v>930</v>
      </c>
      <c r="B1129" s="13">
        <v>1217.0999999999999</v>
      </c>
      <c r="C1129" s="13">
        <v>1067</v>
      </c>
      <c r="D1129" s="13" t="s">
        <v>1103</v>
      </c>
      <c r="E1129" s="13">
        <v>4781</v>
      </c>
      <c r="F1129" s="13">
        <v>13036</v>
      </c>
      <c r="G1129" t="s">
        <v>836</v>
      </c>
    </row>
    <row r="1130" spans="1:7" x14ac:dyDescent="0.3">
      <c r="A1130" s="13" t="s">
        <v>147</v>
      </c>
      <c r="B1130" s="13">
        <v>174.32</v>
      </c>
      <c r="C1130" s="13">
        <v>6197</v>
      </c>
      <c r="D1130" s="13" t="s">
        <v>1098</v>
      </c>
      <c r="E1130" s="13">
        <v>68528</v>
      </c>
      <c r="F1130" s="13">
        <v>360730</v>
      </c>
      <c r="G1130" t="s">
        <v>836</v>
      </c>
    </row>
    <row r="1131" spans="1:7" x14ac:dyDescent="0.3">
      <c r="A1131" s="13" t="s">
        <v>293</v>
      </c>
      <c r="B1131" s="13">
        <v>42900</v>
      </c>
      <c r="C1131" s="13">
        <v>84</v>
      </c>
      <c r="D1131" s="13" t="s">
        <v>1103</v>
      </c>
      <c r="E1131" s="13">
        <v>304</v>
      </c>
      <c r="F1131" s="13">
        <v>435</v>
      </c>
      <c r="G1131" t="s">
        <v>836</v>
      </c>
    </row>
    <row r="1132" spans="1:7" x14ac:dyDescent="0.3">
      <c r="A1132" s="13" t="s">
        <v>131</v>
      </c>
      <c r="B1132" s="13">
        <v>6685.5</v>
      </c>
      <c r="C1132" s="13">
        <v>83</v>
      </c>
      <c r="D1132" s="13" t="s">
        <v>1104</v>
      </c>
      <c r="E1132" s="13">
        <v>1054</v>
      </c>
      <c r="F1132" s="13">
        <v>3968</v>
      </c>
      <c r="G1132" t="s">
        <v>836</v>
      </c>
    </row>
    <row r="1133" spans="1:7" x14ac:dyDescent="0.3">
      <c r="A1133" s="13" t="s">
        <v>938</v>
      </c>
      <c r="B1133" s="13">
        <v>314</v>
      </c>
      <c r="C1133" s="13">
        <v>8026</v>
      </c>
      <c r="D1133" s="13" t="s">
        <v>1103</v>
      </c>
      <c r="E1133" s="13">
        <v>15257</v>
      </c>
      <c r="F1133" s="13">
        <v>119694</v>
      </c>
      <c r="G1133" t="s">
        <v>836</v>
      </c>
    </row>
    <row r="1134" spans="1:7" x14ac:dyDescent="0.3">
      <c r="A1134" s="13" t="s">
        <v>285</v>
      </c>
      <c r="B1134" s="13">
        <v>358.25</v>
      </c>
      <c r="C1134" s="13">
        <v>19322</v>
      </c>
      <c r="D1134" s="13" t="s">
        <v>1099</v>
      </c>
      <c r="E1134" s="13">
        <v>70748</v>
      </c>
      <c r="F1134" s="13">
        <v>100735</v>
      </c>
      <c r="G1134" t="s">
        <v>836</v>
      </c>
    </row>
    <row r="1135" spans="1:7" x14ac:dyDescent="0.3">
      <c r="A1135" s="13" t="s">
        <v>87</v>
      </c>
      <c r="B1135" s="13">
        <v>402</v>
      </c>
      <c r="C1135" s="13">
        <v>93420</v>
      </c>
      <c r="D1135" s="13" t="s">
        <v>1100</v>
      </c>
      <c r="E1135" s="13">
        <v>160990</v>
      </c>
      <c r="F1135" s="13">
        <v>272192</v>
      </c>
      <c r="G1135" t="s">
        <v>836</v>
      </c>
    </row>
    <row r="1136" spans="1:7" x14ac:dyDescent="0.3">
      <c r="A1136" s="13" t="s">
        <v>39</v>
      </c>
      <c r="B1136" s="13">
        <v>1885</v>
      </c>
      <c r="C1136" s="13">
        <v>10314</v>
      </c>
      <c r="D1136" s="13" t="s">
        <v>1100</v>
      </c>
      <c r="E1136" s="13">
        <v>16951</v>
      </c>
      <c r="F1136" s="13">
        <v>47724</v>
      </c>
      <c r="G1136" t="s">
        <v>836</v>
      </c>
    </row>
    <row r="1137" spans="1:7" x14ac:dyDescent="0.3">
      <c r="A1137" s="13" t="s">
        <v>984</v>
      </c>
      <c r="B1137" s="13">
        <v>1375</v>
      </c>
      <c r="C1137" s="13">
        <v>554</v>
      </c>
      <c r="D1137" s="13" t="s">
        <v>1102</v>
      </c>
      <c r="E1137" s="13">
        <v>2685</v>
      </c>
      <c r="F1137" s="13">
        <v>55837</v>
      </c>
      <c r="G1137" t="s">
        <v>836</v>
      </c>
    </row>
    <row r="1138" spans="1:7" x14ac:dyDescent="0.3">
      <c r="A1138" s="13" t="s">
        <v>281</v>
      </c>
      <c r="B1138" s="13">
        <v>1448</v>
      </c>
      <c r="C1138" s="13">
        <v>3128</v>
      </c>
      <c r="D1138" s="13" t="s">
        <v>1104</v>
      </c>
      <c r="E1138" s="13">
        <v>8554</v>
      </c>
      <c r="F1138" s="13">
        <v>19747</v>
      </c>
      <c r="G1138" t="s">
        <v>836</v>
      </c>
    </row>
    <row r="1139" spans="1:7" x14ac:dyDescent="0.3">
      <c r="A1139" s="13" t="s">
        <v>307</v>
      </c>
      <c r="B1139" s="13">
        <v>107</v>
      </c>
      <c r="C1139" s="13">
        <v>163443</v>
      </c>
      <c r="D1139" s="13" t="s">
        <v>1101</v>
      </c>
      <c r="E1139" s="13">
        <v>353146</v>
      </c>
      <c r="F1139" s="13">
        <v>1621142</v>
      </c>
      <c r="G1139" t="s">
        <v>836</v>
      </c>
    </row>
    <row r="1140" spans="1:7" x14ac:dyDescent="0.3">
      <c r="A1140" s="13" t="s">
        <v>914</v>
      </c>
      <c r="B1140" s="13">
        <v>432.5</v>
      </c>
      <c r="C1140" s="13">
        <v>4788</v>
      </c>
      <c r="D1140" s="13" t="s">
        <v>1104</v>
      </c>
      <c r="E1140" s="13">
        <v>63375</v>
      </c>
      <c r="F1140" s="13">
        <v>233653</v>
      </c>
      <c r="G1140" t="s">
        <v>836</v>
      </c>
    </row>
    <row r="1141" spans="1:7" x14ac:dyDescent="0.3">
      <c r="A1141" s="13" t="s">
        <v>311</v>
      </c>
      <c r="B1141" s="13">
        <v>288.5</v>
      </c>
      <c r="C1141" s="13">
        <v>49992</v>
      </c>
      <c r="D1141" s="13" t="s">
        <v>1099</v>
      </c>
      <c r="E1141" s="13">
        <v>84720</v>
      </c>
      <c r="F1141" s="13">
        <v>190218</v>
      </c>
      <c r="G1141" t="s">
        <v>836</v>
      </c>
    </row>
    <row r="1142" spans="1:7" x14ac:dyDescent="0.3">
      <c r="A1142" s="13" t="s">
        <v>850</v>
      </c>
      <c r="B1142" s="13">
        <v>342.9</v>
      </c>
      <c r="C1142" s="13">
        <v>107524</v>
      </c>
      <c r="D1142" s="13" t="s">
        <v>1100</v>
      </c>
      <c r="E1142" s="13">
        <v>37955</v>
      </c>
      <c r="F1142" s="13">
        <v>231925</v>
      </c>
      <c r="G1142" t="s">
        <v>836</v>
      </c>
    </row>
    <row r="1143" spans="1:7" x14ac:dyDescent="0.3">
      <c r="A1143" s="13" t="s">
        <v>75</v>
      </c>
      <c r="B1143" s="13">
        <v>258.25</v>
      </c>
      <c r="C1143" s="13">
        <v>236125</v>
      </c>
      <c r="D1143" s="13" t="s">
        <v>1101</v>
      </c>
      <c r="E1143" s="13">
        <v>255168</v>
      </c>
      <c r="F1143" s="13">
        <v>835190</v>
      </c>
      <c r="G1143" t="s">
        <v>836</v>
      </c>
    </row>
    <row r="1144" spans="1:7" x14ac:dyDescent="0.3">
      <c r="A1144" s="13" t="s">
        <v>149</v>
      </c>
      <c r="B1144" s="13">
        <v>2185.1999999999998</v>
      </c>
      <c r="C1144" s="13">
        <v>341</v>
      </c>
      <c r="D1144" s="13" t="s">
        <v>1098</v>
      </c>
      <c r="E1144" s="13">
        <v>4322</v>
      </c>
      <c r="F1144" s="13">
        <v>18654</v>
      </c>
      <c r="G1144" t="s">
        <v>836</v>
      </c>
    </row>
    <row r="1145" spans="1:7" x14ac:dyDescent="0.3">
      <c r="A1145" s="13" t="s">
        <v>954</v>
      </c>
      <c r="B1145" s="13">
        <v>32085</v>
      </c>
      <c r="C1145" s="13">
        <v>4560</v>
      </c>
      <c r="D1145" s="13" t="s">
        <v>1101</v>
      </c>
      <c r="E1145" s="13">
        <v>323</v>
      </c>
      <c r="F1145" s="13">
        <v>40687</v>
      </c>
      <c r="G1145" t="s">
        <v>836</v>
      </c>
    </row>
    <row r="1146" spans="1:7" x14ac:dyDescent="0.3">
      <c r="A1146" s="13" t="s">
        <v>886</v>
      </c>
      <c r="B1146" s="13">
        <v>4581.6000000000004</v>
      </c>
      <c r="C1146" s="13">
        <v>26604</v>
      </c>
      <c r="D1146" s="13" t="s">
        <v>1101</v>
      </c>
      <c r="E1146" s="13">
        <v>2753</v>
      </c>
      <c r="F1146" s="13">
        <v>67773</v>
      </c>
      <c r="G1146" t="s">
        <v>836</v>
      </c>
    </row>
    <row r="1147" spans="1:7" x14ac:dyDescent="0.3">
      <c r="A1147" s="13" t="s">
        <v>868</v>
      </c>
      <c r="B1147" s="13">
        <v>911.4</v>
      </c>
      <c r="C1147" s="13">
        <v>221472</v>
      </c>
      <c r="D1147" s="13" t="s">
        <v>1101</v>
      </c>
      <c r="E1147" s="13">
        <v>14033</v>
      </c>
      <c r="F1147" s="13">
        <v>594839</v>
      </c>
      <c r="G1147" t="s">
        <v>836</v>
      </c>
    </row>
    <row r="1148" spans="1:7" x14ac:dyDescent="0.3">
      <c r="A1148" s="13" t="s">
        <v>908</v>
      </c>
      <c r="B1148" s="13">
        <v>5275</v>
      </c>
      <c r="C1148" s="13">
        <v>88</v>
      </c>
      <c r="D1148" s="13" t="s">
        <v>1103</v>
      </c>
      <c r="E1148" s="13">
        <v>2566</v>
      </c>
      <c r="F1148" s="13">
        <v>8148</v>
      </c>
      <c r="G1148" t="s">
        <v>836</v>
      </c>
    </row>
    <row r="1149" spans="1:7" x14ac:dyDescent="0.3">
      <c r="A1149" s="13" t="s">
        <v>327</v>
      </c>
      <c r="B1149" s="13">
        <v>1784</v>
      </c>
      <c r="C1149" s="13">
        <v>905</v>
      </c>
      <c r="D1149" s="13" t="s">
        <v>1102</v>
      </c>
      <c r="E1149" s="13">
        <v>5916</v>
      </c>
      <c r="F1149" s="13">
        <v>16191</v>
      </c>
      <c r="G1149" t="s">
        <v>836</v>
      </c>
    </row>
    <row r="1150" spans="1:7" x14ac:dyDescent="0.3">
      <c r="A1150" s="13" t="s">
        <v>51</v>
      </c>
      <c r="B1150" s="13">
        <v>2744</v>
      </c>
      <c r="C1150" s="13">
        <v>2083</v>
      </c>
      <c r="D1150" s="13" t="s">
        <v>1098</v>
      </c>
      <c r="E1150" s="13">
        <v>4645</v>
      </c>
      <c r="F1150" s="13">
        <v>35005</v>
      </c>
      <c r="G1150" t="s">
        <v>836</v>
      </c>
    </row>
    <row r="1151" spans="1:7" x14ac:dyDescent="0.3">
      <c r="A1151" s="13" t="s">
        <v>982</v>
      </c>
      <c r="B1151" s="13">
        <v>168.79</v>
      </c>
      <c r="C1151" s="13">
        <v>327890</v>
      </c>
      <c r="D1151" s="13" t="s">
        <v>1101</v>
      </c>
      <c r="E1151" s="13">
        <v>66041</v>
      </c>
      <c r="F1151" s="13">
        <v>1202687</v>
      </c>
      <c r="G1151" t="s">
        <v>836</v>
      </c>
    </row>
    <row r="1152" spans="1:7" x14ac:dyDescent="0.3">
      <c r="A1152" s="13" t="s">
        <v>91</v>
      </c>
      <c r="B1152" s="13">
        <v>41400</v>
      </c>
      <c r="C1152" s="13">
        <v>163</v>
      </c>
      <c r="D1152" s="13" t="s">
        <v>1101</v>
      </c>
      <c r="E1152" s="13">
        <v>244</v>
      </c>
      <c r="F1152" s="13">
        <v>601</v>
      </c>
      <c r="G1152" t="s">
        <v>836</v>
      </c>
    </row>
    <row r="1153" spans="1:7" x14ac:dyDescent="0.3">
      <c r="A1153" s="13" t="s">
        <v>107</v>
      </c>
      <c r="B1153" s="13">
        <v>1452</v>
      </c>
      <c r="C1153" s="13">
        <v>2061</v>
      </c>
      <c r="D1153" s="13" t="s">
        <v>1098</v>
      </c>
      <c r="E1153" s="13">
        <v>3800</v>
      </c>
      <c r="F1153" s="13">
        <v>29578</v>
      </c>
      <c r="G1153" t="s">
        <v>836</v>
      </c>
    </row>
    <row r="1154" spans="1:7" x14ac:dyDescent="0.3">
      <c r="A1154" s="13" t="s">
        <v>89</v>
      </c>
      <c r="B1154" s="13">
        <v>418.6</v>
      </c>
      <c r="C1154" s="13">
        <v>1469</v>
      </c>
      <c r="D1154" s="13" t="s">
        <v>1098</v>
      </c>
      <c r="E1154" s="13">
        <v>20285</v>
      </c>
      <c r="F1154" s="13">
        <v>93168</v>
      </c>
      <c r="G1154" t="s">
        <v>836</v>
      </c>
    </row>
    <row r="1155" spans="1:7" x14ac:dyDescent="0.3">
      <c r="A1155" s="13" t="s">
        <v>167</v>
      </c>
      <c r="B1155" s="13">
        <v>1189.9000000000001</v>
      </c>
      <c r="C1155" s="13">
        <v>337</v>
      </c>
      <c r="D1155" s="13" t="s">
        <v>1102</v>
      </c>
      <c r="E1155" s="13">
        <v>10880</v>
      </c>
      <c r="F1155" s="13">
        <v>22890</v>
      </c>
      <c r="G1155" t="s">
        <v>836</v>
      </c>
    </row>
    <row r="1156" spans="1:7" x14ac:dyDescent="0.3">
      <c r="A1156" s="13" t="s">
        <v>119</v>
      </c>
      <c r="B1156" s="13">
        <v>274.89999999999998</v>
      </c>
      <c r="C1156" s="13">
        <v>1906</v>
      </c>
      <c r="D1156" s="13" t="s">
        <v>1101</v>
      </c>
      <c r="E1156" s="13">
        <v>24024</v>
      </c>
      <c r="F1156" s="13">
        <v>112244</v>
      </c>
      <c r="G1156" t="s">
        <v>836</v>
      </c>
    </row>
    <row r="1157" spans="1:7" x14ac:dyDescent="0.3">
      <c r="A1157" s="13" t="s">
        <v>209</v>
      </c>
      <c r="B1157" s="13">
        <v>5459.5</v>
      </c>
      <c r="C1157" s="13">
        <v>2516</v>
      </c>
      <c r="D1157" s="13" t="s">
        <v>1102</v>
      </c>
      <c r="E1157" s="13">
        <v>2226</v>
      </c>
      <c r="F1157" s="13">
        <v>17324</v>
      </c>
      <c r="G1157" t="s">
        <v>836</v>
      </c>
    </row>
    <row r="1158" spans="1:7" x14ac:dyDescent="0.3">
      <c r="A1158" s="13" t="s">
        <v>113</v>
      </c>
      <c r="B1158" s="13">
        <v>2065.9</v>
      </c>
      <c r="C1158" s="13">
        <v>455</v>
      </c>
      <c r="D1158" s="13" t="s">
        <v>1098</v>
      </c>
      <c r="E1158" s="13">
        <v>5019</v>
      </c>
      <c r="F1158" s="13">
        <v>15210</v>
      </c>
      <c r="G1158" t="s">
        <v>836</v>
      </c>
    </row>
    <row r="1159" spans="1:7" x14ac:dyDescent="0.3">
      <c r="A1159" s="13" t="s">
        <v>864</v>
      </c>
      <c r="B1159" s="13">
        <v>799.95</v>
      </c>
      <c r="C1159" s="13">
        <v>651</v>
      </c>
      <c r="D1159" s="13" t="s">
        <v>1102</v>
      </c>
      <c r="E1159" s="13">
        <v>12608</v>
      </c>
      <c r="F1159" s="13">
        <v>60010</v>
      </c>
      <c r="G1159" t="s">
        <v>836</v>
      </c>
    </row>
    <row r="1160" spans="1:7" x14ac:dyDescent="0.3">
      <c r="A1160" s="13" t="s">
        <v>335</v>
      </c>
      <c r="B1160" s="13">
        <v>3590</v>
      </c>
      <c r="C1160" s="13">
        <v>132</v>
      </c>
      <c r="D1160" s="13" t="s">
        <v>1098</v>
      </c>
      <c r="E1160" s="13">
        <v>2848</v>
      </c>
      <c r="F1160" s="13">
        <v>6097</v>
      </c>
      <c r="G1160" t="s">
        <v>836</v>
      </c>
    </row>
    <row r="1161" spans="1:7" x14ac:dyDescent="0.3">
      <c r="A1161" s="13" t="s">
        <v>844</v>
      </c>
      <c r="B1161" s="13">
        <v>1559.9</v>
      </c>
      <c r="C1161" s="13">
        <v>9545</v>
      </c>
      <c r="D1161" s="13" t="s">
        <v>1101</v>
      </c>
      <c r="E1161" s="13">
        <v>22019</v>
      </c>
      <c r="F1161" s="13">
        <v>67165</v>
      </c>
      <c r="G1161" t="s">
        <v>836</v>
      </c>
    </row>
    <row r="1162" spans="1:7" x14ac:dyDescent="0.3">
      <c r="A1162" s="13" t="s">
        <v>361</v>
      </c>
      <c r="B1162" s="13">
        <v>4495</v>
      </c>
      <c r="C1162" s="13">
        <v>2229</v>
      </c>
      <c r="D1162" s="13" t="s">
        <v>1098</v>
      </c>
      <c r="E1162" s="13">
        <v>3637</v>
      </c>
      <c r="F1162" s="13">
        <v>15040</v>
      </c>
      <c r="G1162" t="s">
        <v>836</v>
      </c>
    </row>
    <row r="1163" spans="1:7" x14ac:dyDescent="0.3">
      <c r="A1163" s="13" t="s">
        <v>329</v>
      </c>
      <c r="B1163" s="13">
        <v>1055</v>
      </c>
      <c r="C1163" s="13">
        <v>37402</v>
      </c>
      <c r="D1163" s="13" t="s">
        <v>1100</v>
      </c>
      <c r="E1163" s="13">
        <v>63488</v>
      </c>
      <c r="F1163" s="13">
        <v>259588</v>
      </c>
      <c r="G1163" t="s">
        <v>836</v>
      </c>
    </row>
    <row r="1164" spans="1:7" x14ac:dyDescent="0.3">
      <c r="A1164" s="13" t="s">
        <v>353</v>
      </c>
      <c r="B1164" s="13">
        <v>377.5</v>
      </c>
      <c r="C1164" s="13">
        <v>21075</v>
      </c>
      <c r="D1164" s="13" t="s">
        <v>1104</v>
      </c>
      <c r="E1164" s="13">
        <v>83032</v>
      </c>
      <c r="F1164" s="13">
        <v>158751</v>
      </c>
      <c r="G1164" t="s">
        <v>836</v>
      </c>
    </row>
    <row r="1165" spans="1:7" x14ac:dyDescent="0.3">
      <c r="A1165" s="13" t="s">
        <v>26</v>
      </c>
      <c r="B1165" s="13">
        <v>6881</v>
      </c>
      <c r="C1165" s="13">
        <v>373</v>
      </c>
      <c r="D1165" s="13" t="s">
        <v>1098</v>
      </c>
      <c r="E1165" s="13">
        <v>4308</v>
      </c>
      <c r="F1165" s="13">
        <v>4698</v>
      </c>
      <c r="G1165" t="s">
        <v>836</v>
      </c>
    </row>
    <row r="1166" spans="1:7" x14ac:dyDescent="0.3">
      <c r="A1166" s="13" t="s">
        <v>884</v>
      </c>
      <c r="B1166" s="13">
        <v>2178</v>
      </c>
      <c r="C1166" s="13">
        <v>551</v>
      </c>
      <c r="D1166" s="13" t="s">
        <v>1101</v>
      </c>
      <c r="E1166" s="13">
        <v>8342</v>
      </c>
      <c r="F1166" s="13">
        <v>17125</v>
      </c>
      <c r="G1166" t="s">
        <v>836</v>
      </c>
    </row>
    <row r="1167" spans="1:7" x14ac:dyDescent="0.3">
      <c r="A1167" s="13" t="s">
        <v>980</v>
      </c>
      <c r="B1167" s="13">
        <v>346.5</v>
      </c>
      <c r="C1167" s="13">
        <v>57254</v>
      </c>
      <c r="D1167" s="13" t="s">
        <v>1101</v>
      </c>
      <c r="E1167" s="13">
        <v>261741</v>
      </c>
      <c r="F1167" s="13">
        <v>346576</v>
      </c>
      <c r="G1167" t="s">
        <v>836</v>
      </c>
    </row>
    <row r="1168" spans="1:7" x14ac:dyDescent="0.3">
      <c r="A1168" s="13" t="s">
        <v>960</v>
      </c>
      <c r="B1168" s="13">
        <v>3979</v>
      </c>
      <c r="C1168" s="13">
        <v>635</v>
      </c>
      <c r="D1168" s="13" t="s">
        <v>1098</v>
      </c>
      <c r="E1168" s="13">
        <v>9678</v>
      </c>
      <c r="F1168" s="13">
        <v>13468</v>
      </c>
      <c r="G1168" t="s">
        <v>836</v>
      </c>
    </row>
    <row r="1169" spans="1:7" x14ac:dyDescent="0.3">
      <c r="A1169" s="13" t="s">
        <v>155</v>
      </c>
      <c r="B1169" s="13">
        <v>1079</v>
      </c>
      <c r="C1169" s="13">
        <v>1078</v>
      </c>
      <c r="D1169" s="13" t="s">
        <v>1098</v>
      </c>
      <c r="E1169" s="13">
        <v>5305</v>
      </c>
      <c r="F1169" s="13">
        <v>23378</v>
      </c>
      <c r="G1169" t="s">
        <v>836</v>
      </c>
    </row>
    <row r="1170" spans="1:7" x14ac:dyDescent="0.3">
      <c r="A1170" s="13" t="s">
        <v>289</v>
      </c>
      <c r="B1170" s="13">
        <v>11000</v>
      </c>
      <c r="C1170" s="13">
        <v>466</v>
      </c>
      <c r="D1170" s="13" t="s">
        <v>1103</v>
      </c>
      <c r="E1170" s="13">
        <v>1761</v>
      </c>
      <c r="F1170" s="13">
        <v>5391</v>
      </c>
      <c r="G1170" t="s">
        <v>836</v>
      </c>
    </row>
    <row r="1171" spans="1:7" x14ac:dyDescent="0.3">
      <c r="A1171" s="13" t="s">
        <v>238</v>
      </c>
      <c r="B1171" s="13">
        <v>1530</v>
      </c>
      <c r="C1171" s="13">
        <v>3725</v>
      </c>
      <c r="D1171" s="13" t="s">
        <v>1101</v>
      </c>
      <c r="E1171" s="13">
        <v>15937</v>
      </c>
      <c r="F1171" s="13">
        <v>27684</v>
      </c>
      <c r="G1171" t="s">
        <v>836</v>
      </c>
    </row>
    <row r="1172" spans="1:7" x14ac:dyDescent="0.3">
      <c r="A1172" s="13" t="s">
        <v>193</v>
      </c>
      <c r="B1172" s="13">
        <v>14.5</v>
      </c>
      <c r="C1172" s="13">
        <v>1414524</v>
      </c>
      <c r="D1172" s="13" t="s">
        <v>1101</v>
      </c>
      <c r="E1172" s="13">
        <v>6081412</v>
      </c>
      <c r="F1172" s="13">
        <v>22534573</v>
      </c>
      <c r="G1172" t="s">
        <v>836</v>
      </c>
    </row>
    <row r="1173" spans="1:7" x14ac:dyDescent="0.3">
      <c r="A1173" s="13" t="s">
        <v>191</v>
      </c>
      <c r="B1173" s="13">
        <v>496.95</v>
      </c>
      <c r="C1173" s="13">
        <v>541</v>
      </c>
      <c r="D1173" s="13" t="s">
        <v>1102</v>
      </c>
      <c r="E1173" s="13">
        <v>11221</v>
      </c>
      <c r="F1173" s="13">
        <v>29553</v>
      </c>
      <c r="G1173" t="s">
        <v>836</v>
      </c>
    </row>
    <row r="1174" spans="1:7" x14ac:dyDescent="0.3">
      <c r="A1174" s="13" t="s">
        <v>962</v>
      </c>
      <c r="B1174" s="13">
        <v>237.35</v>
      </c>
      <c r="C1174" s="13">
        <v>17970</v>
      </c>
      <c r="D1174" s="13" t="s">
        <v>1101</v>
      </c>
      <c r="E1174" s="13">
        <v>103117</v>
      </c>
      <c r="F1174" s="13">
        <v>214997</v>
      </c>
      <c r="G1174" t="s">
        <v>836</v>
      </c>
    </row>
    <row r="1175" spans="1:7" x14ac:dyDescent="0.3">
      <c r="A1175" s="13" t="s">
        <v>894</v>
      </c>
      <c r="B1175" s="13">
        <v>90.15</v>
      </c>
      <c r="C1175" s="13">
        <v>15504</v>
      </c>
      <c r="D1175" s="13" t="s">
        <v>1101</v>
      </c>
      <c r="E1175" s="13">
        <v>150439</v>
      </c>
      <c r="F1175" s="13">
        <v>369356</v>
      </c>
      <c r="G1175" t="s">
        <v>836</v>
      </c>
    </row>
    <row r="1176" spans="1:7" x14ac:dyDescent="0.3">
      <c r="A1176" s="13" t="s">
        <v>197</v>
      </c>
      <c r="B1176" s="13">
        <v>79.66</v>
      </c>
      <c r="C1176" s="13">
        <v>23270</v>
      </c>
      <c r="D1176" s="13" t="s">
        <v>1099</v>
      </c>
      <c r="E1176" s="13">
        <v>148937</v>
      </c>
      <c r="F1176" s="13">
        <v>866440</v>
      </c>
      <c r="G1176" t="s">
        <v>836</v>
      </c>
    </row>
    <row r="1177" spans="1:7" x14ac:dyDescent="0.3">
      <c r="A1177" s="13" t="s">
        <v>41</v>
      </c>
      <c r="B1177" s="13">
        <v>5510.5</v>
      </c>
      <c r="C1177" s="13">
        <v>22</v>
      </c>
      <c r="D1177" s="13" t="s">
        <v>1104</v>
      </c>
      <c r="E1177" s="13">
        <v>825</v>
      </c>
      <c r="F1177" s="13">
        <v>2384</v>
      </c>
      <c r="G1177" t="s">
        <v>836</v>
      </c>
    </row>
    <row r="1178" spans="1:7" x14ac:dyDescent="0.3">
      <c r="A1178" s="13" t="s">
        <v>882</v>
      </c>
      <c r="B1178" s="13">
        <v>112</v>
      </c>
      <c r="C1178" s="13">
        <v>20483</v>
      </c>
      <c r="D1178" s="13" t="s">
        <v>1098</v>
      </c>
      <c r="E1178" s="13">
        <v>163223</v>
      </c>
      <c r="F1178" s="13">
        <v>378851</v>
      </c>
      <c r="G1178" t="s">
        <v>836</v>
      </c>
    </row>
    <row r="1179" spans="1:7" x14ac:dyDescent="0.3">
      <c r="A1179" s="13" t="s">
        <v>920</v>
      </c>
      <c r="B1179" s="13">
        <v>3720</v>
      </c>
      <c r="C1179" s="13">
        <v>794</v>
      </c>
      <c r="D1179" s="13" t="s">
        <v>1104</v>
      </c>
      <c r="E1179" s="13">
        <v>5862</v>
      </c>
      <c r="F1179" s="13">
        <v>11807</v>
      </c>
      <c r="G1179" t="s">
        <v>836</v>
      </c>
    </row>
    <row r="1180" spans="1:7" x14ac:dyDescent="0.3">
      <c r="A1180" s="13" t="s">
        <v>287</v>
      </c>
      <c r="B1180" s="13">
        <v>1885</v>
      </c>
      <c r="C1180" s="13">
        <v>3644</v>
      </c>
      <c r="D1180" s="13" t="s">
        <v>1103</v>
      </c>
      <c r="E1180" s="13">
        <v>4109</v>
      </c>
      <c r="F1180" s="13">
        <v>8259</v>
      </c>
      <c r="G1180" t="s">
        <v>836</v>
      </c>
    </row>
    <row r="1181" spans="1:7" x14ac:dyDescent="0.3">
      <c r="A1181" s="13" t="s">
        <v>990</v>
      </c>
      <c r="B1181" s="13">
        <v>122.8</v>
      </c>
      <c r="C1181" s="13">
        <v>67537</v>
      </c>
      <c r="D1181" s="13" t="s">
        <v>1101</v>
      </c>
      <c r="E1181" s="13">
        <v>282422</v>
      </c>
      <c r="F1181" s="13">
        <v>534165</v>
      </c>
      <c r="G1181" t="s">
        <v>836</v>
      </c>
    </row>
    <row r="1182" spans="1:7" x14ac:dyDescent="0.3">
      <c r="A1182" s="13" t="s">
        <v>375</v>
      </c>
      <c r="B1182" s="13">
        <v>279</v>
      </c>
      <c r="C1182" s="13">
        <v>57628</v>
      </c>
      <c r="D1182" s="13" t="s">
        <v>1101</v>
      </c>
      <c r="E1182" s="13">
        <v>297841</v>
      </c>
      <c r="F1182" s="13">
        <v>616202</v>
      </c>
      <c r="G1182" t="s">
        <v>836</v>
      </c>
    </row>
    <row r="1183" spans="1:7" x14ac:dyDescent="0.3">
      <c r="A1183" s="13" t="s">
        <v>359</v>
      </c>
      <c r="B1183" s="13">
        <v>1399.9</v>
      </c>
      <c r="C1183" s="13">
        <v>16710</v>
      </c>
      <c r="D1183" s="13" t="s">
        <v>1100</v>
      </c>
      <c r="E1183" s="13">
        <v>18004</v>
      </c>
      <c r="F1183" s="13">
        <v>57061</v>
      </c>
      <c r="G1183" t="s">
        <v>836</v>
      </c>
    </row>
    <row r="1184" spans="1:7" x14ac:dyDescent="0.3">
      <c r="A1184" s="13" t="s">
        <v>331</v>
      </c>
      <c r="B1184" s="13">
        <v>26495</v>
      </c>
      <c r="C1184" s="13">
        <v>21</v>
      </c>
      <c r="D1184" s="13" t="s">
        <v>1104</v>
      </c>
      <c r="E1184" s="13">
        <v>67</v>
      </c>
      <c r="F1184" s="13">
        <v>163</v>
      </c>
      <c r="G1184" t="s">
        <v>836</v>
      </c>
    </row>
    <row r="1185" spans="1:7" x14ac:dyDescent="0.3">
      <c r="A1185" s="13" t="s">
        <v>269</v>
      </c>
      <c r="B1185" s="13">
        <v>2271</v>
      </c>
      <c r="C1185" s="13">
        <v>2048</v>
      </c>
      <c r="D1185" s="13" t="s">
        <v>1103</v>
      </c>
      <c r="E1185" s="13">
        <v>10108</v>
      </c>
      <c r="F1185" s="13">
        <v>18679</v>
      </c>
      <c r="G1185" t="s">
        <v>836</v>
      </c>
    </row>
    <row r="1186" spans="1:7" x14ac:dyDescent="0.3">
      <c r="A1186" s="13" t="s">
        <v>936</v>
      </c>
      <c r="B1186" s="13">
        <v>1840</v>
      </c>
      <c r="C1186" s="13">
        <v>1337</v>
      </c>
      <c r="D1186" s="13" t="s">
        <v>1103</v>
      </c>
      <c r="E1186" s="13">
        <v>2273</v>
      </c>
      <c r="F1186" s="13">
        <v>5897</v>
      </c>
      <c r="G1186" t="s">
        <v>836</v>
      </c>
    </row>
    <row r="1187" spans="1:7" x14ac:dyDescent="0.3">
      <c r="A1187" s="13" t="s">
        <v>277</v>
      </c>
      <c r="B1187" s="13">
        <v>1038</v>
      </c>
      <c r="C1187" s="13">
        <v>1463</v>
      </c>
      <c r="D1187" s="13" t="s">
        <v>1101</v>
      </c>
      <c r="E1187" s="13">
        <v>10982</v>
      </c>
      <c r="F1187" s="13">
        <v>24493</v>
      </c>
      <c r="G1187" t="s">
        <v>836</v>
      </c>
    </row>
    <row r="1188" spans="1:7" x14ac:dyDescent="0.3">
      <c r="A1188" s="13" t="s">
        <v>283</v>
      </c>
      <c r="B1188" s="13">
        <v>86.52</v>
      </c>
      <c r="C1188" s="13">
        <v>176238</v>
      </c>
      <c r="D1188" s="13" t="s">
        <v>1101</v>
      </c>
      <c r="E1188" s="13">
        <v>297590</v>
      </c>
      <c r="F1188" s="13">
        <v>804563</v>
      </c>
      <c r="G1188" t="s">
        <v>836</v>
      </c>
    </row>
    <row r="1189" spans="1:7" x14ac:dyDescent="0.3">
      <c r="A1189" s="13" t="s">
        <v>252</v>
      </c>
      <c r="B1189" s="13">
        <v>326.7</v>
      </c>
      <c r="C1189" s="13">
        <v>4594</v>
      </c>
      <c r="D1189" s="13" t="s">
        <v>1103</v>
      </c>
      <c r="E1189" s="13">
        <v>22278</v>
      </c>
      <c r="F1189" s="13">
        <v>74474</v>
      </c>
      <c r="G1189" t="s">
        <v>836</v>
      </c>
    </row>
    <row r="1190" spans="1:7" x14ac:dyDescent="0.3">
      <c r="A1190" s="13" t="s">
        <v>912</v>
      </c>
      <c r="B1190" s="13">
        <v>565.04999999999995</v>
      </c>
      <c r="C1190" s="13">
        <v>23037</v>
      </c>
      <c r="D1190" s="13" t="s">
        <v>1101</v>
      </c>
      <c r="E1190" s="13">
        <v>130416</v>
      </c>
      <c r="F1190" s="13">
        <v>200512</v>
      </c>
      <c r="G1190" t="s">
        <v>836</v>
      </c>
    </row>
    <row r="1191" spans="1:7" x14ac:dyDescent="0.3">
      <c r="A1191" s="13" t="s">
        <v>263</v>
      </c>
      <c r="B1191" s="13">
        <v>1633</v>
      </c>
      <c r="C1191" s="13">
        <v>390</v>
      </c>
      <c r="D1191" s="13" t="s">
        <v>1103</v>
      </c>
      <c r="E1191" s="13">
        <v>2728</v>
      </c>
      <c r="F1191" s="13">
        <v>7797</v>
      </c>
      <c r="G1191" t="s">
        <v>836</v>
      </c>
    </row>
    <row r="1192" spans="1:7" x14ac:dyDescent="0.3">
      <c r="A1192" s="13" t="s">
        <v>143</v>
      </c>
      <c r="B1192" s="13">
        <v>421.15</v>
      </c>
      <c r="C1192" s="13">
        <v>51349</v>
      </c>
      <c r="D1192" s="13" t="s">
        <v>1101</v>
      </c>
      <c r="E1192" s="13">
        <v>61466</v>
      </c>
      <c r="F1192" s="13">
        <v>166541</v>
      </c>
      <c r="G1192" t="s">
        <v>836</v>
      </c>
    </row>
    <row r="1193" spans="1:7" x14ac:dyDescent="0.3">
      <c r="A1193" s="13" t="s">
        <v>862</v>
      </c>
      <c r="B1193" s="13">
        <v>3870</v>
      </c>
      <c r="C1193" s="13">
        <v>17913</v>
      </c>
      <c r="D1193" s="13" t="s">
        <v>1101</v>
      </c>
      <c r="E1193" s="13">
        <v>56139</v>
      </c>
      <c r="F1193" s="13">
        <v>124859</v>
      </c>
      <c r="G1193" t="s">
        <v>836</v>
      </c>
    </row>
    <row r="1194" spans="1:7" x14ac:dyDescent="0.3">
      <c r="A1194" s="13" t="s">
        <v>267</v>
      </c>
      <c r="B1194" s="13">
        <v>148.9</v>
      </c>
      <c r="C1194" s="13">
        <v>22370</v>
      </c>
      <c r="D1194" s="13" t="s">
        <v>1104</v>
      </c>
      <c r="E1194" s="13">
        <v>167441</v>
      </c>
      <c r="F1194" s="13">
        <v>353942</v>
      </c>
      <c r="G1194" t="s">
        <v>836</v>
      </c>
    </row>
    <row r="1195" spans="1:7" x14ac:dyDescent="0.3">
      <c r="A1195" s="13" t="s">
        <v>173</v>
      </c>
      <c r="B1195" s="13">
        <v>803</v>
      </c>
      <c r="C1195" s="13">
        <v>536994</v>
      </c>
      <c r="D1195" s="13" t="s">
        <v>1101</v>
      </c>
      <c r="E1195" s="13">
        <v>323941</v>
      </c>
      <c r="F1195" s="13">
        <v>842486</v>
      </c>
      <c r="G1195" t="s">
        <v>836</v>
      </c>
    </row>
    <row r="1196" spans="1:7" x14ac:dyDescent="0.3">
      <c r="A1196" s="13" t="s">
        <v>259</v>
      </c>
      <c r="B1196" s="13">
        <v>2949.4</v>
      </c>
      <c r="C1196" s="13">
        <v>8737</v>
      </c>
      <c r="D1196" s="13" t="s">
        <v>1101</v>
      </c>
      <c r="E1196" s="13">
        <v>34757</v>
      </c>
      <c r="F1196" s="13">
        <v>63111</v>
      </c>
      <c r="G1196" t="s">
        <v>836</v>
      </c>
    </row>
    <row r="1197" spans="1:7" x14ac:dyDescent="0.3">
      <c r="A1197" s="13" t="s">
        <v>944</v>
      </c>
      <c r="B1197" s="13">
        <v>1225.5</v>
      </c>
      <c r="C1197" s="13">
        <v>5603</v>
      </c>
      <c r="D1197" s="13" t="s">
        <v>1100</v>
      </c>
      <c r="E1197" s="13">
        <v>24831</v>
      </c>
      <c r="F1197" s="13">
        <v>25108</v>
      </c>
      <c r="G1197" t="s">
        <v>836</v>
      </c>
    </row>
    <row r="1198" spans="1:7" x14ac:dyDescent="0.3">
      <c r="A1198" s="13" t="s">
        <v>187</v>
      </c>
      <c r="B1198" s="13">
        <v>1414</v>
      </c>
      <c r="C1198" s="13">
        <v>235998</v>
      </c>
      <c r="D1198" s="13" t="s">
        <v>1101</v>
      </c>
      <c r="E1198" s="13">
        <v>30726</v>
      </c>
      <c r="F1198" s="13">
        <v>224701</v>
      </c>
      <c r="G1198" t="s">
        <v>836</v>
      </c>
    </row>
    <row r="1199" spans="1:7" x14ac:dyDescent="0.3">
      <c r="A1199" s="13" t="s">
        <v>93</v>
      </c>
      <c r="B1199" s="13">
        <v>313.60000000000002</v>
      </c>
      <c r="C1199" s="13">
        <v>33190</v>
      </c>
      <c r="D1199" s="13" t="s">
        <v>1101</v>
      </c>
      <c r="E1199" s="13">
        <v>82010</v>
      </c>
      <c r="F1199" s="13">
        <v>282278</v>
      </c>
      <c r="G1199" t="s">
        <v>836</v>
      </c>
    </row>
    <row r="1200" spans="1:7" x14ac:dyDescent="0.3">
      <c r="A1200" s="13" t="s">
        <v>303</v>
      </c>
      <c r="B1200" s="13">
        <v>1621</v>
      </c>
      <c r="C1200" s="13">
        <v>2148</v>
      </c>
      <c r="D1200" s="13" t="s">
        <v>1103</v>
      </c>
      <c r="E1200" s="13">
        <v>7594</v>
      </c>
      <c r="F1200" s="13">
        <v>14399</v>
      </c>
      <c r="G1200" t="s">
        <v>836</v>
      </c>
    </row>
    <row r="1201" spans="1:7" x14ac:dyDescent="0.3">
      <c r="A1201" s="13" t="s">
        <v>848</v>
      </c>
      <c r="B1201" s="13">
        <v>7476</v>
      </c>
      <c r="C1201" s="13">
        <v>185</v>
      </c>
      <c r="D1201" s="13" t="s">
        <v>1102</v>
      </c>
      <c r="E1201" s="13">
        <v>2497</v>
      </c>
      <c r="F1201" s="13">
        <v>7945</v>
      </c>
      <c r="G1201" t="s">
        <v>836</v>
      </c>
    </row>
    <row r="1202" spans="1:7" x14ac:dyDescent="0.3">
      <c r="A1202" s="13" t="s">
        <v>860</v>
      </c>
      <c r="B1202" s="13">
        <v>1615</v>
      </c>
      <c r="C1202" s="13">
        <v>294</v>
      </c>
      <c r="D1202" s="13" t="s">
        <v>1101</v>
      </c>
      <c r="E1202" s="13">
        <v>4639</v>
      </c>
      <c r="F1202" s="13">
        <v>8181</v>
      </c>
      <c r="G1202" t="s">
        <v>836</v>
      </c>
    </row>
    <row r="1203" spans="1:7" x14ac:dyDescent="0.3">
      <c r="A1203" s="13" t="s">
        <v>365</v>
      </c>
      <c r="B1203" s="13">
        <v>3374</v>
      </c>
      <c r="C1203" s="13">
        <v>16078</v>
      </c>
      <c r="D1203" s="13" t="s">
        <v>1101</v>
      </c>
      <c r="E1203" s="13">
        <v>11297</v>
      </c>
      <c r="F1203" s="13">
        <v>33451</v>
      </c>
      <c r="G1203" t="s">
        <v>836</v>
      </c>
    </row>
    <row r="1204" spans="1:7" x14ac:dyDescent="0.3">
      <c r="A1204" s="13" t="s">
        <v>924</v>
      </c>
      <c r="B1204" s="13">
        <v>1145</v>
      </c>
      <c r="C1204" s="13">
        <v>5792</v>
      </c>
      <c r="D1204" s="13" t="s">
        <v>1104</v>
      </c>
      <c r="E1204" s="13">
        <v>8972</v>
      </c>
      <c r="F1204" s="13">
        <v>21866</v>
      </c>
      <c r="G1204" t="s">
        <v>836</v>
      </c>
    </row>
    <row r="1205" spans="1:7" x14ac:dyDescent="0.3">
      <c r="A1205" s="13" t="s">
        <v>139</v>
      </c>
      <c r="B1205" s="13">
        <v>7380</v>
      </c>
      <c r="C1205" s="13">
        <v>4967</v>
      </c>
      <c r="D1205" s="13" t="s">
        <v>1101</v>
      </c>
      <c r="E1205" s="13">
        <v>5084</v>
      </c>
      <c r="F1205" s="13">
        <v>15398</v>
      </c>
      <c r="G1205" t="s">
        <v>836</v>
      </c>
    </row>
    <row r="1206" spans="1:7" x14ac:dyDescent="0.3">
      <c r="A1206" s="13" t="s">
        <v>355</v>
      </c>
      <c r="B1206" s="13">
        <v>190.6</v>
      </c>
      <c r="C1206" s="13">
        <v>151040</v>
      </c>
      <c r="D1206" s="13" t="s">
        <v>1101</v>
      </c>
      <c r="E1206" s="13">
        <v>336825</v>
      </c>
      <c r="F1206" s="13">
        <v>463325</v>
      </c>
      <c r="G1206" t="s">
        <v>836</v>
      </c>
    </row>
    <row r="1207" spans="1:7" x14ac:dyDescent="0.3">
      <c r="A1207" s="13" t="s">
        <v>606</v>
      </c>
      <c r="B1207" s="13">
        <v>3194</v>
      </c>
      <c r="C1207" s="13">
        <v>34372</v>
      </c>
      <c r="D1207" s="13" t="s">
        <v>1100</v>
      </c>
      <c r="E1207" s="13">
        <v>23539</v>
      </c>
      <c r="F1207" s="13">
        <v>73933</v>
      </c>
      <c r="G1207" t="s">
        <v>836</v>
      </c>
    </row>
    <row r="1208" spans="1:7" x14ac:dyDescent="0.3">
      <c r="A1208" s="13" t="s">
        <v>179</v>
      </c>
      <c r="B1208" s="13">
        <v>965</v>
      </c>
      <c r="C1208" s="13">
        <v>39250</v>
      </c>
      <c r="D1208" s="13" t="s">
        <v>1100</v>
      </c>
      <c r="E1208" s="13">
        <v>50164</v>
      </c>
      <c r="F1208" s="13">
        <v>71128</v>
      </c>
      <c r="G1208" t="s">
        <v>836</v>
      </c>
    </row>
    <row r="1209" spans="1:7" x14ac:dyDescent="0.3">
      <c r="A1209" s="13" t="s">
        <v>215</v>
      </c>
      <c r="B1209" s="13">
        <v>1063</v>
      </c>
      <c r="C1209" s="13">
        <v>139879</v>
      </c>
      <c r="D1209" s="13" t="s">
        <v>1101</v>
      </c>
      <c r="E1209" s="13">
        <v>206641</v>
      </c>
      <c r="F1209" s="13">
        <v>240558</v>
      </c>
      <c r="G1209" t="s">
        <v>836</v>
      </c>
    </row>
    <row r="1210" spans="1:7" x14ac:dyDescent="0.3">
      <c r="A1210" s="13" t="s">
        <v>275</v>
      </c>
      <c r="B1210" s="13">
        <v>340</v>
      </c>
      <c r="C1210" s="13">
        <v>88352</v>
      </c>
      <c r="D1210" s="13" t="s">
        <v>1101</v>
      </c>
      <c r="E1210" s="13">
        <v>210540</v>
      </c>
      <c r="F1210" s="13">
        <v>256486</v>
      </c>
      <c r="G1210" t="s">
        <v>836</v>
      </c>
    </row>
    <row r="1211" spans="1:7" x14ac:dyDescent="0.3">
      <c r="A1211" s="13" t="s">
        <v>169</v>
      </c>
      <c r="B1211" s="13">
        <v>1127.0999999999999</v>
      </c>
      <c r="C1211" s="13">
        <v>135667</v>
      </c>
      <c r="D1211" s="13" t="s">
        <v>1101</v>
      </c>
      <c r="E1211" s="13">
        <v>73742</v>
      </c>
      <c r="F1211" s="13">
        <v>93269</v>
      </c>
      <c r="G1211" t="s">
        <v>836</v>
      </c>
    </row>
    <row r="1212" spans="1:7" x14ac:dyDescent="0.3">
      <c r="A1212" s="13" t="s">
        <v>333</v>
      </c>
      <c r="B1212" s="13">
        <v>1081.5</v>
      </c>
      <c r="C1212" s="13">
        <v>90328</v>
      </c>
      <c r="D1212" s="13" t="s">
        <v>1101</v>
      </c>
      <c r="E1212" s="13">
        <v>52395</v>
      </c>
      <c r="F1212" s="13">
        <v>66983</v>
      </c>
      <c r="G1212" t="s">
        <v>836</v>
      </c>
    </row>
    <row r="1213" spans="1:7" x14ac:dyDescent="0.3">
      <c r="A1213" s="13" t="s">
        <v>888</v>
      </c>
      <c r="B1213" s="13">
        <v>539.20000000000005</v>
      </c>
      <c r="C1213" s="13">
        <v>86313</v>
      </c>
      <c r="D1213" s="13" t="s">
        <v>1100</v>
      </c>
      <c r="E1213" s="13">
        <v>112647</v>
      </c>
      <c r="F1213" s="13">
        <v>220309</v>
      </c>
      <c r="G1213" t="s">
        <v>836</v>
      </c>
    </row>
    <row r="1214" spans="1:7" x14ac:dyDescent="0.3">
      <c r="A1214" s="13" t="s">
        <v>123</v>
      </c>
      <c r="B1214" s="13">
        <v>5690</v>
      </c>
      <c r="C1214" s="13">
        <v>7532</v>
      </c>
      <c r="D1214" s="13" t="s">
        <v>1101</v>
      </c>
      <c r="E1214" s="13">
        <v>2419</v>
      </c>
      <c r="F1214" s="13">
        <v>3931</v>
      </c>
      <c r="G1214" t="s">
        <v>836</v>
      </c>
    </row>
    <row r="1215" spans="1:7" x14ac:dyDescent="0.3">
      <c r="A1215" s="13" t="s">
        <v>910</v>
      </c>
      <c r="B1215" s="13">
        <v>880</v>
      </c>
      <c r="C1215" s="13">
        <v>2588</v>
      </c>
      <c r="D1215" s="13" t="s">
        <v>1099</v>
      </c>
      <c r="E1215" s="13">
        <v>20729</v>
      </c>
      <c r="F1215" s="13">
        <v>26284</v>
      </c>
      <c r="G1215" t="s">
        <v>836</v>
      </c>
    </row>
    <row r="1216" spans="1:7" x14ac:dyDescent="0.3">
      <c r="A1216" s="13" t="s">
        <v>299</v>
      </c>
      <c r="B1216" s="13">
        <v>278.8</v>
      </c>
      <c r="C1216" s="13">
        <v>6721</v>
      </c>
      <c r="D1216" s="13" t="s">
        <v>1103</v>
      </c>
      <c r="E1216" s="13">
        <v>26329</v>
      </c>
      <c r="F1216" s="13">
        <v>60777</v>
      </c>
      <c r="G1216" t="s">
        <v>836</v>
      </c>
    </row>
    <row r="1217" spans="1:7" x14ac:dyDescent="0.3">
      <c r="A1217" s="13" t="s">
        <v>840</v>
      </c>
      <c r="B1217" s="13">
        <v>1084</v>
      </c>
      <c r="C1217" s="13">
        <v>637</v>
      </c>
      <c r="D1217" s="13" t="s">
        <v>1102</v>
      </c>
      <c r="E1217" s="13">
        <v>12139</v>
      </c>
      <c r="F1217" s="13">
        <v>27755</v>
      </c>
      <c r="G1217" t="s">
        <v>836</v>
      </c>
    </row>
    <row r="1218" spans="1:7" x14ac:dyDescent="0.3">
      <c r="A1218" s="13" t="s">
        <v>948</v>
      </c>
      <c r="B1218" s="13">
        <v>2037.1</v>
      </c>
      <c r="C1218" s="13">
        <v>1658</v>
      </c>
      <c r="D1218" s="13" t="s">
        <v>1103</v>
      </c>
      <c r="E1218" s="13">
        <v>2058</v>
      </c>
      <c r="F1218" s="13">
        <v>4221</v>
      </c>
      <c r="G1218" t="s">
        <v>836</v>
      </c>
    </row>
    <row r="1219" spans="1:7" x14ac:dyDescent="0.3">
      <c r="A1219" s="13" t="s">
        <v>986</v>
      </c>
      <c r="B1219" s="13">
        <v>1135</v>
      </c>
      <c r="C1219" s="13">
        <v>1924</v>
      </c>
      <c r="D1219" s="13" t="s">
        <v>1098</v>
      </c>
      <c r="E1219" s="13">
        <v>17884</v>
      </c>
      <c r="F1219" s="13">
        <v>22954</v>
      </c>
      <c r="G1219" t="s">
        <v>836</v>
      </c>
    </row>
    <row r="1220" spans="1:7" x14ac:dyDescent="0.3">
      <c r="A1220" s="13" t="s">
        <v>379</v>
      </c>
      <c r="B1220" s="13">
        <v>176.2</v>
      </c>
      <c r="C1220" s="13">
        <v>271063</v>
      </c>
      <c r="D1220" s="13" t="s">
        <v>1101</v>
      </c>
      <c r="E1220" s="13">
        <v>541924</v>
      </c>
      <c r="F1220" s="13">
        <v>1315431</v>
      </c>
      <c r="G1220" t="s">
        <v>836</v>
      </c>
    </row>
    <row r="1221" spans="1:7" x14ac:dyDescent="0.3">
      <c r="A1221" s="13" t="s">
        <v>858</v>
      </c>
      <c r="B1221" s="13">
        <v>1405</v>
      </c>
      <c r="C1221" s="13">
        <v>37126</v>
      </c>
      <c r="D1221" s="13" t="s">
        <v>1101</v>
      </c>
      <c r="E1221" s="13">
        <v>64934</v>
      </c>
      <c r="F1221" s="13">
        <v>100940</v>
      </c>
      <c r="G1221" t="s">
        <v>836</v>
      </c>
    </row>
    <row r="1222" spans="1:7" x14ac:dyDescent="0.3">
      <c r="A1222" s="13" t="s">
        <v>175</v>
      </c>
      <c r="B1222" s="13">
        <v>580</v>
      </c>
      <c r="C1222" s="13">
        <v>12563</v>
      </c>
      <c r="D1222" s="13" t="s">
        <v>1104</v>
      </c>
      <c r="E1222" s="13">
        <v>34467</v>
      </c>
      <c r="F1222" s="13">
        <v>47381</v>
      </c>
      <c r="G1222" t="s">
        <v>836</v>
      </c>
    </row>
    <row r="1223" spans="1:7" x14ac:dyDescent="0.3">
      <c r="A1223" s="13" t="s">
        <v>357</v>
      </c>
      <c r="B1223" s="13">
        <v>2100</v>
      </c>
      <c r="C1223" s="13">
        <v>58400</v>
      </c>
      <c r="D1223" s="13" t="s">
        <v>1101</v>
      </c>
      <c r="E1223" s="13">
        <v>65688</v>
      </c>
      <c r="F1223" s="13">
        <v>133366</v>
      </c>
      <c r="G1223" t="s">
        <v>836</v>
      </c>
    </row>
    <row r="1224" spans="1:7" x14ac:dyDescent="0.3">
      <c r="A1224" s="13" t="s">
        <v>367</v>
      </c>
      <c r="B1224" s="13">
        <v>3674.9</v>
      </c>
      <c r="C1224" s="13">
        <v>7501</v>
      </c>
      <c r="D1224" s="13" t="s">
        <v>1101</v>
      </c>
      <c r="E1224" s="13">
        <v>5669</v>
      </c>
      <c r="F1224" s="13">
        <v>12615</v>
      </c>
      <c r="G1224" t="s">
        <v>836</v>
      </c>
    </row>
    <row r="1225" spans="1:7" x14ac:dyDescent="0.3">
      <c r="A1225" s="13" t="s">
        <v>976</v>
      </c>
      <c r="B1225" s="13">
        <v>3719.9</v>
      </c>
      <c r="C1225" s="13">
        <v>1232</v>
      </c>
      <c r="D1225" s="13" t="s">
        <v>1104</v>
      </c>
      <c r="E1225" s="13">
        <v>12307</v>
      </c>
      <c r="F1225" s="13">
        <v>12860</v>
      </c>
      <c r="G1225" t="s">
        <v>836</v>
      </c>
    </row>
    <row r="1226" spans="1:7" x14ac:dyDescent="0.3">
      <c r="A1226" s="13" t="s">
        <v>988</v>
      </c>
      <c r="B1226" s="13">
        <v>517.5</v>
      </c>
      <c r="C1226" s="13">
        <v>11658</v>
      </c>
      <c r="D1226" s="13" t="s">
        <v>1102</v>
      </c>
      <c r="E1226" s="13">
        <v>59438</v>
      </c>
      <c r="F1226" s="13">
        <v>145706</v>
      </c>
      <c r="G1226" t="s">
        <v>836</v>
      </c>
    </row>
    <row r="1227" spans="1:7" x14ac:dyDescent="0.3">
      <c r="A1227" s="13" t="s">
        <v>30</v>
      </c>
      <c r="B1227" s="13">
        <v>396.4</v>
      </c>
      <c r="C1227" s="13">
        <v>9808</v>
      </c>
      <c r="D1227" s="13" t="s">
        <v>1104</v>
      </c>
      <c r="E1227" s="13">
        <v>31044</v>
      </c>
      <c r="F1227" s="13">
        <v>108829</v>
      </c>
      <c r="G1227" t="s">
        <v>836</v>
      </c>
    </row>
    <row r="1228" spans="1:7" x14ac:dyDescent="0.3">
      <c r="A1228" s="13" t="s">
        <v>203</v>
      </c>
      <c r="B1228" s="13">
        <v>725.05</v>
      </c>
      <c r="C1228" s="13">
        <v>1200</v>
      </c>
      <c r="D1228" s="13" t="s">
        <v>1100</v>
      </c>
      <c r="E1228" s="13">
        <v>14199</v>
      </c>
      <c r="F1228" s="13">
        <v>38328</v>
      </c>
      <c r="G1228" t="s">
        <v>836</v>
      </c>
    </row>
    <row r="1229" spans="1:7" x14ac:dyDescent="0.3">
      <c r="A1229" s="13" t="s">
        <v>932</v>
      </c>
      <c r="B1229" s="13">
        <v>103.7</v>
      </c>
      <c r="C1229" s="13">
        <v>33464</v>
      </c>
      <c r="D1229" s="13" t="s">
        <v>1101</v>
      </c>
      <c r="E1229" s="13">
        <v>482107</v>
      </c>
      <c r="F1229" s="13">
        <v>507599</v>
      </c>
      <c r="G1229" t="s">
        <v>836</v>
      </c>
    </row>
    <row r="1230" spans="1:7" x14ac:dyDescent="0.3">
      <c r="A1230" s="13" t="s">
        <v>898</v>
      </c>
      <c r="B1230" s="13">
        <v>91.4</v>
      </c>
      <c r="C1230" s="13">
        <v>44309</v>
      </c>
      <c r="D1230" s="13" t="s">
        <v>1100</v>
      </c>
      <c r="E1230" s="13">
        <v>411099</v>
      </c>
      <c r="F1230" s="13">
        <v>1420656</v>
      </c>
      <c r="G1230" t="s">
        <v>836</v>
      </c>
    </row>
    <row r="1231" spans="1:7" x14ac:dyDescent="0.3">
      <c r="A1231" s="13" t="s">
        <v>157</v>
      </c>
      <c r="B1231" s="13">
        <v>1980</v>
      </c>
      <c r="C1231" s="13">
        <v>2161</v>
      </c>
      <c r="D1231" s="13" t="s">
        <v>1099</v>
      </c>
      <c r="E1231" s="13">
        <v>5841</v>
      </c>
      <c r="F1231" s="13">
        <v>15252</v>
      </c>
      <c r="G1231" t="s">
        <v>836</v>
      </c>
    </row>
    <row r="1232" spans="1:7" x14ac:dyDescent="0.3">
      <c r="A1232" s="13" t="s">
        <v>878</v>
      </c>
      <c r="B1232" s="13">
        <v>19480</v>
      </c>
      <c r="C1232" s="13">
        <v>897</v>
      </c>
      <c r="D1232" s="13" t="s">
        <v>1102</v>
      </c>
      <c r="E1232" s="13">
        <v>2991</v>
      </c>
      <c r="F1232" s="13">
        <v>4036</v>
      </c>
      <c r="G1232" t="s">
        <v>836</v>
      </c>
    </row>
    <row r="1233" spans="1:7" x14ac:dyDescent="0.3">
      <c r="A1233" s="13" t="s">
        <v>872</v>
      </c>
      <c r="B1233" s="13">
        <v>512.25</v>
      </c>
      <c r="C1233" s="13">
        <v>14614</v>
      </c>
      <c r="D1233" s="13" t="s">
        <v>1101</v>
      </c>
      <c r="E1233" s="13">
        <v>34450</v>
      </c>
      <c r="F1233" s="13">
        <v>66232</v>
      </c>
      <c r="G1233" t="s">
        <v>836</v>
      </c>
    </row>
    <row r="1234" spans="1:7" x14ac:dyDescent="0.3">
      <c r="A1234" s="13" t="s">
        <v>43</v>
      </c>
      <c r="B1234" s="13">
        <v>431.7</v>
      </c>
      <c r="C1234" s="13">
        <v>8202</v>
      </c>
      <c r="D1234" s="13" t="s">
        <v>1102</v>
      </c>
      <c r="E1234" s="13">
        <v>42748</v>
      </c>
      <c r="F1234" s="13">
        <v>138908</v>
      </c>
      <c r="G1234" t="s">
        <v>836</v>
      </c>
    </row>
    <row r="1235" spans="1:7" x14ac:dyDescent="0.3">
      <c r="A1235" s="13" t="s">
        <v>321</v>
      </c>
      <c r="B1235" s="13">
        <v>1312</v>
      </c>
      <c r="C1235" s="13">
        <v>65047</v>
      </c>
      <c r="D1235" s="13" t="s">
        <v>1101</v>
      </c>
      <c r="E1235" s="13">
        <v>202658</v>
      </c>
      <c r="F1235" s="13">
        <v>460385</v>
      </c>
      <c r="G1235" t="s">
        <v>836</v>
      </c>
    </row>
    <row r="1236" spans="1:7" x14ac:dyDescent="0.3">
      <c r="A1236" s="13" t="s">
        <v>319</v>
      </c>
      <c r="B1236" s="13">
        <v>372</v>
      </c>
      <c r="C1236" s="13">
        <v>7682</v>
      </c>
      <c r="D1236" s="13" t="s">
        <v>1102</v>
      </c>
      <c r="E1236" s="13">
        <v>151037</v>
      </c>
      <c r="F1236" s="13">
        <v>350533</v>
      </c>
      <c r="G1236" t="s">
        <v>836</v>
      </c>
    </row>
    <row r="1237" spans="1:7" x14ac:dyDescent="0.3">
      <c r="A1237" s="13" t="s">
        <v>183</v>
      </c>
      <c r="B1237" s="13">
        <v>402.05</v>
      </c>
      <c r="C1237" s="13">
        <v>7402</v>
      </c>
      <c r="D1237" s="13" t="s">
        <v>1102</v>
      </c>
      <c r="E1237" s="13">
        <v>68270</v>
      </c>
      <c r="F1237" s="13">
        <v>149858</v>
      </c>
      <c r="G1237" t="s">
        <v>836</v>
      </c>
    </row>
    <row r="1238" spans="1:7" x14ac:dyDescent="0.3">
      <c r="A1238" s="13" t="s">
        <v>171</v>
      </c>
      <c r="B1238" s="13">
        <v>2777</v>
      </c>
      <c r="C1238" s="13">
        <v>1435</v>
      </c>
      <c r="D1238" s="13" t="s">
        <v>1099</v>
      </c>
      <c r="E1238" s="13">
        <v>4023</v>
      </c>
      <c r="F1238" s="13">
        <v>8169</v>
      </c>
      <c r="G1238" t="s">
        <v>836</v>
      </c>
    </row>
    <row r="1239" spans="1:7" x14ac:dyDescent="0.3">
      <c r="A1239" s="13" t="s">
        <v>105</v>
      </c>
      <c r="B1239" s="13">
        <v>1800</v>
      </c>
      <c r="C1239" s="13">
        <v>1534</v>
      </c>
      <c r="D1239" s="13" t="s">
        <v>1098</v>
      </c>
      <c r="E1239" s="13">
        <v>4429</v>
      </c>
      <c r="F1239" s="13">
        <v>10180</v>
      </c>
      <c r="G1239" t="s">
        <v>836</v>
      </c>
    </row>
    <row r="1240" spans="1:7" x14ac:dyDescent="0.3">
      <c r="A1240" s="13" t="s">
        <v>115</v>
      </c>
      <c r="B1240" s="13">
        <v>480</v>
      </c>
      <c r="C1240" s="13">
        <v>696</v>
      </c>
      <c r="D1240" s="13" t="s">
        <v>1098</v>
      </c>
      <c r="E1240" s="13">
        <v>26104</v>
      </c>
      <c r="F1240" s="13">
        <v>170675</v>
      </c>
      <c r="G1240" t="s">
        <v>836</v>
      </c>
    </row>
    <row r="1241" spans="1:7" x14ac:dyDescent="0.3">
      <c r="A1241" s="13" t="s">
        <v>866</v>
      </c>
      <c r="B1241" s="13">
        <v>1357.9</v>
      </c>
      <c r="C1241" s="13">
        <v>6451</v>
      </c>
      <c r="D1241" s="13" t="s">
        <v>1101</v>
      </c>
      <c r="E1241" s="13">
        <v>22555</v>
      </c>
      <c r="F1241" s="13">
        <v>125490</v>
      </c>
      <c r="G1241" t="s">
        <v>836</v>
      </c>
    </row>
    <row r="1242" spans="1:7" x14ac:dyDescent="0.3">
      <c r="A1242" s="13" t="s">
        <v>846</v>
      </c>
      <c r="B1242" s="13">
        <v>225.75</v>
      </c>
      <c r="C1242" s="13">
        <v>75829</v>
      </c>
      <c r="D1242" s="13" t="s">
        <v>1101</v>
      </c>
      <c r="E1242" s="13">
        <v>302885</v>
      </c>
      <c r="F1242" s="13">
        <v>559621</v>
      </c>
      <c r="G1242" t="s">
        <v>836</v>
      </c>
    </row>
    <row r="1243" spans="1:7" x14ac:dyDescent="0.3">
      <c r="A1243" s="13" t="s">
        <v>242</v>
      </c>
      <c r="B1243" s="13">
        <v>4080</v>
      </c>
      <c r="C1243" s="13">
        <v>9052</v>
      </c>
      <c r="D1243" s="13" t="s">
        <v>1101</v>
      </c>
      <c r="E1243" s="13">
        <v>36794</v>
      </c>
      <c r="F1243" s="13">
        <v>54439</v>
      </c>
      <c r="G1243" t="s">
        <v>836</v>
      </c>
    </row>
    <row r="1244" spans="1:7" x14ac:dyDescent="0.3">
      <c r="A1244" s="13" t="s">
        <v>946</v>
      </c>
      <c r="B1244" s="13">
        <v>564</v>
      </c>
      <c r="C1244" s="13">
        <v>3613</v>
      </c>
      <c r="D1244" s="13" t="s">
        <v>1104</v>
      </c>
      <c r="E1244" s="13">
        <v>11493</v>
      </c>
      <c r="F1244" s="13">
        <v>69657</v>
      </c>
      <c r="G1244" t="s">
        <v>836</v>
      </c>
    </row>
    <row r="1245" spans="1:7" x14ac:dyDescent="0.3">
      <c r="A1245" s="13" t="s">
        <v>906</v>
      </c>
      <c r="B1245" s="13">
        <v>3174.9</v>
      </c>
      <c r="C1245" s="13">
        <v>2523</v>
      </c>
      <c r="D1245" s="13" t="s">
        <v>1100</v>
      </c>
      <c r="E1245" s="13">
        <v>26222</v>
      </c>
      <c r="F1245" s="13">
        <v>33704</v>
      </c>
      <c r="G1245" t="s">
        <v>836</v>
      </c>
    </row>
    <row r="1246" spans="1:7" x14ac:dyDescent="0.3">
      <c r="A1246" s="13" t="s">
        <v>309</v>
      </c>
      <c r="B1246" s="13">
        <v>9688</v>
      </c>
      <c r="C1246" s="13">
        <v>134</v>
      </c>
      <c r="D1246" s="13" t="s">
        <v>1103</v>
      </c>
      <c r="E1246" s="13">
        <v>2637</v>
      </c>
      <c r="F1246" s="13">
        <v>7109</v>
      </c>
      <c r="G1246" t="s">
        <v>836</v>
      </c>
    </row>
    <row r="1247" spans="1:7" x14ac:dyDescent="0.3">
      <c r="A1247" s="13" t="s">
        <v>900</v>
      </c>
      <c r="B1247" s="13">
        <v>241.05</v>
      </c>
      <c r="C1247" s="13">
        <v>48126</v>
      </c>
      <c r="D1247" s="13" t="s">
        <v>1101</v>
      </c>
      <c r="E1247" s="13">
        <v>378731</v>
      </c>
      <c r="F1247" s="13">
        <v>557662</v>
      </c>
      <c r="G1247" t="s">
        <v>836</v>
      </c>
    </row>
    <row r="1248" spans="1:7" x14ac:dyDescent="0.3">
      <c r="A1248" s="13" t="s">
        <v>956</v>
      </c>
      <c r="B1248" s="13">
        <v>1056</v>
      </c>
      <c r="C1248" s="13">
        <v>1526</v>
      </c>
      <c r="D1248" s="13" t="s">
        <v>1104</v>
      </c>
      <c r="E1248" s="13">
        <v>10709</v>
      </c>
      <c r="F1248" s="13">
        <v>33542</v>
      </c>
      <c r="G1248" t="s">
        <v>836</v>
      </c>
    </row>
    <row r="1249" spans="1:7" x14ac:dyDescent="0.3">
      <c r="A1249" s="13" t="s">
        <v>994</v>
      </c>
      <c r="B1249" s="13">
        <v>24.38</v>
      </c>
      <c r="C1249" s="13">
        <v>295034</v>
      </c>
      <c r="D1249" s="13" t="s">
        <v>1101</v>
      </c>
      <c r="E1249" s="13">
        <v>1948745</v>
      </c>
      <c r="F1249" s="13">
        <v>4753039</v>
      </c>
      <c r="G1249" t="s">
        <v>836</v>
      </c>
    </row>
    <row r="1250" spans="1:7" x14ac:dyDescent="0.3">
      <c r="A1250" s="13" t="s">
        <v>992</v>
      </c>
      <c r="B1250" s="13">
        <v>2895.2</v>
      </c>
      <c r="C1250" s="13">
        <v>2677</v>
      </c>
      <c r="D1250" s="13" t="s">
        <v>1101</v>
      </c>
      <c r="E1250" s="13">
        <v>15608</v>
      </c>
      <c r="F1250" s="13">
        <v>26873</v>
      </c>
      <c r="G1250" t="s">
        <v>836</v>
      </c>
    </row>
    <row r="1251" spans="1:7" x14ac:dyDescent="0.3">
      <c r="A1251" s="13" t="s">
        <v>45</v>
      </c>
      <c r="B1251" s="13">
        <v>8743</v>
      </c>
      <c r="C1251" s="13">
        <v>3031</v>
      </c>
      <c r="D1251" s="13" t="s">
        <v>1101</v>
      </c>
      <c r="E1251" s="13">
        <v>1557</v>
      </c>
      <c r="F1251" s="13">
        <v>4118</v>
      </c>
      <c r="G1251" t="s">
        <v>836</v>
      </c>
    </row>
    <row r="1252" spans="1:7" x14ac:dyDescent="0.3">
      <c r="A1252" s="13" t="s">
        <v>85</v>
      </c>
      <c r="B1252" s="13">
        <v>1890</v>
      </c>
      <c r="C1252" s="13">
        <v>149623</v>
      </c>
      <c r="D1252" s="13" t="s">
        <v>1100</v>
      </c>
      <c r="E1252" s="13">
        <v>41044</v>
      </c>
      <c r="F1252" s="13">
        <v>75833</v>
      </c>
      <c r="G1252" t="s">
        <v>836</v>
      </c>
    </row>
    <row r="1253" spans="1:7" x14ac:dyDescent="0.3">
      <c r="A1253" s="13" t="s">
        <v>896</v>
      </c>
      <c r="B1253" s="13">
        <v>129.62</v>
      </c>
      <c r="C1253" s="13">
        <v>24270</v>
      </c>
      <c r="D1253" s="13" t="s">
        <v>1099</v>
      </c>
      <c r="E1253" s="13">
        <v>153652</v>
      </c>
      <c r="F1253" s="13">
        <v>405981</v>
      </c>
      <c r="G1253" t="s">
        <v>836</v>
      </c>
    </row>
    <row r="1254" spans="1:7" x14ac:dyDescent="0.3">
      <c r="A1254" s="13" t="s">
        <v>199</v>
      </c>
      <c r="B1254" s="13">
        <v>124.5</v>
      </c>
      <c r="C1254" s="13">
        <v>17714</v>
      </c>
      <c r="D1254" s="13" t="s">
        <v>1099</v>
      </c>
      <c r="E1254" s="13">
        <v>151976</v>
      </c>
      <c r="F1254" s="13">
        <v>342581</v>
      </c>
      <c r="G1254" t="s">
        <v>836</v>
      </c>
    </row>
    <row r="1255" spans="1:7" x14ac:dyDescent="0.3">
      <c r="A1255" s="13" t="s">
        <v>49</v>
      </c>
      <c r="B1255" s="13">
        <v>166</v>
      </c>
      <c r="C1255" s="13">
        <v>102426</v>
      </c>
      <c r="D1255" s="13" t="s">
        <v>1100</v>
      </c>
      <c r="E1255" s="13">
        <v>444301</v>
      </c>
      <c r="F1255" s="13">
        <v>725705</v>
      </c>
      <c r="G1255" t="s">
        <v>836</v>
      </c>
    </row>
    <row r="1256" spans="1:7" x14ac:dyDescent="0.3">
      <c r="A1256" s="13" t="s">
        <v>133</v>
      </c>
      <c r="B1256" s="13">
        <v>12470</v>
      </c>
      <c r="C1256" s="13">
        <v>1553</v>
      </c>
      <c r="D1256" s="13" t="s">
        <v>1101</v>
      </c>
      <c r="E1256" s="13">
        <v>6964</v>
      </c>
      <c r="F1256" s="13">
        <v>13496</v>
      </c>
      <c r="G1256" t="s">
        <v>836</v>
      </c>
    </row>
    <row r="1257" spans="1:7" x14ac:dyDescent="0.3">
      <c r="A1257" s="13" t="s">
        <v>876</v>
      </c>
      <c r="B1257" s="13">
        <v>281.95</v>
      </c>
      <c r="C1257" s="13">
        <v>103042</v>
      </c>
      <c r="D1257" s="13" t="s">
        <v>1101</v>
      </c>
      <c r="E1257" s="13">
        <v>186399</v>
      </c>
      <c r="F1257" s="13">
        <v>540027</v>
      </c>
      <c r="G1257" t="s">
        <v>836</v>
      </c>
    </row>
    <row r="1258" spans="1:7" x14ac:dyDescent="0.3">
      <c r="A1258" s="13" t="s">
        <v>79</v>
      </c>
      <c r="B1258" s="13">
        <v>418.6</v>
      </c>
      <c r="C1258" s="13">
        <v>64440</v>
      </c>
      <c r="D1258" s="13" t="s">
        <v>1101</v>
      </c>
      <c r="E1258" s="13">
        <v>328472</v>
      </c>
      <c r="F1258" s="13">
        <v>793843</v>
      </c>
      <c r="G1258" t="s">
        <v>836</v>
      </c>
    </row>
    <row r="1259" spans="1:7" x14ac:dyDescent="0.3">
      <c r="A1259" s="13" t="s">
        <v>918</v>
      </c>
      <c r="B1259" s="13">
        <v>318</v>
      </c>
      <c r="C1259" s="13">
        <v>25016</v>
      </c>
      <c r="D1259" s="13" t="s">
        <v>1104</v>
      </c>
      <c r="E1259" s="13">
        <v>89830</v>
      </c>
      <c r="F1259" s="13">
        <v>130924</v>
      </c>
      <c r="G1259" t="s">
        <v>836</v>
      </c>
    </row>
    <row r="1260" spans="1:7" x14ac:dyDescent="0.3">
      <c r="A1260" s="13" t="s">
        <v>325</v>
      </c>
      <c r="B1260" s="13">
        <v>609.85</v>
      </c>
      <c r="C1260" s="13">
        <v>2142</v>
      </c>
      <c r="D1260" s="13" t="s">
        <v>1100</v>
      </c>
      <c r="E1260" s="13">
        <v>18860</v>
      </c>
      <c r="F1260" s="13">
        <v>36051</v>
      </c>
      <c r="G1260" t="s">
        <v>836</v>
      </c>
    </row>
    <row r="1261" spans="1:7" x14ac:dyDescent="0.3">
      <c r="A1261" s="13" t="s">
        <v>225</v>
      </c>
      <c r="B1261" s="13">
        <v>1052.4000000000001</v>
      </c>
      <c r="C1261" s="13">
        <v>842</v>
      </c>
      <c r="D1261" s="13" t="s">
        <v>1102</v>
      </c>
      <c r="E1261" s="13">
        <v>7654</v>
      </c>
      <c r="F1261" s="13">
        <v>11557</v>
      </c>
      <c r="G1261" t="s">
        <v>836</v>
      </c>
    </row>
    <row r="1262" spans="1:7" x14ac:dyDescent="0.3">
      <c r="A1262" s="13" t="s">
        <v>83</v>
      </c>
      <c r="B1262" s="13">
        <v>2160</v>
      </c>
      <c r="C1262" s="13">
        <v>1965</v>
      </c>
      <c r="D1262" s="13" t="s">
        <v>1101</v>
      </c>
      <c r="E1262" s="13">
        <v>4065</v>
      </c>
      <c r="F1262" s="13">
        <v>9372</v>
      </c>
      <c r="G1262" t="s">
        <v>836</v>
      </c>
    </row>
    <row r="1263" spans="1:7" x14ac:dyDescent="0.3">
      <c r="A1263" s="13" t="s">
        <v>248</v>
      </c>
      <c r="B1263" s="13">
        <v>2420</v>
      </c>
      <c r="C1263" s="13">
        <v>4307</v>
      </c>
      <c r="D1263" s="13" t="s">
        <v>1103</v>
      </c>
      <c r="E1263" s="13">
        <v>3185</v>
      </c>
      <c r="F1263" s="13">
        <v>25968</v>
      </c>
      <c r="G1263" t="s">
        <v>836</v>
      </c>
    </row>
    <row r="1264" spans="1:7" x14ac:dyDescent="0.3">
      <c r="A1264" s="13" t="s">
        <v>301</v>
      </c>
      <c r="B1264" s="13">
        <v>433</v>
      </c>
      <c r="C1264" s="13">
        <v>13470</v>
      </c>
      <c r="D1264" s="13" t="s">
        <v>1103</v>
      </c>
      <c r="E1264" s="13">
        <v>48496</v>
      </c>
      <c r="F1264" s="13">
        <v>105817</v>
      </c>
      <c r="G1264" t="s">
        <v>836</v>
      </c>
    </row>
    <row r="1265" spans="1:7" x14ac:dyDescent="0.3">
      <c r="A1265" s="13" t="s">
        <v>109</v>
      </c>
      <c r="B1265" s="13">
        <v>441.95</v>
      </c>
      <c r="C1265" s="13">
        <v>11923</v>
      </c>
      <c r="D1265" s="13" t="s">
        <v>1101</v>
      </c>
      <c r="E1265" s="13">
        <v>127888</v>
      </c>
      <c r="F1265" s="13">
        <v>200452</v>
      </c>
      <c r="G1265" t="s">
        <v>836</v>
      </c>
    </row>
    <row r="1266" spans="1:7" x14ac:dyDescent="0.3">
      <c r="A1266" s="13" t="s">
        <v>317</v>
      </c>
      <c r="B1266" s="13">
        <v>358</v>
      </c>
      <c r="C1266" s="13">
        <v>4606</v>
      </c>
      <c r="D1266" s="13" t="s">
        <v>1102</v>
      </c>
      <c r="E1266" s="13">
        <v>34749</v>
      </c>
      <c r="F1266" s="13">
        <v>79706</v>
      </c>
      <c r="G1266" t="s">
        <v>836</v>
      </c>
    </row>
    <row r="1267" spans="1:7" x14ac:dyDescent="0.3">
      <c r="A1267" s="13" t="s">
        <v>185</v>
      </c>
      <c r="B1267" s="13">
        <v>2224.9</v>
      </c>
      <c r="C1267" s="13">
        <v>4928</v>
      </c>
      <c r="D1267" s="13" t="s">
        <v>1101</v>
      </c>
      <c r="E1267" s="13">
        <v>8034</v>
      </c>
      <c r="F1267" s="13">
        <v>28809</v>
      </c>
      <c r="G1267" t="s">
        <v>836</v>
      </c>
    </row>
    <row r="1268" spans="1:7" x14ac:dyDescent="0.3">
      <c r="A1268" s="13" t="s">
        <v>177</v>
      </c>
      <c r="B1268" s="13">
        <v>4900</v>
      </c>
      <c r="C1268" s="13">
        <v>1789</v>
      </c>
      <c r="D1268" s="13" t="s">
        <v>1102</v>
      </c>
      <c r="E1268" s="13">
        <v>5858</v>
      </c>
      <c r="F1268" s="13">
        <v>17669</v>
      </c>
      <c r="G1268" t="s">
        <v>836</v>
      </c>
    </row>
    <row r="1269" spans="1:7" x14ac:dyDescent="0.3">
      <c r="A1269" s="13" t="s">
        <v>99</v>
      </c>
      <c r="B1269" s="13">
        <v>127.5</v>
      </c>
      <c r="C1269" s="13">
        <v>107501</v>
      </c>
      <c r="D1269" s="13" t="s">
        <v>1101</v>
      </c>
      <c r="E1269" s="13">
        <v>416213</v>
      </c>
      <c r="F1269" s="13">
        <v>2051254</v>
      </c>
      <c r="G1269" t="s">
        <v>836</v>
      </c>
    </row>
    <row r="1270" spans="1:7" x14ac:dyDescent="0.3">
      <c r="A1270" s="13" t="s">
        <v>974</v>
      </c>
      <c r="B1270" s="13">
        <v>250.9</v>
      </c>
      <c r="C1270" s="13">
        <v>9498</v>
      </c>
      <c r="D1270" s="13" t="s">
        <v>1101</v>
      </c>
      <c r="E1270" s="13">
        <v>92254</v>
      </c>
      <c r="F1270" s="13">
        <v>217898</v>
      </c>
      <c r="G1270" t="s">
        <v>836</v>
      </c>
    </row>
    <row r="1271" spans="1:7" x14ac:dyDescent="0.3">
      <c r="A1271" s="13" t="s">
        <v>61</v>
      </c>
      <c r="B1271" s="13">
        <v>1373</v>
      </c>
      <c r="C1271" s="13">
        <v>12273</v>
      </c>
      <c r="D1271" s="13" t="s">
        <v>1101</v>
      </c>
      <c r="E1271" s="13">
        <v>18543</v>
      </c>
      <c r="F1271" s="13">
        <v>54796</v>
      </c>
      <c r="G1271" t="s">
        <v>836</v>
      </c>
    </row>
    <row r="1272" spans="1:7" x14ac:dyDescent="0.3">
      <c r="A1272" s="13" t="s">
        <v>137</v>
      </c>
      <c r="B1272" s="13">
        <v>1356</v>
      </c>
      <c r="C1272" s="13">
        <v>3630</v>
      </c>
      <c r="D1272" s="13" t="s">
        <v>1102</v>
      </c>
      <c r="E1272" s="13">
        <v>5724</v>
      </c>
      <c r="F1272" s="13">
        <v>20897</v>
      </c>
      <c r="G1272" t="s">
        <v>836</v>
      </c>
    </row>
    <row r="1273" spans="1:7" x14ac:dyDescent="0.3">
      <c r="A1273" s="13" t="s">
        <v>256</v>
      </c>
      <c r="B1273" s="13">
        <v>14450</v>
      </c>
      <c r="C1273" s="13">
        <v>925</v>
      </c>
      <c r="D1273" s="13" t="s">
        <v>1104</v>
      </c>
      <c r="E1273" s="13">
        <v>4281</v>
      </c>
      <c r="F1273" s="13">
        <v>5742</v>
      </c>
      <c r="G1273" t="s">
        <v>836</v>
      </c>
    </row>
    <row r="1274" spans="1:7" x14ac:dyDescent="0.3">
      <c r="A1274" s="13" t="s">
        <v>854</v>
      </c>
      <c r="B1274" s="13">
        <v>10939</v>
      </c>
      <c r="C1274" s="13">
        <v>117</v>
      </c>
      <c r="D1274" s="13" t="s">
        <v>1099</v>
      </c>
      <c r="E1274" s="13">
        <v>496</v>
      </c>
      <c r="F1274" s="13">
        <v>1591</v>
      </c>
      <c r="G1274" t="s">
        <v>836</v>
      </c>
    </row>
    <row r="1275" spans="1:7" x14ac:dyDescent="0.3">
      <c r="A1275" s="13" t="s">
        <v>57</v>
      </c>
      <c r="B1275" s="13">
        <v>1064.9000000000001</v>
      </c>
      <c r="C1275" s="13">
        <v>1872</v>
      </c>
      <c r="D1275" s="13" t="s">
        <v>1098</v>
      </c>
      <c r="E1275" s="13">
        <v>6679</v>
      </c>
      <c r="F1275" s="13">
        <v>15588</v>
      </c>
      <c r="G1275" t="s">
        <v>836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ACD8F-EE39-42C1-AEF6-704908F76D82}">
  <dimension ref="A1:O87"/>
  <sheetViews>
    <sheetView workbookViewId="0">
      <pane ySplit="1" topLeftCell="A14" activePane="bottomLeft" state="frozen"/>
      <selection pane="bottomLeft" activeCell="J16" sqref="J16"/>
    </sheetView>
  </sheetViews>
  <sheetFormatPr defaultRowHeight="14.4" x14ac:dyDescent="0.3"/>
  <cols>
    <col min="3" max="3" width="14.88671875" customWidth="1"/>
  </cols>
  <sheetData>
    <row r="1" spans="1:15" x14ac:dyDescent="0.3">
      <c r="B1" t="s">
        <v>385</v>
      </c>
      <c r="C1" t="s">
        <v>1051</v>
      </c>
      <c r="D1" t="s">
        <v>386</v>
      </c>
      <c r="E1" t="s">
        <v>387</v>
      </c>
      <c r="F1" t="s">
        <v>388</v>
      </c>
      <c r="G1" t="s">
        <v>389</v>
      </c>
      <c r="H1" t="s">
        <v>390</v>
      </c>
      <c r="I1" t="s">
        <v>1105</v>
      </c>
      <c r="J1" t="s">
        <v>1106</v>
      </c>
      <c r="K1" t="s">
        <v>1107</v>
      </c>
      <c r="L1" t="s">
        <v>1108</v>
      </c>
      <c r="M1" t="s">
        <v>1109</v>
      </c>
      <c r="N1" t="s">
        <v>1110</v>
      </c>
      <c r="O1" t="s">
        <v>1111</v>
      </c>
    </row>
    <row r="2" spans="1:15" x14ac:dyDescent="0.3">
      <c r="A2">
        <v>1</v>
      </c>
      <c r="B2" t="s">
        <v>852</v>
      </c>
      <c r="C2" s="76">
        <v>46213</v>
      </c>
      <c r="D2">
        <v>1804</v>
      </c>
      <c r="E2">
        <v>1842</v>
      </c>
      <c r="F2">
        <v>1793.8</v>
      </c>
      <c r="G2">
        <v>1835.9</v>
      </c>
      <c r="H2">
        <v>574806</v>
      </c>
      <c r="I2">
        <v>1925.53</v>
      </c>
      <c r="J2">
        <v>2024.63</v>
      </c>
      <c r="K2">
        <v>1826.43</v>
      </c>
      <c r="L2">
        <v>49.057699999999997</v>
      </c>
      <c r="M2" t="s">
        <v>1120</v>
      </c>
      <c r="N2" t="s">
        <v>1116</v>
      </c>
      <c r="O2" t="s">
        <v>1114</v>
      </c>
    </row>
    <row r="3" spans="1:15" x14ac:dyDescent="0.3">
      <c r="A3">
        <v>8</v>
      </c>
      <c r="B3" t="s">
        <v>233</v>
      </c>
      <c r="C3" s="76">
        <v>46213</v>
      </c>
      <c r="D3">
        <v>377.45</v>
      </c>
      <c r="E3">
        <v>381.15</v>
      </c>
      <c r="F3">
        <v>376.9</v>
      </c>
      <c r="G3">
        <v>377.6</v>
      </c>
      <c r="H3">
        <v>15468937</v>
      </c>
      <c r="I3">
        <v>370.66</v>
      </c>
      <c r="J3">
        <v>387.12</v>
      </c>
      <c r="K3">
        <v>354.19</v>
      </c>
      <c r="L3">
        <v>8.1532999999999998</v>
      </c>
      <c r="M3" t="s">
        <v>1120</v>
      </c>
      <c r="N3" t="s">
        <v>1113</v>
      </c>
      <c r="O3" t="s">
        <v>836</v>
      </c>
    </row>
    <row r="4" spans="1:15" x14ac:dyDescent="0.3">
      <c r="A4">
        <v>10</v>
      </c>
      <c r="B4" t="s">
        <v>349</v>
      </c>
      <c r="C4" s="76">
        <v>46213</v>
      </c>
      <c r="D4">
        <v>1105</v>
      </c>
      <c r="E4">
        <v>1117.7</v>
      </c>
      <c r="F4">
        <v>1105</v>
      </c>
      <c r="G4">
        <v>1111.9000000000001</v>
      </c>
      <c r="H4">
        <v>1189725</v>
      </c>
      <c r="I4">
        <v>1127</v>
      </c>
      <c r="J4">
        <v>1178.68</v>
      </c>
      <c r="K4">
        <v>1075.32</v>
      </c>
      <c r="L4">
        <v>25.584900000000001</v>
      </c>
      <c r="M4" t="s">
        <v>1120</v>
      </c>
      <c r="N4" t="s">
        <v>1116</v>
      </c>
      <c r="O4" t="s">
        <v>1114</v>
      </c>
    </row>
    <row r="5" spans="1:15" x14ac:dyDescent="0.3">
      <c r="A5">
        <v>12</v>
      </c>
      <c r="B5" t="s">
        <v>373</v>
      </c>
      <c r="C5" s="76">
        <v>46213</v>
      </c>
      <c r="D5">
        <v>585</v>
      </c>
      <c r="E5">
        <v>599.79999999999995</v>
      </c>
      <c r="F5">
        <v>585</v>
      </c>
      <c r="G5">
        <v>594.75</v>
      </c>
      <c r="H5">
        <v>872284</v>
      </c>
      <c r="I5">
        <v>573.89</v>
      </c>
      <c r="J5">
        <v>610.05999999999995</v>
      </c>
      <c r="K5">
        <v>537.72</v>
      </c>
      <c r="L5">
        <v>17.9057</v>
      </c>
      <c r="M5" t="s">
        <v>1120</v>
      </c>
      <c r="N5" t="s">
        <v>1113</v>
      </c>
      <c r="O5" t="s">
        <v>836</v>
      </c>
    </row>
    <row r="6" spans="1:15" x14ac:dyDescent="0.3">
      <c r="A6">
        <v>14</v>
      </c>
      <c r="B6" t="s">
        <v>291</v>
      </c>
      <c r="C6" s="76">
        <v>46213</v>
      </c>
      <c r="D6">
        <v>243.65</v>
      </c>
      <c r="E6">
        <v>245.39</v>
      </c>
      <c r="F6">
        <v>243.41</v>
      </c>
      <c r="G6">
        <v>244.96</v>
      </c>
      <c r="H6">
        <v>8237303</v>
      </c>
      <c r="I6">
        <v>235.22</v>
      </c>
      <c r="J6">
        <v>247.74</v>
      </c>
      <c r="K6">
        <v>222.7</v>
      </c>
      <c r="L6">
        <v>6.1978</v>
      </c>
      <c r="M6" t="s">
        <v>1120</v>
      </c>
      <c r="N6" t="s">
        <v>1113</v>
      </c>
      <c r="O6" t="s">
        <v>836</v>
      </c>
    </row>
    <row r="7" spans="1:15" x14ac:dyDescent="0.3">
      <c r="A7">
        <v>17</v>
      </c>
      <c r="B7" t="s">
        <v>273</v>
      </c>
      <c r="C7" s="76">
        <v>46213</v>
      </c>
      <c r="D7">
        <v>3096</v>
      </c>
      <c r="E7">
        <v>3147.8</v>
      </c>
      <c r="F7">
        <v>3091</v>
      </c>
      <c r="G7">
        <v>3129.4</v>
      </c>
      <c r="H7">
        <v>737063</v>
      </c>
      <c r="I7">
        <v>3033.58</v>
      </c>
      <c r="J7">
        <v>3212.25</v>
      </c>
      <c r="K7">
        <v>2854.91</v>
      </c>
      <c r="L7">
        <v>88.450800000000001</v>
      </c>
      <c r="M7" t="s">
        <v>1120</v>
      </c>
      <c r="N7" t="s">
        <v>1113</v>
      </c>
      <c r="O7" t="s">
        <v>836</v>
      </c>
    </row>
    <row r="8" spans="1:15" x14ac:dyDescent="0.3">
      <c r="A8">
        <v>18</v>
      </c>
      <c r="B8" t="s">
        <v>952</v>
      </c>
      <c r="C8" s="76">
        <v>46213</v>
      </c>
      <c r="D8">
        <v>1571.9</v>
      </c>
      <c r="E8">
        <v>1589.4</v>
      </c>
      <c r="F8">
        <v>1569.4</v>
      </c>
      <c r="G8">
        <v>1580.4</v>
      </c>
      <c r="H8">
        <v>2015233</v>
      </c>
      <c r="I8">
        <v>1698.47</v>
      </c>
      <c r="J8">
        <v>1817.04</v>
      </c>
      <c r="K8">
        <v>1579.9</v>
      </c>
      <c r="L8">
        <v>58.697600000000001</v>
      </c>
      <c r="M8" t="s">
        <v>1120</v>
      </c>
      <c r="N8" t="s">
        <v>1116</v>
      </c>
      <c r="O8" t="s">
        <v>1114</v>
      </c>
    </row>
    <row r="9" spans="1:15" x14ac:dyDescent="0.3">
      <c r="A9">
        <v>21</v>
      </c>
      <c r="B9" t="s">
        <v>323</v>
      </c>
      <c r="C9" s="76">
        <v>46213</v>
      </c>
      <c r="D9">
        <v>168.08</v>
      </c>
      <c r="E9">
        <v>172.27</v>
      </c>
      <c r="F9">
        <v>167.15</v>
      </c>
      <c r="G9">
        <v>167.95</v>
      </c>
      <c r="H9">
        <v>12023050</v>
      </c>
      <c r="I9">
        <v>171.2</v>
      </c>
      <c r="J9">
        <v>181.19</v>
      </c>
      <c r="K9">
        <v>161.19999999999999</v>
      </c>
      <c r="L9">
        <v>4.9477000000000002</v>
      </c>
      <c r="M9" t="s">
        <v>1120</v>
      </c>
      <c r="N9" t="s">
        <v>1116</v>
      </c>
      <c r="O9" t="s">
        <v>1114</v>
      </c>
    </row>
    <row r="10" spans="1:15" x14ac:dyDescent="0.3">
      <c r="A10">
        <v>22</v>
      </c>
      <c r="B10" t="s">
        <v>189</v>
      </c>
      <c r="C10" s="76">
        <v>46213</v>
      </c>
      <c r="D10">
        <v>1800</v>
      </c>
      <c r="E10">
        <v>1837.4</v>
      </c>
      <c r="F10">
        <v>1798.4</v>
      </c>
      <c r="G10">
        <v>1826.2</v>
      </c>
      <c r="H10">
        <v>504410</v>
      </c>
      <c r="I10">
        <v>1770.31</v>
      </c>
      <c r="J10">
        <v>1858.58</v>
      </c>
      <c r="K10">
        <v>1682.03</v>
      </c>
      <c r="L10">
        <v>43.701000000000001</v>
      </c>
      <c r="M10" t="s">
        <v>1120</v>
      </c>
      <c r="N10" t="s">
        <v>1113</v>
      </c>
      <c r="O10" t="s">
        <v>836</v>
      </c>
    </row>
    <row r="11" spans="1:15" x14ac:dyDescent="0.3">
      <c r="A11">
        <v>26</v>
      </c>
      <c r="B11" t="s">
        <v>940</v>
      </c>
      <c r="C11" s="76">
        <v>46213</v>
      </c>
      <c r="D11">
        <v>424.4</v>
      </c>
      <c r="E11">
        <v>426</v>
      </c>
      <c r="F11">
        <v>420.8</v>
      </c>
      <c r="G11">
        <v>424.95</v>
      </c>
      <c r="H11">
        <v>2041349</v>
      </c>
      <c r="I11">
        <v>437.58</v>
      </c>
      <c r="J11">
        <v>465.94</v>
      </c>
      <c r="K11">
        <v>409.21</v>
      </c>
      <c r="L11">
        <v>14.043699999999999</v>
      </c>
      <c r="M11" t="s">
        <v>1120</v>
      </c>
      <c r="N11" t="s">
        <v>1116</v>
      </c>
      <c r="O11" t="s">
        <v>1114</v>
      </c>
    </row>
    <row r="12" spans="1:15" x14ac:dyDescent="0.3">
      <c r="A12">
        <v>28</v>
      </c>
      <c r="B12" t="s">
        <v>305</v>
      </c>
      <c r="C12" s="76">
        <v>46213</v>
      </c>
      <c r="D12">
        <v>2596</v>
      </c>
      <c r="E12">
        <v>2628</v>
      </c>
      <c r="F12">
        <v>2595.9</v>
      </c>
      <c r="G12">
        <v>2607.4</v>
      </c>
      <c r="H12">
        <v>188072</v>
      </c>
      <c r="I12">
        <v>2579.1</v>
      </c>
      <c r="J12">
        <v>2756.03</v>
      </c>
      <c r="K12">
        <v>2402.17</v>
      </c>
      <c r="L12">
        <v>87.590599999999995</v>
      </c>
      <c r="M12" t="s">
        <v>1120</v>
      </c>
      <c r="N12" t="s">
        <v>1113</v>
      </c>
      <c r="O12" t="s">
        <v>836</v>
      </c>
    </row>
    <row r="13" spans="1:15" x14ac:dyDescent="0.3">
      <c r="A13">
        <v>30</v>
      </c>
      <c r="B13" t="s">
        <v>942</v>
      </c>
      <c r="C13" s="76">
        <v>46213</v>
      </c>
      <c r="D13">
        <v>413.25</v>
      </c>
      <c r="E13">
        <v>415.05</v>
      </c>
      <c r="F13">
        <v>411.5</v>
      </c>
      <c r="G13">
        <v>413.8</v>
      </c>
      <c r="H13">
        <v>1343933</v>
      </c>
      <c r="I13">
        <v>420.2</v>
      </c>
      <c r="J13">
        <v>447.47</v>
      </c>
      <c r="K13">
        <v>392.93</v>
      </c>
      <c r="L13">
        <v>13.5006</v>
      </c>
      <c r="M13" t="s">
        <v>1120</v>
      </c>
      <c r="N13" t="s">
        <v>1116</v>
      </c>
      <c r="O13" t="s">
        <v>1114</v>
      </c>
    </row>
    <row r="14" spans="1:15" x14ac:dyDescent="0.3">
      <c r="A14">
        <v>31</v>
      </c>
      <c r="B14" t="s">
        <v>377</v>
      </c>
      <c r="C14" s="76">
        <v>46213</v>
      </c>
      <c r="D14">
        <v>1275</v>
      </c>
      <c r="E14">
        <v>1290</v>
      </c>
      <c r="F14">
        <v>1272.3</v>
      </c>
      <c r="G14">
        <v>1286.7</v>
      </c>
      <c r="H14">
        <v>487361</v>
      </c>
      <c r="I14">
        <v>1317.26</v>
      </c>
      <c r="J14">
        <v>1402.48</v>
      </c>
      <c r="K14">
        <v>1232.04</v>
      </c>
      <c r="L14">
        <v>42.186500000000002</v>
      </c>
      <c r="M14" t="s">
        <v>1120</v>
      </c>
      <c r="N14" t="s">
        <v>1116</v>
      </c>
      <c r="O14" t="s">
        <v>1114</v>
      </c>
    </row>
    <row r="15" spans="1:15" x14ac:dyDescent="0.3">
      <c r="A15">
        <v>34</v>
      </c>
      <c r="B15" t="s">
        <v>127</v>
      </c>
      <c r="C15" s="76">
        <v>46213</v>
      </c>
      <c r="D15">
        <v>1742.3</v>
      </c>
      <c r="E15">
        <v>1795.2</v>
      </c>
      <c r="F15">
        <v>1742.3</v>
      </c>
      <c r="G15">
        <v>1786.5</v>
      </c>
      <c r="H15">
        <v>208112</v>
      </c>
      <c r="I15">
        <v>1779.73</v>
      </c>
      <c r="J15">
        <v>1885.94</v>
      </c>
      <c r="K15">
        <v>1673.51</v>
      </c>
      <c r="L15">
        <v>52.581400000000002</v>
      </c>
      <c r="M15" t="s">
        <v>1120</v>
      </c>
      <c r="N15" t="s">
        <v>1113</v>
      </c>
      <c r="O15" t="s">
        <v>836</v>
      </c>
    </row>
    <row r="16" spans="1:15" x14ac:dyDescent="0.3">
      <c r="A16">
        <v>36</v>
      </c>
      <c r="B16" t="s">
        <v>213</v>
      </c>
      <c r="C16" s="76">
        <v>46213</v>
      </c>
      <c r="D16">
        <v>401.15</v>
      </c>
      <c r="E16">
        <v>407.85</v>
      </c>
      <c r="F16">
        <v>395.05</v>
      </c>
      <c r="G16">
        <v>406.15</v>
      </c>
      <c r="H16">
        <v>5128549</v>
      </c>
      <c r="I16">
        <v>402.82</v>
      </c>
      <c r="J16">
        <v>425.63</v>
      </c>
      <c r="K16">
        <v>380</v>
      </c>
      <c r="L16">
        <v>11.295400000000001</v>
      </c>
      <c r="M16" t="s">
        <v>1120</v>
      </c>
      <c r="N16" t="s">
        <v>1113</v>
      </c>
      <c r="O16" t="s">
        <v>836</v>
      </c>
    </row>
    <row r="17" spans="1:15" x14ac:dyDescent="0.3">
      <c r="A17">
        <v>37</v>
      </c>
      <c r="B17" t="s">
        <v>870</v>
      </c>
      <c r="C17" s="76">
        <v>46213</v>
      </c>
      <c r="D17">
        <v>1417</v>
      </c>
      <c r="E17">
        <v>1444.3</v>
      </c>
      <c r="F17">
        <v>1414.3</v>
      </c>
      <c r="G17">
        <v>1418</v>
      </c>
      <c r="H17">
        <v>1234073</v>
      </c>
      <c r="I17">
        <v>1408.23</v>
      </c>
      <c r="J17">
        <v>1530.65</v>
      </c>
      <c r="K17">
        <v>1285.8</v>
      </c>
      <c r="L17">
        <v>60.604999999999997</v>
      </c>
      <c r="M17" t="s">
        <v>1120</v>
      </c>
      <c r="N17" t="s">
        <v>1113</v>
      </c>
      <c r="O17" t="s">
        <v>836</v>
      </c>
    </row>
    <row r="18" spans="1:15" x14ac:dyDescent="0.3">
      <c r="A18">
        <v>40</v>
      </c>
      <c r="B18" t="s">
        <v>223</v>
      </c>
      <c r="C18" s="76">
        <v>46213</v>
      </c>
      <c r="D18">
        <v>282.85000000000002</v>
      </c>
      <c r="E18">
        <v>283.64999999999998</v>
      </c>
      <c r="F18">
        <v>280.85000000000002</v>
      </c>
      <c r="G18">
        <v>281.75</v>
      </c>
      <c r="H18">
        <v>11774274</v>
      </c>
      <c r="I18">
        <v>298.38</v>
      </c>
      <c r="J18">
        <v>310.79000000000002</v>
      </c>
      <c r="K18">
        <v>285.97000000000003</v>
      </c>
      <c r="L18">
        <v>6.1435000000000004</v>
      </c>
      <c r="M18" t="s">
        <v>1120</v>
      </c>
      <c r="N18" t="s">
        <v>1118</v>
      </c>
      <c r="O18" t="s">
        <v>1114</v>
      </c>
    </row>
    <row r="19" spans="1:15" x14ac:dyDescent="0.3">
      <c r="A19">
        <v>43</v>
      </c>
      <c r="B19" t="s">
        <v>856</v>
      </c>
      <c r="C19" s="76">
        <v>46213</v>
      </c>
      <c r="D19">
        <v>139.80000000000001</v>
      </c>
      <c r="E19">
        <v>146.9</v>
      </c>
      <c r="F19">
        <v>139.5</v>
      </c>
      <c r="G19">
        <v>144.9</v>
      </c>
      <c r="H19">
        <v>14184717</v>
      </c>
      <c r="I19">
        <v>143.34</v>
      </c>
      <c r="J19">
        <v>151.59</v>
      </c>
      <c r="K19">
        <v>135.08000000000001</v>
      </c>
      <c r="L19">
        <v>4.0857999999999999</v>
      </c>
      <c r="M19" t="s">
        <v>1120</v>
      </c>
      <c r="N19" t="s">
        <v>1113</v>
      </c>
      <c r="O19" t="s">
        <v>836</v>
      </c>
    </row>
    <row r="20" spans="1:15" x14ac:dyDescent="0.3">
      <c r="A20">
        <v>46</v>
      </c>
      <c r="B20" t="s">
        <v>165</v>
      </c>
      <c r="C20" s="76">
        <v>46213</v>
      </c>
      <c r="D20">
        <v>4396</v>
      </c>
      <c r="E20">
        <v>4524.8999999999996</v>
      </c>
      <c r="F20">
        <v>4396</v>
      </c>
      <c r="G20">
        <v>4506.8</v>
      </c>
      <c r="H20">
        <v>1078390</v>
      </c>
      <c r="I20">
        <v>4536.5</v>
      </c>
      <c r="J20">
        <v>4768.4799999999996</v>
      </c>
      <c r="K20">
        <v>4304.53</v>
      </c>
      <c r="L20">
        <v>114.83920000000001</v>
      </c>
      <c r="M20" t="s">
        <v>1120</v>
      </c>
      <c r="N20" t="s">
        <v>1116</v>
      </c>
      <c r="O20" t="s">
        <v>1114</v>
      </c>
    </row>
    <row r="21" spans="1:15" x14ac:dyDescent="0.3">
      <c r="A21">
        <v>49</v>
      </c>
      <c r="B21" t="s">
        <v>217</v>
      </c>
      <c r="C21" s="76">
        <v>46213</v>
      </c>
      <c r="D21">
        <v>139.38</v>
      </c>
      <c r="E21">
        <v>140.55000000000001</v>
      </c>
      <c r="F21">
        <v>138.69999999999999</v>
      </c>
      <c r="G21">
        <v>138.96</v>
      </c>
      <c r="H21">
        <v>8402022</v>
      </c>
      <c r="I21">
        <v>147.36000000000001</v>
      </c>
      <c r="J21">
        <v>154.88</v>
      </c>
      <c r="K21">
        <v>139.84</v>
      </c>
      <c r="L21">
        <v>3.7214999999999998</v>
      </c>
      <c r="M21" t="s">
        <v>1120</v>
      </c>
      <c r="N21" t="s">
        <v>1118</v>
      </c>
      <c r="O21" t="s">
        <v>1114</v>
      </c>
    </row>
    <row r="22" spans="1:15" x14ac:dyDescent="0.3">
      <c r="A22">
        <v>50</v>
      </c>
      <c r="B22" t="s">
        <v>978</v>
      </c>
      <c r="C22" s="76">
        <v>46213</v>
      </c>
      <c r="D22">
        <v>2919.4</v>
      </c>
      <c r="E22">
        <v>2965</v>
      </c>
      <c r="F22">
        <v>2917</v>
      </c>
      <c r="G22">
        <v>2958.4</v>
      </c>
      <c r="H22">
        <v>76136</v>
      </c>
      <c r="I22">
        <v>2906.26</v>
      </c>
      <c r="J22">
        <v>3109.9</v>
      </c>
      <c r="K22">
        <v>2702.63</v>
      </c>
      <c r="L22">
        <v>100.8081</v>
      </c>
      <c r="M22" t="s">
        <v>1120</v>
      </c>
      <c r="N22" t="s">
        <v>1113</v>
      </c>
      <c r="O22" t="s">
        <v>836</v>
      </c>
    </row>
    <row r="23" spans="1:15" x14ac:dyDescent="0.3">
      <c r="A23">
        <v>51</v>
      </c>
      <c r="B23" t="s">
        <v>125</v>
      </c>
      <c r="C23" s="76">
        <v>46213</v>
      </c>
      <c r="D23">
        <v>444.55</v>
      </c>
      <c r="E23">
        <v>447</v>
      </c>
      <c r="F23">
        <v>441.05</v>
      </c>
      <c r="G23">
        <v>443.5</v>
      </c>
      <c r="H23">
        <v>1705250</v>
      </c>
      <c r="I23">
        <v>427.5</v>
      </c>
      <c r="J23">
        <v>449.42</v>
      </c>
      <c r="K23">
        <v>405.57</v>
      </c>
      <c r="L23">
        <v>10.8531</v>
      </c>
      <c r="M23" t="s">
        <v>1120</v>
      </c>
      <c r="N23" t="s">
        <v>1113</v>
      </c>
      <c r="O23" t="s">
        <v>836</v>
      </c>
    </row>
    <row r="24" spans="1:15" x14ac:dyDescent="0.3">
      <c r="A24">
        <v>52</v>
      </c>
      <c r="B24" t="s">
        <v>63</v>
      </c>
      <c r="C24" s="76">
        <v>46213</v>
      </c>
      <c r="D24">
        <v>10177.5</v>
      </c>
      <c r="E24">
        <v>10298</v>
      </c>
      <c r="F24">
        <v>10115</v>
      </c>
      <c r="G24">
        <v>10156</v>
      </c>
      <c r="H24">
        <v>354772</v>
      </c>
      <c r="I24">
        <v>10069.44</v>
      </c>
      <c r="J24">
        <v>10487.57</v>
      </c>
      <c r="K24">
        <v>9651.2999999999993</v>
      </c>
      <c r="L24">
        <v>206.9999</v>
      </c>
      <c r="M24" t="s">
        <v>1120</v>
      </c>
      <c r="N24" t="s">
        <v>1113</v>
      </c>
      <c r="O24" t="s">
        <v>836</v>
      </c>
    </row>
    <row r="25" spans="1:15" x14ac:dyDescent="0.3">
      <c r="A25">
        <v>53</v>
      </c>
      <c r="B25" t="s">
        <v>53</v>
      </c>
      <c r="C25" s="76">
        <v>46213</v>
      </c>
      <c r="D25">
        <v>1323.9</v>
      </c>
      <c r="E25">
        <v>1337.9</v>
      </c>
      <c r="F25">
        <v>1312.9</v>
      </c>
      <c r="G25">
        <v>1333.8</v>
      </c>
      <c r="H25">
        <v>536850</v>
      </c>
      <c r="I25">
        <v>1381.46</v>
      </c>
      <c r="J25">
        <v>1469.86</v>
      </c>
      <c r="K25">
        <v>1293.07</v>
      </c>
      <c r="L25">
        <v>43.760899999999999</v>
      </c>
      <c r="M25" t="s">
        <v>1120</v>
      </c>
      <c r="N25" t="s">
        <v>1116</v>
      </c>
      <c r="O25" t="s">
        <v>1114</v>
      </c>
    </row>
    <row r="26" spans="1:15" x14ac:dyDescent="0.3">
      <c r="A26">
        <v>55</v>
      </c>
      <c r="B26" t="s">
        <v>231</v>
      </c>
      <c r="C26" s="76">
        <v>46213</v>
      </c>
      <c r="D26">
        <v>434.15</v>
      </c>
      <c r="E26">
        <v>440.9</v>
      </c>
      <c r="F26">
        <v>431.65</v>
      </c>
      <c r="G26">
        <v>438.05</v>
      </c>
      <c r="H26">
        <v>2119387</v>
      </c>
      <c r="I26">
        <v>427.19</v>
      </c>
      <c r="J26">
        <v>459.5</v>
      </c>
      <c r="K26">
        <v>394.88</v>
      </c>
      <c r="L26">
        <v>15.997199999999999</v>
      </c>
      <c r="M26" t="s">
        <v>1120</v>
      </c>
      <c r="N26" t="s">
        <v>1113</v>
      </c>
      <c r="O26" t="s">
        <v>836</v>
      </c>
    </row>
    <row r="27" spans="1:15" x14ac:dyDescent="0.3">
      <c r="A27">
        <v>56</v>
      </c>
      <c r="B27" t="s">
        <v>902</v>
      </c>
      <c r="C27" s="76">
        <v>46213</v>
      </c>
      <c r="D27">
        <v>536.1</v>
      </c>
      <c r="E27">
        <v>554.75</v>
      </c>
      <c r="F27">
        <v>536.1</v>
      </c>
      <c r="G27">
        <v>553.45000000000005</v>
      </c>
      <c r="H27">
        <v>2381375</v>
      </c>
      <c r="I27">
        <v>538.11</v>
      </c>
      <c r="J27">
        <v>572.44000000000005</v>
      </c>
      <c r="K27">
        <v>503.77</v>
      </c>
      <c r="L27">
        <v>16.998899999999999</v>
      </c>
      <c r="M27" t="s">
        <v>1120</v>
      </c>
      <c r="N27" t="s">
        <v>1113</v>
      </c>
      <c r="O27" t="s">
        <v>836</v>
      </c>
    </row>
    <row r="28" spans="1:15" x14ac:dyDescent="0.3">
      <c r="A28">
        <v>65</v>
      </c>
      <c r="B28" t="s">
        <v>293</v>
      </c>
      <c r="C28" s="76">
        <v>46213</v>
      </c>
      <c r="D28">
        <v>40605</v>
      </c>
      <c r="E28">
        <v>40915</v>
      </c>
      <c r="F28">
        <v>39250</v>
      </c>
      <c r="G28">
        <v>39395</v>
      </c>
      <c r="H28">
        <v>46753</v>
      </c>
      <c r="I28">
        <v>39395</v>
      </c>
      <c r="J28">
        <v>41405.629999999997</v>
      </c>
      <c r="K28">
        <v>37384.370000000003</v>
      </c>
      <c r="L28">
        <v>995.36210000000005</v>
      </c>
      <c r="M28" t="s">
        <v>1120</v>
      </c>
      <c r="N28" t="s">
        <v>1115</v>
      </c>
      <c r="O28" t="s">
        <v>1114</v>
      </c>
    </row>
    <row r="29" spans="1:15" x14ac:dyDescent="0.3">
      <c r="A29">
        <v>68</v>
      </c>
      <c r="B29" t="s">
        <v>285</v>
      </c>
      <c r="C29" s="76">
        <v>46213</v>
      </c>
      <c r="D29">
        <v>344.5</v>
      </c>
      <c r="E29">
        <v>348.8</v>
      </c>
      <c r="F29">
        <v>343.2</v>
      </c>
      <c r="G29">
        <v>344.55</v>
      </c>
      <c r="H29">
        <v>13016441</v>
      </c>
      <c r="I29">
        <v>349.22</v>
      </c>
      <c r="J29">
        <v>364.68</v>
      </c>
      <c r="K29">
        <v>333.76</v>
      </c>
      <c r="L29">
        <v>7.6536999999999997</v>
      </c>
      <c r="M29" t="s">
        <v>1120</v>
      </c>
      <c r="N29" t="s">
        <v>1116</v>
      </c>
      <c r="O29" t="s">
        <v>1114</v>
      </c>
    </row>
    <row r="30" spans="1:15" x14ac:dyDescent="0.3">
      <c r="A30">
        <v>75</v>
      </c>
      <c r="B30" t="s">
        <v>311</v>
      </c>
      <c r="C30" s="76">
        <v>46213</v>
      </c>
      <c r="D30">
        <v>283.10000000000002</v>
      </c>
      <c r="E30">
        <v>283.8</v>
      </c>
      <c r="F30">
        <v>281.35000000000002</v>
      </c>
      <c r="G30">
        <v>283.10000000000002</v>
      </c>
      <c r="H30">
        <v>6812700</v>
      </c>
      <c r="I30">
        <v>292.33999999999997</v>
      </c>
      <c r="J30">
        <v>305.23</v>
      </c>
      <c r="K30">
        <v>279.45</v>
      </c>
      <c r="L30">
        <v>6.3826000000000001</v>
      </c>
      <c r="M30" t="s">
        <v>1120</v>
      </c>
      <c r="N30" t="s">
        <v>1116</v>
      </c>
      <c r="O30" t="s">
        <v>1114</v>
      </c>
    </row>
    <row r="31" spans="1:15" x14ac:dyDescent="0.3">
      <c r="A31">
        <v>77</v>
      </c>
      <c r="B31" t="s">
        <v>75</v>
      </c>
      <c r="C31" s="76">
        <v>46213</v>
      </c>
      <c r="D31">
        <v>245.5</v>
      </c>
      <c r="E31">
        <v>254.35</v>
      </c>
      <c r="F31">
        <v>245.35</v>
      </c>
      <c r="G31">
        <v>250.95</v>
      </c>
      <c r="H31">
        <v>18239487</v>
      </c>
      <c r="I31">
        <v>240.92</v>
      </c>
      <c r="J31">
        <v>254.87</v>
      </c>
      <c r="K31">
        <v>226.97</v>
      </c>
      <c r="L31">
        <v>6.9043999999999999</v>
      </c>
      <c r="M31" t="s">
        <v>1120</v>
      </c>
      <c r="N31" t="s">
        <v>1113</v>
      </c>
      <c r="O31" t="s">
        <v>836</v>
      </c>
    </row>
    <row r="32" spans="1:15" x14ac:dyDescent="0.3">
      <c r="A32">
        <v>79</v>
      </c>
      <c r="B32" t="s">
        <v>954</v>
      </c>
      <c r="C32" s="76">
        <v>46213</v>
      </c>
      <c r="D32">
        <v>32730</v>
      </c>
      <c r="E32">
        <v>32920</v>
      </c>
      <c r="F32">
        <v>32380</v>
      </c>
      <c r="G32">
        <v>32605</v>
      </c>
      <c r="H32">
        <v>87152</v>
      </c>
      <c r="I32">
        <v>31191.1</v>
      </c>
      <c r="J32">
        <v>32984.43</v>
      </c>
      <c r="K32">
        <v>29397.77</v>
      </c>
      <c r="L32">
        <v>887.78729999999996</v>
      </c>
      <c r="M32" t="s">
        <v>1120</v>
      </c>
      <c r="N32" t="s">
        <v>1113</v>
      </c>
      <c r="O32" t="s">
        <v>836</v>
      </c>
    </row>
    <row r="33" spans="1:15" x14ac:dyDescent="0.3">
      <c r="A33">
        <v>80</v>
      </c>
      <c r="B33" t="s">
        <v>1123</v>
      </c>
      <c r="C33" s="76">
        <v>46213</v>
      </c>
      <c r="D33">
        <v>4695</v>
      </c>
      <c r="E33">
        <v>4738.8</v>
      </c>
      <c r="F33">
        <v>4601.3</v>
      </c>
      <c r="G33">
        <v>4677.1000000000004</v>
      </c>
      <c r="H33">
        <v>474798</v>
      </c>
      <c r="I33">
        <v>4426.13</v>
      </c>
      <c r="J33">
        <v>4719.3999999999996</v>
      </c>
      <c r="K33">
        <v>4132.8599999999997</v>
      </c>
      <c r="L33">
        <v>145.1831</v>
      </c>
      <c r="M33" t="s">
        <v>1120</v>
      </c>
      <c r="N33" t="s">
        <v>1113</v>
      </c>
      <c r="O33" t="s">
        <v>836</v>
      </c>
    </row>
    <row r="34" spans="1:15" x14ac:dyDescent="0.3">
      <c r="A34">
        <v>82</v>
      </c>
      <c r="B34" t="s">
        <v>908</v>
      </c>
      <c r="C34" s="76">
        <v>46213</v>
      </c>
      <c r="D34">
        <v>5037</v>
      </c>
      <c r="E34">
        <v>5166</v>
      </c>
      <c r="F34">
        <v>5037</v>
      </c>
      <c r="G34">
        <v>5149.5</v>
      </c>
      <c r="H34">
        <v>247260</v>
      </c>
      <c r="I34">
        <v>5120.6899999999996</v>
      </c>
      <c r="J34">
        <v>5411.75</v>
      </c>
      <c r="K34">
        <v>4829.6400000000003</v>
      </c>
      <c r="L34">
        <v>144.08670000000001</v>
      </c>
      <c r="M34" t="s">
        <v>1120</v>
      </c>
      <c r="N34" t="s">
        <v>1113</v>
      </c>
      <c r="O34" t="s">
        <v>836</v>
      </c>
    </row>
    <row r="35" spans="1:15" x14ac:dyDescent="0.3">
      <c r="A35">
        <v>83</v>
      </c>
      <c r="B35" t="s">
        <v>327</v>
      </c>
      <c r="C35" s="76">
        <v>46213</v>
      </c>
      <c r="D35">
        <v>1830.7</v>
      </c>
      <c r="E35">
        <v>1866</v>
      </c>
      <c r="F35">
        <v>1830.7</v>
      </c>
      <c r="G35">
        <v>1862.9</v>
      </c>
      <c r="H35">
        <v>828830</v>
      </c>
      <c r="I35">
        <v>1756.23</v>
      </c>
      <c r="J35">
        <v>1834.41</v>
      </c>
      <c r="K35">
        <v>1678.04</v>
      </c>
      <c r="L35">
        <v>38.706600000000002</v>
      </c>
      <c r="M35" t="s">
        <v>1120</v>
      </c>
      <c r="N35" t="s">
        <v>1117</v>
      </c>
      <c r="O35" t="s">
        <v>1121</v>
      </c>
    </row>
    <row r="36" spans="1:15" x14ac:dyDescent="0.3">
      <c r="A36">
        <v>85</v>
      </c>
      <c r="B36" t="s">
        <v>982</v>
      </c>
      <c r="C36" s="76">
        <v>46213</v>
      </c>
      <c r="D36">
        <v>157.80000000000001</v>
      </c>
      <c r="E36">
        <v>165.5</v>
      </c>
      <c r="F36">
        <v>157.6</v>
      </c>
      <c r="G36">
        <v>164.51</v>
      </c>
      <c r="H36">
        <v>24598550</v>
      </c>
      <c r="I36">
        <v>161.56</v>
      </c>
      <c r="J36">
        <v>171.16</v>
      </c>
      <c r="K36">
        <v>151.97</v>
      </c>
      <c r="L36">
        <v>4.7493999999999996</v>
      </c>
      <c r="M36" t="s">
        <v>1120</v>
      </c>
      <c r="N36" t="s">
        <v>1113</v>
      </c>
      <c r="O36" t="s">
        <v>836</v>
      </c>
    </row>
    <row r="37" spans="1:15" x14ac:dyDescent="0.3">
      <c r="A37">
        <v>89</v>
      </c>
      <c r="B37" t="s">
        <v>167</v>
      </c>
      <c r="C37" s="76">
        <v>46213</v>
      </c>
      <c r="D37">
        <v>1205.7</v>
      </c>
      <c r="E37">
        <v>1211.7</v>
      </c>
      <c r="F37">
        <v>1176.4000000000001</v>
      </c>
      <c r="G37">
        <v>1188.4000000000001</v>
      </c>
      <c r="H37">
        <v>2410663</v>
      </c>
      <c r="I37">
        <v>1175.79</v>
      </c>
      <c r="J37">
        <v>1244.21</v>
      </c>
      <c r="K37">
        <v>1107.3699999999999</v>
      </c>
      <c r="L37">
        <v>33.871000000000002</v>
      </c>
      <c r="M37" t="s">
        <v>1120</v>
      </c>
      <c r="N37" t="s">
        <v>1113</v>
      </c>
      <c r="O37" t="s">
        <v>836</v>
      </c>
    </row>
    <row r="38" spans="1:15" x14ac:dyDescent="0.3">
      <c r="A38">
        <v>98</v>
      </c>
      <c r="B38" t="s">
        <v>353</v>
      </c>
      <c r="C38" s="76">
        <v>46213</v>
      </c>
      <c r="D38">
        <v>376.5</v>
      </c>
      <c r="E38">
        <v>382.8</v>
      </c>
      <c r="F38">
        <v>376.15</v>
      </c>
      <c r="G38">
        <v>381.3</v>
      </c>
      <c r="H38">
        <v>3546184</v>
      </c>
      <c r="I38">
        <v>372.73</v>
      </c>
      <c r="J38">
        <v>391.35</v>
      </c>
      <c r="K38">
        <v>354.11</v>
      </c>
      <c r="L38">
        <v>9.2170000000000005</v>
      </c>
      <c r="M38" t="s">
        <v>1120</v>
      </c>
      <c r="N38" t="s">
        <v>1113</v>
      </c>
      <c r="O38" t="s">
        <v>836</v>
      </c>
    </row>
    <row r="39" spans="1:15" x14ac:dyDescent="0.3">
      <c r="A39">
        <v>103</v>
      </c>
      <c r="B39" t="s">
        <v>155</v>
      </c>
      <c r="C39" s="76">
        <v>46213</v>
      </c>
      <c r="D39">
        <v>1090</v>
      </c>
      <c r="E39">
        <v>1099.4000000000001</v>
      </c>
      <c r="F39">
        <v>1084.3</v>
      </c>
      <c r="G39">
        <v>1088.4000000000001</v>
      </c>
      <c r="H39">
        <v>257565</v>
      </c>
      <c r="I39">
        <v>1036.5899999999999</v>
      </c>
      <c r="J39">
        <v>1094.7</v>
      </c>
      <c r="K39">
        <v>978.48</v>
      </c>
      <c r="L39">
        <v>28.767499999999998</v>
      </c>
      <c r="M39" t="s">
        <v>1120</v>
      </c>
      <c r="N39" t="s">
        <v>1113</v>
      </c>
      <c r="O39" t="s">
        <v>836</v>
      </c>
    </row>
    <row r="40" spans="1:15" x14ac:dyDescent="0.3">
      <c r="A40">
        <v>107</v>
      </c>
      <c r="B40" t="s">
        <v>191</v>
      </c>
      <c r="C40" s="76">
        <v>46213</v>
      </c>
      <c r="D40">
        <v>492</v>
      </c>
      <c r="E40">
        <v>515.5</v>
      </c>
      <c r="F40">
        <v>491.95</v>
      </c>
      <c r="G40">
        <v>510.35</v>
      </c>
      <c r="H40">
        <v>2917046</v>
      </c>
      <c r="I40">
        <v>503.22</v>
      </c>
      <c r="J40">
        <v>533.94000000000005</v>
      </c>
      <c r="K40">
        <v>472.49</v>
      </c>
      <c r="L40">
        <v>15.2103</v>
      </c>
      <c r="M40" t="s">
        <v>1120</v>
      </c>
      <c r="N40" t="s">
        <v>1113</v>
      </c>
      <c r="O40" t="s">
        <v>836</v>
      </c>
    </row>
    <row r="41" spans="1:15" x14ac:dyDescent="0.3">
      <c r="A41">
        <v>108</v>
      </c>
      <c r="B41" t="s">
        <v>962</v>
      </c>
      <c r="C41" s="76">
        <v>46213</v>
      </c>
      <c r="D41">
        <v>226.99</v>
      </c>
      <c r="E41">
        <v>236.89</v>
      </c>
      <c r="F41">
        <v>226.99</v>
      </c>
      <c r="G41">
        <v>232.67</v>
      </c>
      <c r="H41">
        <v>6855244</v>
      </c>
      <c r="I41">
        <v>236.69</v>
      </c>
      <c r="J41">
        <v>260.14999999999998</v>
      </c>
      <c r="K41">
        <v>213.23</v>
      </c>
      <c r="L41">
        <v>11.613899999999999</v>
      </c>
      <c r="M41" t="s">
        <v>1120</v>
      </c>
      <c r="N41" t="s">
        <v>1116</v>
      </c>
      <c r="O41" t="s">
        <v>1114</v>
      </c>
    </row>
    <row r="42" spans="1:15" x14ac:dyDescent="0.3">
      <c r="A42">
        <v>109</v>
      </c>
      <c r="B42" t="s">
        <v>894</v>
      </c>
      <c r="C42" s="76">
        <v>46213</v>
      </c>
      <c r="D42">
        <v>82.73</v>
      </c>
      <c r="E42">
        <v>83.8</v>
      </c>
      <c r="F42">
        <v>81.89</v>
      </c>
      <c r="G42">
        <v>82.61</v>
      </c>
      <c r="H42">
        <v>32213482</v>
      </c>
      <c r="I42">
        <v>84.58</v>
      </c>
      <c r="J42">
        <v>94.66</v>
      </c>
      <c r="K42">
        <v>74.5</v>
      </c>
      <c r="L42">
        <v>4.9908999999999999</v>
      </c>
      <c r="M42" t="s">
        <v>1120</v>
      </c>
      <c r="N42" t="s">
        <v>1116</v>
      </c>
      <c r="O42" t="s">
        <v>1114</v>
      </c>
    </row>
    <row r="43" spans="1:15" x14ac:dyDescent="0.3">
      <c r="A43">
        <v>111</v>
      </c>
      <c r="B43" t="s">
        <v>41</v>
      </c>
      <c r="C43" s="76">
        <v>46213</v>
      </c>
      <c r="D43">
        <v>5699</v>
      </c>
      <c r="E43">
        <v>5727.5</v>
      </c>
      <c r="F43">
        <v>5635</v>
      </c>
      <c r="G43">
        <v>5669.5</v>
      </c>
      <c r="H43">
        <v>104124</v>
      </c>
      <c r="I43">
        <v>5461.1</v>
      </c>
      <c r="J43">
        <v>5717.94</v>
      </c>
      <c r="K43">
        <v>5204.26</v>
      </c>
      <c r="L43">
        <v>127.1498</v>
      </c>
      <c r="M43" t="s">
        <v>1120</v>
      </c>
      <c r="N43" t="s">
        <v>1113</v>
      </c>
      <c r="O43" t="s">
        <v>836</v>
      </c>
    </row>
    <row r="44" spans="1:15" x14ac:dyDescent="0.3">
      <c r="A44">
        <v>116</v>
      </c>
      <c r="B44" t="s">
        <v>375</v>
      </c>
      <c r="C44" s="76">
        <v>46213</v>
      </c>
      <c r="D44">
        <v>273.8</v>
      </c>
      <c r="E44">
        <v>276.75</v>
      </c>
      <c r="F44">
        <v>272.2</v>
      </c>
      <c r="G44">
        <v>272.55</v>
      </c>
      <c r="H44">
        <v>11889321</v>
      </c>
      <c r="I44">
        <v>284.74</v>
      </c>
      <c r="J44">
        <v>299.72000000000003</v>
      </c>
      <c r="K44">
        <v>269.76</v>
      </c>
      <c r="L44">
        <v>7.4168000000000003</v>
      </c>
      <c r="M44" t="s">
        <v>1120</v>
      </c>
      <c r="N44" t="s">
        <v>1116</v>
      </c>
      <c r="O44" t="s">
        <v>1114</v>
      </c>
    </row>
    <row r="45" spans="1:15" x14ac:dyDescent="0.3">
      <c r="A45">
        <v>117</v>
      </c>
      <c r="B45" t="s">
        <v>359</v>
      </c>
      <c r="C45" s="76">
        <v>46213</v>
      </c>
      <c r="D45">
        <v>1448</v>
      </c>
      <c r="E45">
        <v>1478.9</v>
      </c>
      <c r="F45">
        <v>1445.3</v>
      </c>
      <c r="G45">
        <v>1454.8</v>
      </c>
      <c r="H45">
        <v>1732609</v>
      </c>
      <c r="I45">
        <v>1428.07</v>
      </c>
      <c r="J45">
        <v>1506.83</v>
      </c>
      <c r="K45">
        <v>1349.31</v>
      </c>
      <c r="L45">
        <v>38.988799999999998</v>
      </c>
      <c r="M45" t="s">
        <v>1120</v>
      </c>
      <c r="N45" t="s">
        <v>1113</v>
      </c>
      <c r="O45" t="s">
        <v>836</v>
      </c>
    </row>
    <row r="46" spans="1:15" x14ac:dyDescent="0.3">
      <c r="A46">
        <v>118</v>
      </c>
      <c r="B46" t="s">
        <v>331</v>
      </c>
      <c r="C46" s="76">
        <v>46213</v>
      </c>
      <c r="D46">
        <v>26460</v>
      </c>
      <c r="E46">
        <v>26815</v>
      </c>
      <c r="F46">
        <v>26395</v>
      </c>
      <c r="G46">
        <v>26615</v>
      </c>
      <c r="H46">
        <v>6542</v>
      </c>
      <c r="I46">
        <v>25253.91</v>
      </c>
      <c r="J46">
        <v>26459.05</v>
      </c>
      <c r="K46">
        <v>24048.77</v>
      </c>
      <c r="L46">
        <v>596.60289999999998</v>
      </c>
      <c r="M46" t="s">
        <v>1120</v>
      </c>
      <c r="N46" t="s">
        <v>1117</v>
      </c>
      <c r="O46" t="s">
        <v>1121</v>
      </c>
    </row>
    <row r="47" spans="1:15" x14ac:dyDescent="0.3">
      <c r="A47">
        <v>122</v>
      </c>
      <c r="B47" t="s">
        <v>283</v>
      </c>
      <c r="C47" s="76">
        <v>46213</v>
      </c>
      <c r="D47">
        <v>85</v>
      </c>
      <c r="E47">
        <v>86.05</v>
      </c>
      <c r="F47">
        <v>84.61</v>
      </c>
      <c r="G47">
        <v>84.92</v>
      </c>
      <c r="H47">
        <v>14104343</v>
      </c>
      <c r="I47">
        <v>90.08</v>
      </c>
      <c r="J47">
        <v>94.64</v>
      </c>
      <c r="K47">
        <v>85.52</v>
      </c>
      <c r="L47">
        <v>2.2593000000000001</v>
      </c>
      <c r="M47" t="s">
        <v>1120</v>
      </c>
      <c r="N47" t="s">
        <v>1118</v>
      </c>
      <c r="O47" t="s">
        <v>1114</v>
      </c>
    </row>
    <row r="48" spans="1:15" x14ac:dyDescent="0.3">
      <c r="A48">
        <v>124</v>
      </c>
      <c r="B48" t="s">
        <v>912</v>
      </c>
      <c r="C48" s="76">
        <v>46213</v>
      </c>
      <c r="D48">
        <v>554.04999999999995</v>
      </c>
      <c r="E48">
        <v>567.4</v>
      </c>
      <c r="F48">
        <v>554.04999999999995</v>
      </c>
      <c r="G48">
        <v>561.75</v>
      </c>
      <c r="H48">
        <v>4155099</v>
      </c>
      <c r="I48">
        <v>566.16</v>
      </c>
      <c r="J48">
        <v>638.54999999999995</v>
      </c>
      <c r="K48">
        <v>493.76</v>
      </c>
      <c r="L48">
        <v>35.840299999999999</v>
      </c>
      <c r="M48" t="s">
        <v>1120</v>
      </c>
      <c r="N48" t="s">
        <v>1116</v>
      </c>
      <c r="O48" t="s">
        <v>1114</v>
      </c>
    </row>
    <row r="49" spans="1:15" x14ac:dyDescent="0.3">
      <c r="A49">
        <v>127</v>
      </c>
      <c r="B49" t="s">
        <v>862</v>
      </c>
      <c r="C49" s="76">
        <v>46213</v>
      </c>
      <c r="D49">
        <v>3815</v>
      </c>
      <c r="E49">
        <v>3849</v>
      </c>
      <c r="F49">
        <v>3760.1</v>
      </c>
      <c r="G49">
        <v>3811.6</v>
      </c>
      <c r="H49">
        <v>2355651</v>
      </c>
      <c r="I49">
        <v>3693.22</v>
      </c>
      <c r="J49">
        <v>3887.6</v>
      </c>
      <c r="K49">
        <v>3498.83</v>
      </c>
      <c r="L49">
        <v>96.231899999999996</v>
      </c>
      <c r="M49" t="s">
        <v>1120</v>
      </c>
      <c r="N49" t="s">
        <v>1113</v>
      </c>
      <c r="O49" t="s">
        <v>836</v>
      </c>
    </row>
    <row r="50" spans="1:15" x14ac:dyDescent="0.3">
      <c r="A50">
        <v>130</v>
      </c>
      <c r="B50" t="s">
        <v>259</v>
      </c>
      <c r="C50" s="76">
        <v>46213</v>
      </c>
      <c r="D50">
        <v>2800</v>
      </c>
      <c r="E50">
        <v>2820</v>
      </c>
      <c r="F50">
        <v>2745.3</v>
      </c>
      <c r="G50">
        <v>2770.7</v>
      </c>
      <c r="H50">
        <v>2473000</v>
      </c>
      <c r="I50">
        <v>2795.71</v>
      </c>
      <c r="J50">
        <v>2946.44</v>
      </c>
      <c r="K50">
        <v>2644.98</v>
      </c>
      <c r="L50">
        <v>74.619</v>
      </c>
      <c r="M50" t="s">
        <v>1120</v>
      </c>
      <c r="N50" t="s">
        <v>1116</v>
      </c>
      <c r="O50" t="s">
        <v>1114</v>
      </c>
    </row>
    <row r="51" spans="1:15" x14ac:dyDescent="0.3">
      <c r="A51">
        <v>135</v>
      </c>
      <c r="B51" t="s">
        <v>848</v>
      </c>
      <c r="C51" s="76">
        <v>46213</v>
      </c>
      <c r="D51">
        <v>7636</v>
      </c>
      <c r="E51">
        <v>7831</v>
      </c>
      <c r="F51">
        <v>7614.5</v>
      </c>
      <c r="G51">
        <v>7779</v>
      </c>
      <c r="H51">
        <v>311170</v>
      </c>
      <c r="I51">
        <v>7481.55</v>
      </c>
      <c r="J51">
        <v>8005.47</v>
      </c>
      <c r="K51">
        <v>6957.63</v>
      </c>
      <c r="L51">
        <v>259.3655</v>
      </c>
      <c r="M51" t="s">
        <v>1120</v>
      </c>
      <c r="N51" t="s">
        <v>1113</v>
      </c>
      <c r="O51" t="s">
        <v>836</v>
      </c>
    </row>
    <row r="52" spans="1:15" x14ac:dyDescent="0.3">
      <c r="A52">
        <v>136</v>
      </c>
      <c r="B52" t="s">
        <v>860</v>
      </c>
      <c r="C52" s="76">
        <v>46213</v>
      </c>
      <c r="D52">
        <v>1618.9</v>
      </c>
      <c r="E52">
        <v>1670.1</v>
      </c>
      <c r="F52">
        <v>1615.7</v>
      </c>
      <c r="G52">
        <v>1662</v>
      </c>
      <c r="H52">
        <v>383021</v>
      </c>
      <c r="I52">
        <v>1602.08</v>
      </c>
      <c r="J52">
        <v>1721.29</v>
      </c>
      <c r="K52">
        <v>1482.88</v>
      </c>
      <c r="L52">
        <v>59.0122</v>
      </c>
      <c r="M52" t="s">
        <v>1120</v>
      </c>
      <c r="N52" t="s">
        <v>1113</v>
      </c>
      <c r="O52" t="s">
        <v>836</v>
      </c>
    </row>
    <row r="53" spans="1:15" x14ac:dyDescent="0.3">
      <c r="A53">
        <v>137</v>
      </c>
      <c r="B53" t="s">
        <v>365</v>
      </c>
      <c r="C53" s="76">
        <v>46213</v>
      </c>
      <c r="D53">
        <v>2934</v>
      </c>
      <c r="E53">
        <v>2938.7</v>
      </c>
      <c r="F53">
        <v>2896.8</v>
      </c>
      <c r="G53">
        <v>2902.8</v>
      </c>
      <c r="H53">
        <v>1093622</v>
      </c>
      <c r="I53">
        <v>2937.26</v>
      </c>
      <c r="J53">
        <v>3124.08</v>
      </c>
      <c r="K53">
        <v>2750.43</v>
      </c>
      <c r="L53">
        <v>92.488200000000006</v>
      </c>
      <c r="M53" t="s">
        <v>1120</v>
      </c>
      <c r="N53" t="s">
        <v>1116</v>
      </c>
      <c r="O53" t="s">
        <v>1114</v>
      </c>
    </row>
    <row r="54" spans="1:15" x14ac:dyDescent="0.3">
      <c r="A54">
        <v>140</v>
      </c>
      <c r="B54" t="s">
        <v>355</v>
      </c>
      <c r="C54" s="76">
        <v>46213</v>
      </c>
      <c r="D54">
        <v>189.68</v>
      </c>
      <c r="E54">
        <v>193.3</v>
      </c>
      <c r="F54">
        <v>188.74</v>
      </c>
      <c r="G54">
        <v>191.19</v>
      </c>
      <c r="H54">
        <v>23145573</v>
      </c>
      <c r="I54">
        <v>189.24</v>
      </c>
      <c r="J54">
        <v>197.99</v>
      </c>
      <c r="K54">
        <v>180.49</v>
      </c>
      <c r="L54">
        <v>4.3319000000000001</v>
      </c>
      <c r="M54" t="s">
        <v>1120</v>
      </c>
      <c r="N54" t="s">
        <v>1113</v>
      </c>
      <c r="O54" t="s">
        <v>836</v>
      </c>
    </row>
    <row r="55" spans="1:15" x14ac:dyDescent="0.3">
      <c r="A55">
        <v>142</v>
      </c>
      <c r="B55" t="s">
        <v>179</v>
      </c>
      <c r="C55" s="76">
        <v>46213</v>
      </c>
      <c r="D55">
        <v>976</v>
      </c>
      <c r="E55">
        <v>985.6</v>
      </c>
      <c r="F55">
        <v>964.7</v>
      </c>
      <c r="G55">
        <v>967.45</v>
      </c>
      <c r="H55">
        <v>5859033</v>
      </c>
      <c r="I55">
        <v>960.89</v>
      </c>
      <c r="J55">
        <v>1006.52</v>
      </c>
      <c r="K55">
        <v>915.26</v>
      </c>
      <c r="L55">
        <v>22.588699999999999</v>
      </c>
      <c r="M55" t="s">
        <v>1120</v>
      </c>
      <c r="N55" t="s">
        <v>1113</v>
      </c>
      <c r="O55" t="s">
        <v>836</v>
      </c>
    </row>
    <row r="56" spans="1:15" x14ac:dyDescent="0.3">
      <c r="A56">
        <v>143</v>
      </c>
      <c r="B56" t="s">
        <v>215</v>
      </c>
      <c r="C56" s="76">
        <v>46213</v>
      </c>
      <c r="D56">
        <v>1075</v>
      </c>
      <c r="E56">
        <v>1091.3</v>
      </c>
      <c r="F56">
        <v>1064.7</v>
      </c>
      <c r="G56">
        <v>1068</v>
      </c>
      <c r="H56">
        <v>9747266</v>
      </c>
      <c r="I56">
        <v>1067.95</v>
      </c>
      <c r="J56">
        <v>1138.08</v>
      </c>
      <c r="K56">
        <v>997.83</v>
      </c>
      <c r="L56">
        <v>34.716000000000001</v>
      </c>
      <c r="M56" t="s">
        <v>1120</v>
      </c>
      <c r="N56" t="s">
        <v>1113</v>
      </c>
      <c r="O56" t="s">
        <v>836</v>
      </c>
    </row>
    <row r="57" spans="1:15" x14ac:dyDescent="0.3">
      <c r="A57">
        <v>144</v>
      </c>
      <c r="B57" t="s">
        <v>275</v>
      </c>
      <c r="C57" s="76">
        <v>46213</v>
      </c>
      <c r="D57">
        <v>355</v>
      </c>
      <c r="E57">
        <v>363.85</v>
      </c>
      <c r="F57">
        <v>354.1</v>
      </c>
      <c r="G57">
        <v>354.85</v>
      </c>
      <c r="H57">
        <v>9456829</v>
      </c>
      <c r="I57">
        <v>335.76</v>
      </c>
      <c r="J57">
        <v>357.28</v>
      </c>
      <c r="K57">
        <v>314.25</v>
      </c>
      <c r="L57">
        <v>10.651899999999999</v>
      </c>
      <c r="M57" t="s">
        <v>1120</v>
      </c>
      <c r="N57" t="s">
        <v>1113</v>
      </c>
      <c r="O57" t="s">
        <v>836</v>
      </c>
    </row>
    <row r="58" spans="1:15" x14ac:dyDescent="0.3">
      <c r="A58">
        <v>145</v>
      </c>
      <c r="B58" t="s">
        <v>169</v>
      </c>
      <c r="C58" s="76">
        <v>46213</v>
      </c>
      <c r="D58">
        <v>1173</v>
      </c>
      <c r="E58">
        <v>1191.5</v>
      </c>
      <c r="F58">
        <v>1153.5</v>
      </c>
      <c r="G58">
        <v>1164.0999999999999</v>
      </c>
      <c r="H58">
        <v>3979475</v>
      </c>
      <c r="I58">
        <v>1134.02</v>
      </c>
      <c r="J58">
        <v>1205.22</v>
      </c>
      <c r="K58">
        <v>1062.82</v>
      </c>
      <c r="L58">
        <v>35.245800000000003</v>
      </c>
      <c r="M58" t="s">
        <v>1120</v>
      </c>
      <c r="N58" t="s">
        <v>1113</v>
      </c>
      <c r="O58" t="s">
        <v>836</v>
      </c>
    </row>
    <row r="59" spans="1:15" x14ac:dyDescent="0.3">
      <c r="A59">
        <v>147</v>
      </c>
      <c r="B59" t="s">
        <v>888</v>
      </c>
      <c r="C59" s="76">
        <v>46213</v>
      </c>
      <c r="D59">
        <v>536</v>
      </c>
      <c r="E59">
        <v>544.20000000000005</v>
      </c>
      <c r="F59">
        <v>535.15</v>
      </c>
      <c r="G59">
        <v>536.95000000000005</v>
      </c>
      <c r="H59">
        <v>3938725</v>
      </c>
      <c r="I59">
        <v>560.08000000000004</v>
      </c>
      <c r="J59">
        <v>595.21</v>
      </c>
      <c r="K59">
        <v>524.95000000000005</v>
      </c>
      <c r="L59">
        <v>17.389900000000001</v>
      </c>
      <c r="M59" t="s">
        <v>1120</v>
      </c>
      <c r="N59" t="s">
        <v>1116</v>
      </c>
      <c r="O59" t="s">
        <v>1114</v>
      </c>
    </row>
    <row r="60" spans="1:15" x14ac:dyDescent="0.3">
      <c r="A60">
        <v>148</v>
      </c>
      <c r="B60" t="s">
        <v>123</v>
      </c>
      <c r="C60" s="76">
        <v>46213</v>
      </c>
      <c r="D60">
        <v>5567</v>
      </c>
      <c r="E60">
        <v>5714</v>
      </c>
      <c r="F60">
        <v>5567</v>
      </c>
      <c r="G60">
        <v>5621.5</v>
      </c>
      <c r="H60">
        <v>463881</v>
      </c>
      <c r="I60">
        <v>5793.02</v>
      </c>
      <c r="J60">
        <v>6036.27</v>
      </c>
      <c r="K60">
        <v>5549.78</v>
      </c>
      <c r="L60">
        <v>120.4194</v>
      </c>
      <c r="M60" t="s">
        <v>1120</v>
      </c>
      <c r="N60" t="s">
        <v>1116</v>
      </c>
      <c r="O60" t="s">
        <v>1114</v>
      </c>
    </row>
    <row r="61" spans="1:15" x14ac:dyDescent="0.3">
      <c r="A61">
        <v>149</v>
      </c>
      <c r="B61" t="s">
        <v>910</v>
      </c>
      <c r="C61" s="76">
        <v>46213</v>
      </c>
      <c r="D61">
        <v>874.95</v>
      </c>
      <c r="E61">
        <v>910.75</v>
      </c>
      <c r="F61">
        <v>874.6</v>
      </c>
      <c r="G61">
        <v>901.1</v>
      </c>
      <c r="H61">
        <v>1881598</v>
      </c>
      <c r="I61">
        <v>845.27</v>
      </c>
      <c r="J61">
        <v>918.34</v>
      </c>
      <c r="K61">
        <v>772.2</v>
      </c>
      <c r="L61">
        <v>36.171799999999998</v>
      </c>
      <c r="M61" t="s">
        <v>1120</v>
      </c>
      <c r="N61" t="s">
        <v>1113</v>
      </c>
      <c r="O61" t="s">
        <v>836</v>
      </c>
    </row>
    <row r="62" spans="1:15" x14ac:dyDescent="0.3">
      <c r="A62">
        <v>150</v>
      </c>
      <c r="B62" t="s">
        <v>299</v>
      </c>
      <c r="C62" s="76">
        <v>46213</v>
      </c>
      <c r="D62">
        <v>279.8</v>
      </c>
      <c r="E62">
        <v>282.8</v>
      </c>
      <c r="F62">
        <v>277.95</v>
      </c>
      <c r="G62">
        <v>278.95</v>
      </c>
      <c r="H62">
        <v>715028</v>
      </c>
      <c r="I62">
        <v>276.93</v>
      </c>
      <c r="J62">
        <v>292.25</v>
      </c>
      <c r="K62">
        <v>261.60000000000002</v>
      </c>
      <c r="L62">
        <v>7.5854999999999997</v>
      </c>
      <c r="M62" t="s">
        <v>1120</v>
      </c>
      <c r="N62" t="s">
        <v>1113</v>
      </c>
      <c r="O62" t="s">
        <v>836</v>
      </c>
    </row>
    <row r="63" spans="1:15" x14ac:dyDescent="0.3">
      <c r="A63">
        <v>154</v>
      </c>
      <c r="B63" t="s">
        <v>379</v>
      </c>
      <c r="C63" s="76">
        <v>46213</v>
      </c>
      <c r="D63">
        <v>175.23</v>
      </c>
      <c r="E63">
        <v>177.22</v>
      </c>
      <c r="F63">
        <v>175</v>
      </c>
      <c r="G63">
        <v>175.46</v>
      </c>
      <c r="H63">
        <v>16249590</v>
      </c>
      <c r="I63">
        <v>182.83</v>
      </c>
      <c r="J63">
        <v>193.7</v>
      </c>
      <c r="K63">
        <v>171.96</v>
      </c>
      <c r="L63">
        <v>5.3798000000000004</v>
      </c>
      <c r="M63" t="s">
        <v>1120</v>
      </c>
      <c r="N63" t="s">
        <v>1116</v>
      </c>
      <c r="O63" t="s">
        <v>1114</v>
      </c>
    </row>
    <row r="64" spans="1:15" x14ac:dyDescent="0.3">
      <c r="A64">
        <v>157</v>
      </c>
      <c r="B64" t="s">
        <v>357</v>
      </c>
      <c r="C64" s="76">
        <v>46213</v>
      </c>
      <c r="D64">
        <v>2105.1999999999998</v>
      </c>
      <c r="E64">
        <v>2133.3000000000002</v>
      </c>
      <c r="F64">
        <v>2064.6</v>
      </c>
      <c r="G64">
        <v>2069</v>
      </c>
      <c r="H64">
        <v>6714551</v>
      </c>
      <c r="I64">
        <v>1997.66</v>
      </c>
      <c r="J64">
        <v>2125.5300000000002</v>
      </c>
      <c r="K64">
        <v>1869.8</v>
      </c>
      <c r="L64">
        <v>63.298900000000003</v>
      </c>
      <c r="M64" t="s">
        <v>1120</v>
      </c>
      <c r="N64" t="s">
        <v>1113</v>
      </c>
      <c r="O64" t="s">
        <v>836</v>
      </c>
    </row>
    <row r="65" spans="1:15" x14ac:dyDescent="0.3">
      <c r="A65">
        <v>159</v>
      </c>
      <c r="B65" t="s">
        <v>976</v>
      </c>
      <c r="C65" s="76">
        <v>46213</v>
      </c>
      <c r="D65">
        <v>3669</v>
      </c>
      <c r="E65">
        <v>3734.7</v>
      </c>
      <c r="F65">
        <v>3652</v>
      </c>
      <c r="G65">
        <v>3690.3</v>
      </c>
      <c r="H65">
        <v>377470</v>
      </c>
      <c r="I65">
        <v>4025.35</v>
      </c>
      <c r="J65">
        <v>4319.74</v>
      </c>
      <c r="K65">
        <v>3730.96</v>
      </c>
      <c r="L65">
        <v>145.7396</v>
      </c>
      <c r="M65" t="s">
        <v>1120</v>
      </c>
      <c r="N65" t="s">
        <v>1118</v>
      </c>
      <c r="O65" t="s">
        <v>1114</v>
      </c>
    </row>
    <row r="66" spans="1:15" x14ac:dyDescent="0.3">
      <c r="A66">
        <v>160</v>
      </c>
      <c r="B66" t="s">
        <v>988</v>
      </c>
      <c r="C66" s="76">
        <v>46213</v>
      </c>
      <c r="D66">
        <v>485.5</v>
      </c>
      <c r="E66">
        <v>488</v>
      </c>
      <c r="F66">
        <v>475.8</v>
      </c>
      <c r="G66">
        <v>478.1</v>
      </c>
      <c r="H66">
        <v>9967759</v>
      </c>
      <c r="I66">
        <v>496.79</v>
      </c>
      <c r="J66">
        <v>525.6</v>
      </c>
      <c r="K66">
        <v>467.98</v>
      </c>
      <c r="L66">
        <v>14.262600000000001</v>
      </c>
      <c r="M66" t="s">
        <v>1120</v>
      </c>
      <c r="N66" t="s">
        <v>1116</v>
      </c>
      <c r="O66" t="s">
        <v>1114</v>
      </c>
    </row>
    <row r="67" spans="1:15" x14ac:dyDescent="0.3">
      <c r="A67">
        <v>163</v>
      </c>
      <c r="B67" t="s">
        <v>932</v>
      </c>
      <c r="C67" s="76">
        <v>46213</v>
      </c>
      <c r="D67">
        <v>98.59</v>
      </c>
      <c r="E67">
        <v>100.5</v>
      </c>
      <c r="F67">
        <v>98.21</v>
      </c>
      <c r="G67">
        <v>99.98</v>
      </c>
      <c r="H67">
        <v>10832235</v>
      </c>
      <c r="I67">
        <v>95.02</v>
      </c>
      <c r="J67">
        <v>102.18</v>
      </c>
      <c r="K67">
        <v>87.86</v>
      </c>
      <c r="L67">
        <v>3.5461</v>
      </c>
      <c r="M67" t="s">
        <v>1120</v>
      </c>
      <c r="N67" t="s">
        <v>1113</v>
      </c>
      <c r="O67" t="s">
        <v>836</v>
      </c>
    </row>
    <row r="68" spans="1:15" x14ac:dyDescent="0.3">
      <c r="A68">
        <v>164</v>
      </c>
      <c r="B68" t="s">
        <v>898</v>
      </c>
      <c r="C68" s="76">
        <v>46213</v>
      </c>
      <c r="D68">
        <v>88.41</v>
      </c>
      <c r="E68">
        <v>90</v>
      </c>
      <c r="F68">
        <v>88.31</v>
      </c>
      <c r="G68">
        <v>89.9</v>
      </c>
      <c r="H68">
        <v>9078755</v>
      </c>
      <c r="I68">
        <v>93.79</v>
      </c>
      <c r="J68">
        <v>100.66</v>
      </c>
      <c r="K68">
        <v>86.92</v>
      </c>
      <c r="L68">
        <v>3.4022000000000001</v>
      </c>
      <c r="M68" t="s">
        <v>1120</v>
      </c>
      <c r="N68" t="s">
        <v>1116</v>
      </c>
      <c r="O68" t="s">
        <v>1114</v>
      </c>
    </row>
    <row r="69" spans="1:15" x14ac:dyDescent="0.3">
      <c r="A69">
        <v>166</v>
      </c>
      <c r="B69" t="s">
        <v>878</v>
      </c>
      <c r="C69" s="76">
        <v>46213</v>
      </c>
      <c r="D69">
        <v>18279</v>
      </c>
      <c r="E69">
        <v>18424</v>
      </c>
      <c r="F69">
        <v>18124</v>
      </c>
      <c r="G69">
        <v>18170</v>
      </c>
      <c r="H69">
        <v>54096</v>
      </c>
      <c r="I69">
        <v>18164.37</v>
      </c>
      <c r="J69">
        <v>19667.54</v>
      </c>
      <c r="K69">
        <v>16661.189999999999</v>
      </c>
      <c r="L69">
        <v>744.14400000000001</v>
      </c>
      <c r="M69" t="s">
        <v>1120</v>
      </c>
      <c r="N69" t="s">
        <v>1113</v>
      </c>
      <c r="O69" t="s">
        <v>836</v>
      </c>
    </row>
    <row r="70" spans="1:15" x14ac:dyDescent="0.3">
      <c r="A70">
        <v>168</v>
      </c>
      <c r="B70" t="s">
        <v>43</v>
      </c>
      <c r="C70" s="76">
        <v>46213</v>
      </c>
      <c r="D70">
        <v>432</v>
      </c>
      <c r="E70">
        <v>440.8</v>
      </c>
      <c r="F70">
        <v>431.1</v>
      </c>
      <c r="G70">
        <v>436.45</v>
      </c>
      <c r="H70">
        <v>2035547</v>
      </c>
      <c r="I70">
        <v>419.3</v>
      </c>
      <c r="J70">
        <v>445.89</v>
      </c>
      <c r="K70">
        <v>392.7</v>
      </c>
      <c r="L70">
        <v>13.166399999999999</v>
      </c>
      <c r="M70" t="s">
        <v>1120</v>
      </c>
      <c r="N70" t="s">
        <v>1113</v>
      </c>
      <c r="O70" t="s">
        <v>836</v>
      </c>
    </row>
    <row r="71" spans="1:15" x14ac:dyDescent="0.3">
      <c r="A71">
        <v>169</v>
      </c>
      <c r="B71" t="s">
        <v>321</v>
      </c>
      <c r="C71" s="76">
        <v>46213</v>
      </c>
      <c r="D71">
        <v>1291.9000000000001</v>
      </c>
      <c r="E71">
        <v>1311.1</v>
      </c>
      <c r="F71">
        <v>1287.8</v>
      </c>
      <c r="G71">
        <v>1307.8</v>
      </c>
      <c r="H71">
        <v>8412537</v>
      </c>
      <c r="I71">
        <v>1284.02</v>
      </c>
      <c r="J71">
        <v>1337.26</v>
      </c>
      <c r="K71">
        <v>1230.79</v>
      </c>
      <c r="L71">
        <v>26.353999999999999</v>
      </c>
      <c r="M71" t="s">
        <v>1120</v>
      </c>
      <c r="N71" t="s">
        <v>1113</v>
      </c>
      <c r="O71" t="s">
        <v>836</v>
      </c>
    </row>
    <row r="72" spans="1:15" x14ac:dyDescent="0.3">
      <c r="A72">
        <v>174</v>
      </c>
      <c r="B72" t="s">
        <v>115</v>
      </c>
      <c r="C72" s="76">
        <v>46213</v>
      </c>
      <c r="D72">
        <v>462</v>
      </c>
      <c r="E72">
        <v>470.55</v>
      </c>
      <c r="F72">
        <v>461.65</v>
      </c>
      <c r="G72">
        <v>463.75</v>
      </c>
      <c r="H72">
        <v>2960717</v>
      </c>
      <c r="I72">
        <v>472.2</v>
      </c>
      <c r="J72">
        <v>499.96</v>
      </c>
      <c r="K72">
        <v>444.45</v>
      </c>
      <c r="L72">
        <v>13.7407</v>
      </c>
      <c r="M72" t="s">
        <v>1120</v>
      </c>
      <c r="N72" t="s">
        <v>1116</v>
      </c>
      <c r="O72" t="s">
        <v>1114</v>
      </c>
    </row>
    <row r="73" spans="1:15" x14ac:dyDescent="0.3">
      <c r="A73">
        <v>177</v>
      </c>
      <c r="B73" t="s">
        <v>242</v>
      </c>
      <c r="C73" s="76">
        <v>46213</v>
      </c>
      <c r="D73">
        <v>3905</v>
      </c>
      <c r="E73">
        <v>3953.8</v>
      </c>
      <c r="F73">
        <v>3905</v>
      </c>
      <c r="G73">
        <v>3945.8</v>
      </c>
      <c r="H73">
        <v>1283990</v>
      </c>
      <c r="I73">
        <v>3897.59</v>
      </c>
      <c r="J73">
        <v>4060.56</v>
      </c>
      <c r="K73">
        <v>3734.62</v>
      </c>
      <c r="L73">
        <v>80.6798</v>
      </c>
      <c r="M73" t="s">
        <v>1120</v>
      </c>
      <c r="N73" t="s">
        <v>1113</v>
      </c>
      <c r="O73" t="s">
        <v>836</v>
      </c>
    </row>
    <row r="74" spans="1:15" x14ac:dyDescent="0.3">
      <c r="A74">
        <v>179</v>
      </c>
      <c r="B74" t="s">
        <v>906</v>
      </c>
      <c r="C74" s="76">
        <v>46213</v>
      </c>
      <c r="D74">
        <v>3447</v>
      </c>
      <c r="E74">
        <v>3474.3</v>
      </c>
      <c r="F74">
        <v>3321.1</v>
      </c>
      <c r="G74">
        <v>3336.1</v>
      </c>
      <c r="H74">
        <v>1375926</v>
      </c>
      <c r="I74">
        <v>3599.15</v>
      </c>
      <c r="J74">
        <v>3985.43</v>
      </c>
      <c r="K74">
        <v>3212.86</v>
      </c>
      <c r="L74">
        <v>191.23099999999999</v>
      </c>
      <c r="M74" t="s">
        <v>1120</v>
      </c>
      <c r="N74" t="s">
        <v>1116</v>
      </c>
      <c r="O74" t="s">
        <v>1114</v>
      </c>
    </row>
    <row r="75" spans="1:15" x14ac:dyDescent="0.3">
      <c r="A75">
        <v>180</v>
      </c>
      <c r="B75" t="s">
        <v>309</v>
      </c>
      <c r="C75" s="76">
        <v>46213</v>
      </c>
      <c r="D75">
        <v>9149</v>
      </c>
      <c r="E75">
        <v>9232</v>
      </c>
      <c r="F75">
        <v>9085</v>
      </c>
      <c r="G75">
        <v>9210.5</v>
      </c>
      <c r="H75">
        <v>396730</v>
      </c>
      <c r="I75">
        <v>9421.51</v>
      </c>
      <c r="J75">
        <v>9827.7800000000007</v>
      </c>
      <c r="K75">
        <v>9015.24</v>
      </c>
      <c r="L75">
        <v>201.12370000000001</v>
      </c>
      <c r="M75" t="s">
        <v>1120</v>
      </c>
      <c r="N75" t="s">
        <v>1116</v>
      </c>
      <c r="O75" t="s">
        <v>1114</v>
      </c>
    </row>
    <row r="76" spans="1:15" x14ac:dyDescent="0.3">
      <c r="A76">
        <v>184</v>
      </c>
      <c r="B76" t="s">
        <v>992</v>
      </c>
      <c r="C76" s="76">
        <v>46213</v>
      </c>
      <c r="D76">
        <v>2869.9</v>
      </c>
      <c r="E76">
        <v>2930</v>
      </c>
      <c r="F76">
        <v>2869.9</v>
      </c>
      <c r="G76">
        <v>2922.9</v>
      </c>
      <c r="H76">
        <v>675347</v>
      </c>
      <c r="I76">
        <v>2878.63</v>
      </c>
      <c r="J76">
        <v>3108.51</v>
      </c>
      <c r="K76">
        <v>2648.75</v>
      </c>
      <c r="L76">
        <v>113.80249999999999</v>
      </c>
      <c r="M76" t="s">
        <v>1120</v>
      </c>
      <c r="N76" t="s">
        <v>1113</v>
      </c>
      <c r="O76" t="s">
        <v>836</v>
      </c>
    </row>
    <row r="77" spans="1:15" x14ac:dyDescent="0.3">
      <c r="A77">
        <v>186</v>
      </c>
      <c r="B77" t="s">
        <v>85</v>
      </c>
      <c r="C77" s="76">
        <v>46213</v>
      </c>
      <c r="D77">
        <v>1930</v>
      </c>
      <c r="E77">
        <v>1930</v>
      </c>
      <c r="F77">
        <v>1906</v>
      </c>
      <c r="G77">
        <v>1920.4</v>
      </c>
      <c r="H77">
        <v>6420887</v>
      </c>
      <c r="I77">
        <v>1904.02</v>
      </c>
      <c r="J77">
        <v>1977.06</v>
      </c>
      <c r="K77">
        <v>1830.99</v>
      </c>
      <c r="L77">
        <v>36.157200000000003</v>
      </c>
      <c r="M77" t="s">
        <v>1120</v>
      </c>
      <c r="N77" t="s">
        <v>1113</v>
      </c>
      <c r="O77" t="s">
        <v>836</v>
      </c>
    </row>
    <row r="78" spans="1:15" x14ac:dyDescent="0.3">
      <c r="A78">
        <v>187</v>
      </c>
      <c r="B78" t="s">
        <v>896</v>
      </c>
      <c r="C78" s="76">
        <v>46213</v>
      </c>
      <c r="D78">
        <v>122.2</v>
      </c>
      <c r="E78">
        <v>126.74</v>
      </c>
      <c r="F78">
        <v>122.2</v>
      </c>
      <c r="G78">
        <v>126.4</v>
      </c>
      <c r="H78">
        <v>6790090</v>
      </c>
      <c r="I78">
        <v>121.86</v>
      </c>
      <c r="J78">
        <v>132.21</v>
      </c>
      <c r="K78">
        <v>111.51</v>
      </c>
      <c r="L78">
        <v>5.1216999999999997</v>
      </c>
      <c r="M78" t="s">
        <v>1120</v>
      </c>
      <c r="N78" t="s">
        <v>1113</v>
      </c>
      <c r="O78" t="s">
        <v>836</v>
      </c>
    </row>
    <row r="79" spans="1:15" x14ac:dyDescent="0.3">
      <c r="A79">
        <v>192</v>
      </c>
      <c r="B79" t="s">
        <v>79</v>
      </c>
      <c r="C79" s="76">
        <v>46213</v>
      </c>
      <c r="D79">
        <v>408.4</v>
      </c>
      <c r="E79">
        <v>415.45</v>
      </c>
      <c r="F79">
        <v>408.2</v>
      </c>
      <c r="G79">
        <v>414.85</v>
      </c>
      <c r="H79">
        <v>9273712</v>
      </c>
      <c r="I79">
        <v>416.42</v>
      </c>
      <c r="J79">
        <v>435.95</v>
      </c>
      <c r="K79">
        <v>396.9</v>
      </c>
      <c r="L79">
        <v>9.6667000000000005</v>
      </c>
      <c r="M79" t="s">
        <v>1120</v>
      </c>
      <c r="N79" t="s">
        <v>1116</v>
      </c>
      <c r="O79" t="s">
        <v>1114</v>
      </c>
    </row>
    <row r="80" spans="1:15" x14ac:dyDescent="0.3">
      <c r="A80">
        <v>194</v>
      </c>
      <c r="B80" t="s">
        <v>325</v>
      </c>
      <c r="C80" s="76">
        <v>46213</v>
      </c>
      <c r="D80">
        <v>590</v>
      </c>
      <c r="E80">
        <v>614.5</v>
      </c>
      <c r="F80">
        <v>589.6</v>
      </c>
      <c r="G80">
        <v>611.65</v>
      </c>
      <c r="H80">
        <v>1254626</v>
      </c>
      <c r="I80">
        <v>581.59</v>
      </c>
      <c r="J80">
        <v>620.89</v>
      </c>
      <c r="K80">
        <v>542.29</v>
      </c>
      <c r="L80">
        <v>19.455100000000002</v>
      </c>
      <c r="M80" t="s">
        <v>1120</v>
      </c>
      <c r="N80" t="s">
        <v>1113</v>
      </c>
      <c r="O80" t="s">
        <v>836</v>
      </c>
    </row>
    <row r="81" spans="1:15" x14ac:dyDescent="0.3">
      <c r="A81">
        <v>195</v>
      </c>
      <c r="B81" t="s">
        <v>225</v>
      </c>
      <c r="C81" s="76">
        <v>46213</v>
      </c>
      <c r="D81">
        <v>1044.4000000000001</v>
      </c>
      <c r="E81">
        <v>1063.5999999999999</v>
      </c>
      <c r="F81">
        <v>1038.5</v>
      </c>
      <c r="G81">
        <v>1051.3</v>
      </c>
      <c r="H81">
        <v>1175870</v>
      </c>
      <c r="I81">
        <v>1069.44</v>
      </c>
      <c r="J81">
        <v>1128.43</v>
      </c>
      <c r="K81">
        <v>1010.46</v>
      </c>
      <c r="L81">
        <v>29.2014</v>
      </c>
      <c r="M81" t="s">
        <v>1120</v>
      </c>
      <c r="N81" t="s">
        <v>1116</v>
      </c>
      <c r="O81" t="s">
        <v>1114</v>
      </c>
    </row>
    <row r="82" spans="1:15" x14ac:dyDescent="0.3">
      <c r="A82">
        <v>198</v>
      </c>
      <c r="B82" t="s">
        <v>301</v>
      </c>
      <c r="C82" s="76">
        <v>46213</v>
      </c>
      <c r="D82">
        <v>406.3</v>
      </c>
      <c r="E82">
        <v>409.8</v>
      </c>
      <c r="F82">
        <v>404.2</v>
      </c>
      <c r="G82">
        <v>406.5</v>
      </c>
      <c r="H82">
        <v>3420598</v>
      </c>
      <c r="I82">
        <v>421.79</v>
      </c>
      <c r="J82">
        <v>446</v>
      </c>
      <c r="K82">
        <v>397.58</v>
      </c>
      <c r="L82">
        <v>11.9839</v>
      </c>
      <c r="M82" t="s">
        <v>1120</v>
      </c>
      <c r="N82" t="s">
        <v>1116</v>
      </c>
      <c r="O82" t="s">
        <v>1114</v>
      </c>
    </row>
    <row r="83" spans="1:15" x14ac:dyDescent="0.3">
      <c r="A83">
        <v>201</v>
      </c>
      <c r="B83" t="s">
        <v>185</v>
      </c>
      <c r="C83" s="76">
        <v>46213</v>
      </c>
      <c r="D83">
        <v>2151.5</v>
      </c>
      <c r="E83">
        <v>2178</v>
      </c>
      <c r="F83">
        <v>2145</v>
      </c>
      <c r="G83">
        <v>2150.6</v>
      </c>
      <c r="H83">
        <v>1665179</v>
      </c>
      <c r="I83">
        <v>2129.38</v>
      </c>
      <c r="J83">
        <v>2224.2399999999998</v>
      </c>
      <c r="K83">
        <v>2034.52</v>
      </c>
      <c r="L83">
        <v>46.960500000000003</v>
      </c>
      <c r="M83" t="s">
        <v>1120</v>
      </c>
      <c r="N83" t="s">
        <v>1113</v>
      </c>
      <c r="O83" t="s">
        <v>836</v>
      </c>
    </row>
    <row r="84" spans="1:15" x14ac:dyDescent="0.3">
      <c r="A84">
        <v>202</v>
      </c>
      <c r="B84" t="s">
        <v>177</v>
      </c>
      <c r="C84" s="76">
        <v>46213</v>
      </c>
      <c r="D84">
        <v>4923.3999999999996</v>
      </c>
      <c r="E84">
        <v>4968</v>
      </c>
      <c r="F84">
        <v>4888.1000000000004</v>
      </c>
      <c r="G84">
        <v>4949.1000000000004</v>
      </c>
      <c r="H84">
        <v>686707</v>
      </c>
      <c r="I84">
        <v>5122.22</v>
      </c>
      <c r="J84">
        <v>5383.06</v>
      </c>
      <c r="K84">
        <v>4861.3900000000003</v>
      </c>
      <c r="L84">
        <v>129.12780000000001</v>
      </c>
      <c r="M84" t="s">
        <v>1120</v>
      </c>
      <c r="N84" t="s">
        <v>1116</v>
      </c>
      <c r="O84" t="s">
        <v>1114</v>
      </c>
    </row>
    <row r="85" spans="1:15" x14ac:dyDescent="0.3">
      <c r="A85">
        <v>203</v>
      </c>
      <c r="B85" t="s">
        <v>99</v>
      </c>
      <c r="C85" s="76">
        <v>46213</v>
      </c>
      <c r="D85">
        <v>125.4</v>
      </c>
      <c r="E85">
        <v>131.47999999999999</v>
      </c>
      <c r="F85">
        <v>125.31</v>
      </c>
      <c r="G85">
        <v>128.78</v>
      </c>
      <c r="H85">
        <v>40706138</v>
      </c>
      <c r="I85">
        <v>121.39</v>
      </c>
      <c r="J85">
        <v>128.57</v>
      </c>
      <c r="K85">
        <v>114.21</v>
      </c>
      <c r="L85">
        <v>3.5537999999999998</v>
      </c>
      <c r="M85" t="s">
        <v>1120</v>
      </c>
      <c r="N85" t="s">
        <v>1117</v>
      </c>
      <c r="O85" t="s">
        <v>1121</v>
      </c>
    </row>
    <row r="86" spans="1:15" x14ac:dyDescent="0.3">
      <c r="A86">
        <v>204</v>
      </c>
      <c r="B86" t="s">
        <v>974</v>
      </c>
      <c r="C86" s="76">
        <v>46213</v>
      </c>
      <c r="D86">
        <v>284.60000000000002</v>
      </c>
      <c r="E86">
        <v>284.68</v>
      </c>
      <c r="F86">
        <v>271.14999999999998</v>
      </c>
      <c r="G86">
        <v>273.25</v>
      </c>
      <c r="H86">
        <v>24100601</v>
      </c>
      <c r="I86">
        <v>274.17</v>
      </c>
      <c r="J86">
        <v>304.54000000000002</v>
      </c>
      <c r="K86">
        <v>243.79</v>
      </c>
      <c r="L86">
        <v>15.0366</v>
      </c>
      <c r="M86" t="s">
        <v>1120</v>
      </c>
      <c r="N86" t="s">
        <v>1116</v>
      </c>
      <c r="O86" t="s">
        <v>1114</v>
      </c>
    </row>
    <row r="87" spans="1:15" x14ac:dyDescent="0.3">
      <c r="A87">
        <v>206</v>
      </c>
      <c r="B87" t="s">
        <v>137</v>
      </c>
      <c r="C87" s="76">
        <v>46213</v>
      </c>
      <c r="D87">
        <v>1244.9000000000001</v>
      </c>
      <c r="E87">
        <v>1251.8</v>
      </c>
      <c r="F87">
        <v>1222</v>
      </c>
      <c r="G87">
        <v>1244.3</v>
      </c>
      <c r="H87">
        <v>8106606</v>
      </c>
      <c r="I87">
        <v>1270.47</v>
      </c>
      <c r="J87">
        <v>1328.03</v>
      </c>
      <c r="K87">
        <v>1212.9000000000001</v>
      </c>
      <c r="L87">
        <v>28.497</v>
      </c>
      <c r="M87" t="s">
        <v>1120</v>
      </c>
      <c r="N87" t="s">
        <v>1116</v>
      </c>
      <c r="O87" t="s">
        <v>1114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78E39-EDA7-4CE0-95E1-B65F6649ED60}">
  <dimension ref="A1:O125"/>
  <sheetViews>
    <sheetView workbookViewId="0">
      <pane ySplit="1" topLeftCell="A8" activePane="bottomLeft" state="frozen"/>
      <selection pane="bottomLeft" activeCell="H19" sqref="H19"/>
    </sheetView>
  </sheetViews>
  <sheetFormatPr defaultRowHeight="14.4" x14ac:dyDescent="0.3"/>
  <cols>
    <col min="3" max="3" width="13.44140625" customWidth="1"/>
    <col min="13" max="15" width="8.88671875" style="13"/>
  </cols>
  <sheetData>
    <row r="1" spans="1:15" x14ac:dyDescent="0.3">
      <c r="B1" t="s">
        <v>385</v>
      </c>
      <c r="C1" t="s">
        <v>1051</v>
      </c>
      <c r="D1" t="s">
        <v>386</v>
      </c>
      <c r="E1" t="s">
        <v>387</v>
      </c>
      <c r="F1" t="s">
        <v>388</v>
      </c>
      <c r="G1" t="s">
        <v>389</v>
      </c>
      <c r="H1" t="s">
        <v>390</v>
      </c>
      <c r="I1" t="s">
        <v>1105</v>
      </c>
      <c r="J1" t="s">
        <v>1106</v>
      </c>
      <c r="K1" t="s">
        <v>1107</v>
      </c>
      <c r="L1" t="s">
        <v>1108</v>
      </c>
      <c r="M1" s="13" t="s">
        <v>1109</v>
      </c>
      <c r="N1" s="13" t="s">
        <v>1110</v>
      </c>
      <c r="O1" s="13" t="s">
        <v>1111</v>
      </c>
    </row>
    <row r="2" spans="1:15" x14ac:dyDescent="0.3">
      <c r="A2">
        <v>0</v>
      </c>
      <c r="B2" t="s">
        <v>229</v>
      </c>
      <c r="C2" s="76">
        <v>46213</v>
      </c>
      <c r="D2">
        <v>1232.3</v>
      </c>
      <c r="E2">
        <v>1259</v>
      </c>
      <c r="F2">
        <v>1232.3</v>
      </c>
      <c r="G2">
        <v>1245.4000000000001</v>
      </c>
      <c r="H2">
        <v>1504035</v>
      </c>
      <c r="I2">
        <v>1231.56</v>
      </c>
      <c r="J2">
        <v>1283.48</v>
      </c>
      <c r="K2">
        <v>1179.6400000000001</v>
      </c>
      <c r="L2">
        <v>25.7026</v>
      </c>
      <c r="M2" s="13" t="s">
        <v>1112</v>
      </c>
      <c r="N2" s="13" t="s">
        <v>1113</v>
      </c>
      <c r="O2" s="13" t="s">
        <v>1114</v>
      </c>
    </row>
    <row r="3" spans="1:15" x14ac:dyDescent="0.3">
      <c r="A3">
        <v>2</v>
      </c>
      <c r="B3" t="s">
        <v>37</v>
      </c>
      <c r="C3" s="76">
        <v>46213</v>
      </c>
      <c r="D3">
        <v>3105</v>
      </c>
      <c r="E3">
        <v>3183</v>
      </c>
      <c r="F3">
        <v>3100</v>
      </c>
      <c r="G3">
        <v>3157.3</v>
      </c>
      <c r="H3">
        <v>2145335</v>
      </c>
      <c r="I3">
        <v>3125.96</v>
      </c>
      <c r="J3">
        <v>3276.38</v>
      </c>
      <c r="K3">
        <v>2975.55</v>
      </c>
      <c r="L3">
        <v>74.462100000000007</v>
      </c>
      <c r="M3" s="13" t="s">
        <v>1112</v>
      </c>
      <c r="N3" s="13" t="s">
        <v>1113</v>
      </c>
      <c r="O3" s="13" t="s">
        <v>1114</v>
      </c>
    </row>
    <row r="4" spans="1:15" x14ac:dyDescent="0.3">
      <c r="A4">
        <v>3</v>
      </c>
      <c r="B4" t="s">
        <v>892</v>
      </c>
      <c r="C4" s="76">
        <v>46213</v>
      </c>
      <c r="D4">
        <v>800</v>
      </c>
      <c r="E4">
        <v>874.9</v>
      </c>
      <c r="F4">
        <v>794.75</v>
      </c>
      <c r="G4">
        <v>870.7</v>
      </c>
      <c r="H4">
        <v>17690322</v>
      </c>
      <c r="I4">
        <v>870.7</v>
      </c>
      <c r="J4">
        <v>916.91</v>
      </c>
      <c r="K4">
        <v>824.49</v>
      </c>
      <c r="L4">
        <v>22.878499999999999</v>
      </c>
      <c r="M4" s="13" t="s">
        <v>1112</v>
      </c>
      <c r="N4" s="13" t="s">
        <v>1115</v>
      </c>
      <c r="O4" s="13" t="s">
        <v>1114</v>
      </c>
    </row>
    <row r="5" spans="1:15" x14ac:dyDescent="0.3">
      <c r="A5">
        <v>4</v>
      </c>
      <c r="B5" t="s">
        <v>67</v>
      </c>
      <c r="C5" s="76">
        <v>46213</v>
      </c>
      <c r="D5">
        <v>1010.1</v>
      </c>
      <c r="E5">
        <v>1023.9</v>
      </c>
      <c r="F5">
        <v>1004.2</v>
      </c>
      <c r="G5">
        <v>1020.5</v>
      </c>
      <c r="H5">
        <v>7039305</v>
      </c>
      <c r="I5">
        <v>982.5</v>
      </c>
      <c r="J5">
        <v>1028.24</v>
      </c>
      <c r="K5">
        <v>936.77</v>
      </c>
      <c r="L5">
        <v>22.6433</v>
      </c>
      <c r="M5" s="13" t="s">
        <v>1112</v>
      </c>
      <c r="N5" s="13" t="s">
        <v>1113</v>
      </c>
      <c r="O5" s="13" t="s">
        <v>1114</v>
      </c>
    </row>
    <row r="6" spans="1:15" x14ac:dyDescent="0.3">
      <c r="A6">
        <v>5</v>
      </c>
      <c r="B6" t="s">
        <v>65</v>
      </c>
      <c r="C6" s="76">
        <v>46213</v>
      </c>
      <c r="D6">
        <v>1905.3</v>
      </c>
      <c r="E6">
        <v>1920.5</v>
      </c>
      <c r="F6">
        <v>1893.4</v>
      </c>
      <c r="G6">
        <v>1916</v>
      </c>
      <c r="H6">
        <v>822344</v>
      </c>
      <c r="I6">
        <v>1847.26</v>
      </c>
      <c r="J6">
        <v>1930.86</v>
      </c>
      <c r="K6">
        <v>1763.66</v>
      </c>
      <c r="L6">
        <v>41.387300000000003</v>
      </c>
      <c r="M6" s="13" t="s">
        <v>1112</v>
      </c>
      <c r="N6" s="13" t="s">
        <v>1113</v>
      </c>
      <c r="O6" s="13" t="s">
        <v>1114</v>
      </c>
    </row>
    <row r="7" spans="1:15" x14ac:dyDescent="0.3">
      <c r="A7">
        <v>6</v>
      </c>
      <c r="B7" t="s">
        <v>111</v>
      </c>
      <c r="C7" s="76">
        <v>46213</v>
      </c>
      <c r="D7">
        <v>1495.8</v>
      </c>
      <c r="E7">
        <v>1523</v>
      </c>
      <c r="F7">
        <v>1490</v>
      </c>
      <c r="G7">
        <v>1503.8</v>
      </c>
      <c r="H7">
        <v>2750522</v>
      </c>
      <c r="I7">
        <v>1511.06</v>
      </c>
      <c r="J7">
        <v>1612.94</v>
      </c>
      <c r="K7">
        <v>1409.17</v>
      </c>
      <c r="L7">
        <v>50.438499999999998</v>
      </c>
      <c r="M7" s="13" t="s">
        <v>1112</v>
      </c>
      <c r="N7" s="13" t="s">
        <v>1116</v>
      </c>
      <c r="O7" s="13" t="s">
        <v>822</v>
      </c>
    </row>
    <row r="8" spans="1:15" x14ac:dyDescent="0.3">
      <c r="A8">
        <v>7</v>
      </c>
      <c r="B8" t="s">
        <v>337</v>
      </c>
      <c r="C8" s="76">
        <v>46213</v>
      </c>
      <c r="D8">
        <v>2779</v>
      </c>
      <c r="E8">
        <v>2799.9</v>
      </c>
      <c r="F8">
        <v>2765.3</v>
      </c>
      <c r="G8">
        <v>2774.6</v>
      </c>
      <c r="H8">
        <v>104341</v>
      </c>
      <c r="I8">
        <v>2693.93</v>
      </c>
      <c r="J8">
        <v>2840.83</v>
      </c>
      <c r="K8">
        <v>2547.04</v>
      </c>
      <c r="L8">
        <v>72.720299999999995</v>
      </c>
      <c r="M8" s="13" t="s">
        <v>1112</v>
      </c>
      <c r="N8" s="13" t="s">
        <v>1113</v>
      </c>
      <c r="O8" s="13" t="s">
        <v>1114</v>
      </c>
    </row>
    <row r="9" spans="1:15" x14ac:dyDescent="0.3">
      <c r="A9">
        <v>9</v>
      </c>
      <c r="B9" t="s">
        <v>95</v>
      </c>
      <c r="C9" s="76">
        <v>46213</v>
      </c>
      <c r="D9">
        <v>5390</v>
      </c>
      <c r="E9">
        <v>5405</v>
      </c>
      <c r="F9">
        <v>5323</v>
      </c>
      <c r="G9">
        <v>5353</v>
      </c>
      <c r="H9">
        <v>143224</v>
      </c>
      <c r="I9">
        <v>5438.73</v>
      </c>
      <c r="J9">
        <v>5672.68</v>
      </c>
      <c r="K9">
        <v>5204.78</v>
      </c>
      <c r="L9">
        <v>115.8176</v>
      </c>
      <c r="M9" s="13" t="s">
        <v>1112</v>
      </c>
      <c r="N9" s="13" t="s">
        <v>1116</v>
      </c>
      <c r="O9" s="13" t="s">
        <v>822</v>
      </c>
    </row>
    <row r="10" spans="1:15" x14ac:dyDescent="0.3">
      <c r="A10">
        <v>11</v>
      </c>
      <c r="B10" t="s">
        <v>363</v>
      </c>
      <c r="C10" s="76">
        <v>46213</v>
      </c>
      <c r="D10">
        <v>4866</v>
      </c>
      <c r="E10">
        <v>4910</v>
      </c>
      <c r="F10">
        <v>4778.8</v>
      </c>
      <c r="G10">
        <v>4901.5</v>
      </c>
      <c r="H10">
        <v>963130</v>
      </c>
      <c r="I10">
        <v>4753.3599999999997</v>
      </c>
      <c r="J10">
        <v>4931.37</v>
      </c>
      <c r="K10">
        <v>4575.34</v>
      </c>
      <c r="L10">
        <v>88.126999999999995</v>
      </c>
      <c r="M10" s="13" t="s">
        <v>1112</v>
      </c>
      <c r="N10" s="13" t="s">
        <v>1113</v>
      </c>
      <c r="O10" s="13" t="s">
        <v>1114</v>
      </c>
    </row>
    <row r="11" spans="1:15" x14ac:dyDescent="0.3">
      <c r="A11">
        <v>13</v>
      </c>
      <c r="B11" t="s">
        <v>874</v>
      </c>
      <c r="C11" s="76">
        <v>46213</v>
      </c>
      <c r="D11">
        <v>4089</v>
      </c>
      <c r="E11">
        <v>4108</v>
      </c>
      <c r="F11">
        <v>4025.7</v>
      </c>
      <c r="G11">
        <v>4081.1</v>
      </c>
      <c r="H11">
        <v>752660</v>
      </c>
      <c r="I11">
        <v>4253.91</v>
      </c>
      <c r="J11">
        <v>4463.0600000000004</v>
      </c>
      <c r="K11">
        <v>4044.75</v>
      </c>
      <c r="L11">
        <v>103.54259999999999</v>
      </c>
      <c r="M11" s="13" t="s">
        <v>1112</v>
      </c>
      <c r="N11" s="13" t="s">
        <v>1116</v>
      </c>
      <c r="O11" s="13" t="s">
        <v>822</v>
      </c>
    </row>
    <row r="12" spans="1:15" x14ac:dyDescent="0.3">
      <c r="A12">
        <v>15</v>
      </c>
      <c r="B12" t="s">
        <v>254</v>
      </c>
      <c r="C12" s="76">
        <v>46213</v>
      </c>
      <c r="D12">
        <v>863.9</v>
      </c>
      <c r="E12">
        <v>863.9</v>
      </c>
      <c r="F12">
        <v>847.3</v>
      </c>
      <c r="G12">
        <v>852.5</v>
      </c>
      <c r="H12">
        <v>1338643</v>
      </c>
      <c r="I12">
        <v>835.23</v>
      </c>
      <c r="J12">
        <v>866.47</v>
      </c>
      <c r="K12">
        <v>804</v>
      </c>
      <c r="L12">
        <v>15.464</v>
      </c>
      <c r="M12" s="13" t="s">
        <v>1112</v>
      </c>
      <c r="N12" s="13" t="s">
        <v>1113</v>
      </c>
      <c r="O12" s="13" t="s">
        <v>1114</v>
      </c>
    </row>
    <row r="13" spans="1:15" x14ac:dyDescent="0.3">
      <c r="A13">
        <v>16</v>
      </c>
      <c r="B13" t="s">
        <v>297</v>
      </c>
      <c r="C13" s="76">
        <v>46213</v>
      </c>
      <c r="D13">
        <v>4926.3999999999996</v>
      </c>
      <c r="E13">
        <v>5065.3999999999996</v>
      </c>
      <c r="F13">
        <v>4903</v>
      </c>
      <c r="G13">
        <v>5053.8999999999996</v>
      </c>
      <c r="H13">
        <v>1205108</v>
      </c>
      <c r="I13">
        <v>4867.4399999999996</v>
      </c>
      <c r="J13">
        <v>5211.62</v>
      </c>
      <c r="K13">
        <v>4523.26</v>
      </c>
      <c r="L13">
        <v>170.38560000000001</v>
      </c>
      <c r="M13" s="13" t="s">
        <v>1112</v>
      </c>
      <c r="N13" s="13" t="s">
        <v>1113</v>
      </c>
      <c r="O13" s="13" t="s">
        <v>1114</v>
      </c>
    </row>
    <row r="14" spans="1:15" x14ac:dyDescent="0.3">
      <c r="A14">
        <v>19</v>
      </c>
      <c r="B14" t="s">
        <v>240</v>
      </c>
      <c r="C14" s="76">
        <v>46213</v>
      </c>
      <c r="D14">
        <v>541</v>
      </c>
      <c r="E14">
        <v>553.70000000000005</v>
      </c>
      <c r="F14">
        <v>541</v>
      </c>
      <c r="G14">
        <v>549.15</v>
      </c>
      <c r="H14">
        <v>1462462</v>
      </c>
      <c r="I14">
        <v>538.82000000000005</v>
      </c>
      <c r="J14">
        <v>567.15</v>
      </c>
      <c r="K14">
        <v>510.5</v>
      </c>
      <c r="L14">
        <v>14.0238</v>
      </c>
      <c r="M14" s="13" t="s">
        <v>1112</v>
      </c>
      <c r="N14" s="13" t="s">
        <v>1113</v>
      </c>
      <c r="O14" s="13" t="s">
        <v>1114</v>
      </c>
    </row>
    <row r="15" spans="1:15" x14ac:dyDescent="0.3">
      <c r="A15">
        <v>20</v>
      </c>
      <c r="B15" t="s">
        <v>916</v>
      </c>
      <c r="C15" s="76">
        <v>46213</v>
      </c>
      <c r="D15">
        <v>1190</v>
      </c>
      <c r="E15">
        <v>1225.2</v>
      </c>
      <c r="F15">
        <v>1139.1500000000001</v>
      </c>
      <c r="G15">
        <v>1220.75</v>
      </c>
      <c r="H15">
        <v>6417760</v>
      </c>
      <c r="I15">
        <v>1190.83</v>
      </c>
      <c r="J15">
        <v>1269.53</v>
      </c>
      <c r="K15">
        <v>1112.1199999999999</v>
      </c>
      <c r="L15">
        <v>38.963200000000001</v>
      </c>
      <c r="M15" s="13" t="s">
        <v>1112</v>
      </c>
      <c r="N15" s="13" t="s">
        <v>1113</v>
      </c>
      <c r="O15" s="13" t="s">
        <v>1114</v>
      </c>
    </row>
    <row r="16" spans="1:15" x14ac:dyDescent="0.3">
      <c r="A16">
        <v>23</v>
      </c>
      <c r="B16" t="s">
        <v>966</v>
      </c>
      <c r="C16" s="76">
        <v>46213</v>
      </c>
      <c r="D16">
        <v>17466</v>
      </c>
      <c r="E16">
        <v>18280</v>
      </c>
      <c r="F16">
        <v>17257</v>
      </c>
      <c r="G16">
        <v>18236</v>
      </c>
      <c r="H16">
        <v>218676</v>
      </c>
      <c r="I16">
        <v>18249.560000000001</v>
      </c>
      <c r="J16">
        <v>19142.95</v>
      </c>
      <c r="K16">
        <v>17356.169999999998</v>
      </c>
      <c r="L16">
        <v>442.27170000000001</v>
      </c>
      <c r="M16" s="13" t="s">
        <v>1112</v>
      </c>
      <c r="N16" s="13" t="s">
        <v>1116</v>
      </c>
      <c r="O16" s="13" t="s">
        <v>822</v>
      </c>
    </row>
    <row r="17" spans="1:15" x14ac:dyDescent="0.3">
      <c r="A17">
        <v>24</v>
      </c>
      <c r="B17" t="s">
        <v>950</v>
      </c>
      <c r="C17" s="76">
        <v>46213</v>
      </c>
      <c r="D17">
        <v>1094</v>
      </c>
      <c r="E17">
        <v>1119</v>
      </c>
      <c r="F17">
        <v>1087.4000000000001</v>
      </c>
      <c r="G17">
        <v>1110.5999999999999</v>
      </c>
      <c r="H17">
        <v>981785</v>
      </c>
      <c r="I17">
        <v>1085.7</v>
      </c>
      <c r="J17">
        <v>1146.81</v>
      </c>
      <c r="K17">
        <v>1024.58</v>
      </c>
      <c r="L17">
        <v>30.256</v>
      </c>
      <c r="M17" s="13" t="s">
        <v>1112</v>
      </c>
      <c r="N17" s="13" t="s">
        <v>1113</v>
      </c>
      <c r="O17" s="13" t="s">
        <v>1114</v>
      </c>
    </row>
    <row r="18" spans="1:15" x14ac:dyDescent="0.3">
      <c r="A18">
        <v>25</v>
      </c>
      <c r="B18" t="s">
        <v>145</v>
      </c>
      <c r="C18" s="76">
        <v>46213</v>
      </c>
      <c r="D18">
        <v>330.3</v>
      </c>
      <c r="E18">
        <v>332.5</v>
      </c>
      <c r="F18">
        <v>327.85</v>
      </c>
      <c r="G18">
        <v>329.85</v>
      </c>
      <c r="H18">
        <v>5400203</v>
      </c>
      <c r="I18">
        <v>317.22000000000003</v>
      </c>
      <c r="J18">
        <v>329.05</v>
      </c>
      <c r="K18">
        <v>305.39</v>
      </c>
      <c r="L18">
        <v>5.8555000000000001</v>
      </c>
      <c r="M18" s="13" t="s">
        <v>1112</v>
      </c>
      <c r="N18" s="13" t="s">
        <v>1117</v>
      </c>
      <c r="O18" s="13" t="s">
        <v>1114</v>
      </c>
    </row>
    <row r="19" spans="1:15" x14ac:dyDescent="0.3">
      <c r="A19">
        <v>27</v>
      </c>
      <c r="B19" t="s">
        <v>890</v>
      </c>
      <c r="C19" s="76">
        <v>46213</v>
      </c>
      <c r="D19">
        <v>1936.9</v>
      </c>
      <c r="E19">
        <v>1996</v>
      </c>
      <c r="F19">
        <v>1931.1</v>
      </c>
      <c r="G19">
        <v>1984.9</v>
      </c>
      <c r="H19">
        <v>366401</v>
      </c>
      <c r="I19">
        <v>1993.54</v>
      </c>
      <c r="J19">
        <v>2113.46</v>
      </c>
      <c r="K19">
        <v>1873.62</v>
      </c>
      <c r="L19">
        <v>59.364199999999997</v>
      </c>
      <c r="M19" s="13" t="s">
        <v>1112</v>
      </c>
      <c r="N19" s="13" t="s">
        <v>1116</v>
      </c>
      <c r="O19" s="13" t="s">
        <v>822</v>
      </c>
    </row>
    <row r="20" spans="1:15" x14ac:dyDescent="0.3">
      <c r="A20">
        <v>29</v>
      </c>
      <c r="B20" t="s">
        <v>880</v>
      </c>
      <c r="C20" s="76">
        <v>46213</v>
      </c>
      <c r="D20">
        <v>959</v>
      </c>
      <c r="E20">
        <v>969.9</v>
      </c>
      <c r="F20">
        <v>948.7</v>
      </c>
      <c r="G20">
        <v>968</v>
      </c>
      <c r="H20">
        <v>1781037</v>
      </c>
      <c r="I20">
        <v>914.34</v>
      </c>
      <c r="J20">
        <v>960.55</v>
      </c>
      <c r="K20">
        <v>868.12</v>
      </c>
      <c r="L20">
        <v>22.879300000000001</v>
      </c>
      <c r="M20" s="13" t="s">
        <v>1112</v>
      </c>
      <c r="N20" s="13" t="s">
        <v>1117</v>
      </c>
      <c r="O20" s="13" t="s">
        <v>1114</v>
      </c>
    </row>
    <row r="21" spans="1:15" x14ac:dyDescent="0.3">
      <c r="A21">
        <v>32</v>
      </c>
      <c r="B21" t="s">
        <v>371</v>
      </c>
      <c r="C21" s="76">
        <v>46213</v>
      </c>
      <c r="D21">
        <v>11584</v>
      </c>
      <c r="E21">
        <v>11725</v>
      </c>
      <c r="F21">
        <v>11584</v>
      </c>
      <c r="G21">
        <v>11711</v>
      </c>
      <c r="H21">
        <v>135130</v>
      </c>
      <c r="I21">
        <v>11085.24</v>
      </c>
      <c r="J21">
        <v>11567.15</v>
      </c>
      <c r="K21">
        <v>10603.33</v>
      </c>
      <c r="L21">
        <v>238.56899999999999</v>
      </c>
      <c r="M21" s="13" t="s">
        <v>1112</v>
      </c>
      <c r="N21" s="13" t="s">
        <v>1117</v>
      </c>
      <c r="O21" s="13" t="s">
        <v>1114</v>
      </c>
    </row>
    <row r="22" spans="1:15" x14ac:dyDescent="0.3">
      <c r="A22">
        <v>33</v>
      </c>
      <c r="B22" t="s">
        <v>161</v>
      </c>
      <c r="C22" s="76">
        <v>46213</v>
      </c>
      <c r="D22">
        <v>3204.8</v>
      </c>
      <c r="E22">
        <v>3246</v>
      </c>
      <c r="F22">
        <v>3202</v>
      </c>
      <c r="G22">
        <v>3213.6</v>
      </c>
      <c r="H22">
        <v>515666</v>
      </c>
      <c r="I22">
        <v>3087.33</v>
      </c>
      <c r="J22">
        <v>3204.56</v>
      </c>
      <c r="K22">
        <v>2970.1</v>
      </c>
      <c r="L22">
        <v>58.035600000000002</v>
      </c>
      <c r="M22" s="13" t="s">
        <v>1112</v>
      </c>
      <c r="N22" s="13" t="s">
        <v>1117</v>
      </c>
      <c r="O22" s="13" t="s">
        <v>1114</v>
      </c>
    </row>
    <row r="23" spans="1:15" x14ac:dyDescent="0.3">
      <c r="A23">
        <v>35</v>
      </c>
      <c r="B23" t="s">
        <v>842</v>
      </c>
      <c r="C23" s="76">
        <v>46213</v>
      </c>
      <c r="D23">
        <v>1635</v>
      </c>
      <c r="E23">
        <v>1683.8</v>
      </c>
      <c r="F23">
        <v>1621.2</v>
      </c>
      <c r="G23">
        <v>1654</v>
      </c>
      <c r="H23">
        <v>1603768</v>
      </c>
      <c r="I23">
        <v>1545.25</v>
      </c>
      <c r="J23">
        <v>1630.78</v>
      </c>
      <c r="K23">
        <v>1459.71</v>
      </c>
      <c r="L23">
        <v>42.344999999999999</v>
      </c>
      <c r="M23" s="13" t="s">
        <v>1112</v>
      </c>
      <c r="N23" s="13" t="s">
        <v>1117</v>
      </c>
      <c r="O23" s="13" t="s">
        <v>1114</v>
      </c>
    </row>
    <row r="24" spans="1:15" x14ac:dyDescent="0.3">
      <c r="A24">
        <v>38</v>
      </c>
      <c r="B24" t="s">
        <v>926</v>
      </c>
      <c r="C24" s="76">
        <v>46213</v>
      </c>
      <c r="D24">
        <v>2385</v>
      </c>
      <c r="E24">
        <v>2433.8000000000002</v>
      </c>
      <c r="F24">
        <v>2373.1</v>
      </c>
      <c r="G24">
        <v>2420.1</v>
      </c>
      <c r="H24">
        <v>995945</v>
      </c>
      <c r="I24">
        <v>2488.54</v>
      </c>
      <c r="J24">
        <v>2664.08</v>
      </c>
      <c r="K24">
        <v>2313.0100000000002</v>
      </c>
      <c r="L24">
        <v>86.897999999999996</v>
      </c>
      <c r="M24" s="13" t="s">
        <v>1112</v>
      </c>
      <c r="N24" s="13" t="s">
        <v>1116</v>
      </c>
      <c r="O24" s="13" t="s">
        <v>822</v>
      </c>
    </row>
    <row r="25" spans="1:15" x14ac:dyDescent="0.3">
      <c r="A25">
        <v>39</v>
      </c>
      <c r="B25" t="s">
        <v>922</v>
      </c>
      <c r="C25" s="76">
        <v>46213</v>
      </c>
      <c r="D25">
        <v>2543.1</v>
      </c>
      <c r="E25">
        <v>2572</v>
      </c>
      <c r="F25">
        <v>2510.6</v>
      </c>
      <c r="G25">
        <v>2525.1</v>
      </c>
      <c r="H25">
        <v>524763</v>
      </c>
      <c r="I25">
        <v>2527.58</v>
      </c>
      <c r="J25">
        <v>2661.26</v>
      </c>
      <c r="K25">
        <v>2393.9</v>
      </c>
      <c r="L25">
        <v>66.179199999999994</v>
      </c>
      <c r="M25" s="13" t="s">
        <v>1112</v>
      </c>
      <c r="N25" s="13" t="s">
        <v>1116</v>
      </c>
      <c r="O25" s="13" t="s">
        <v>822</v>
      </c>
    </row>
    <row r="26" spans="1:15" x14ac:dyDescent="0.3">
      <c r="A26">
        <v>41</v>
      </c>
      <c r="B26" t="s">
        <v>211</v>
      </c>
      <c r="C26" s="76">
        <v>46213</v>
      </c>
      <c r="D26">
        <v>1019.7</v>
      </c>
      <c r="E26">
        <v>1031.6500000000001</v>
      </c>
      <c r="F26">
        <v>1013.7</v>
      </c>
      <c r="G26">
        <v>1015.8</v>
      </c>
      <c r="H26">
        <v>1084109</v>
      </c>
      <c r="I26">
        <v>969.97</v>
      </c>
      <c r="J26">
        <v>1022.06</v>
      </c>
      <c r="K26">
        <v>917.88</v>
      </c>
      <c r="L26">
        <v>25.7879</v>
      </c>
      <c r="M26" s="13" t="s">
        <v>1112</v>
      </c>
      <c r="N26" s="13" t="s">
        <v>1113</v>
      </c>
      <c r="O26" s="13" t="s">
        <v>1114</v>
      </c>
    </row>
    <row r="27" spans="1:15" x14ac:dyDescent="0.3">
      <c r="A27">
        <v>42</v>
      </c>
      <c r="B27" t="s">
        <v>958</v>
      </c>
      <c r="C27" s="76">
        <v>46213</v>
      </c>
      <c r="D27">
        <v>1694</v>
      </c>
      <c r="E27">
        <v>1741.5</v>
      </c>
      <c r="F27">
        <v>1652.9</v>
      </c>
      <c r="G27">
        <v>1733.2</v>
      </c>
      <c r="H27">
        <v>871915</v>
      </c>
      <c r="I27">
        <v>1696.32</v>
      </c>
      <c r="J27">
        <v>1803.26</v>
      </c>
      <c r="K27">
        <v>1589.38</v>
      </c>
      <c r="L27">
        <v>52.940300000000001</v>
      </c>
      <c r="M27" s="13" t="s">
        <v>1112</v>
      </c>
      <c r="N27" s="13" t="s">
        <v>1113</v>
      </c>
      <c r="O27" s="13" t="s">
        <v>1114</v>
      </c>
    </row>
    <row r="28" spans="1:15" x14ac:dyDescent="0.3">
      <c r="A28">
        <v>44</v>
      </c>
      <c r="B28" t="s">
        <v>339</v>
      </c>
      <c r="C28" s="76">
        <v>46213</v>
      </c>
      <c r="D28">
        <v>1942.8</v>
      </c>
      <c r="E28">
        <v>1953.9</v>
      </c>
      <c r="F28">
        <v>1926.6</v>
      </c>
      <c r="G28">
        <v>1935.5</v>
      </c>
      <c r="H28">
        <v>1478172</v>
      </c>
      <c r="I28">
        <v>1937.54</v>
      </c>
      <c r="J28">
        <v>2006.65</v>
      </c>
      <c r="K28">
        <v>1868.42</v>
      </c>
      <c r="L28">
        <v>34.215400000000002</v>
      </c>
      <c r="M28" s="13" t="s">
        <v>1112</v>
      </c>
      <c r="N28" s="13" t="s">
        <v>1116</v>
      </c>
      <c r="O28" s="13" t="s">
        <v>822</v>
      </c>
    </row>
    <row r="29" spans="1:15" x14ac:dyDescent="0.3">
      <c r="A29">
        <v>45</v>
      </c>
      <c r="B29" t="s">
        <v>970</v>
      </c>
      <c r="C29" s="76">
        <v>46213</v>
      </c>
      <c r="D29">
        <v>3241</v>
      </c>
      <c r="E29">
        <v>3327.4</v>
      </c>
      <c r="F29">
        <v>3230</v>
      </c>
      <c r="G29">
        <v>3319.6</v>
      </c>
      <c r="H29">
        <v>174648</v>
      </c>
      <c r="I29">
        <v>3436.72</v>
      </c>
      <c r="J29">
        <v>3674.54</v>
      </c>
      <c r="K29">
        <v>3198.9</v>
      </c>
      <c r="L29">
        <v>117.73269999999999</v>
      </c>
      <c r="M29" s="13" t="s">
        <v>1112</v>
      </c>
      <c r="N29" s="13" t="s">
        <v>1116</v>
      </c>
      <c r="O29" s="13" t="s">
        <v>822</v>
      </c>
    </row>
    <row r="30" spans="1:15" x14ac:dyDescent="0.3">
      <c r="A30">
        <v>47</v>
      </c>
      <c r="B30" t="s">
        <v>73</v>
      </c>
      <c r="C30" s="76">
        <v>46213</v>
      </c>
      <c r="D30">
        <v>201</v>
      </c>
      <c r="E30">
        <v>211.8</v>
      </c>
      <c r="F30">
        <v>200.92</v>
      </c>
      <c r="G30">
        <v>210</v>
      </c>
      <c r="H30">
        <v>20211763</v>
      </c>
      <c r="I30">
        <v>207.4</v>
      </c>
      <c r="J30">
        <v>219.06</v>
      </c>
      <c r="K30">
        <v>195.73</v>
      </c>
      <c r="L30">
        <v>5.7758000000000003</v>
      </c>
      <c r="M30" s="13" t="s">
        <v>1112</v>
      </c>
      <c r="N30" s="13" t="s">
        <v>1113</v>
      </c>
      <c r="O30" s="13" t="s">
        <v>1114</v>
      </c>
    </row>
    <row r="31" spans="1:15" x14ac:dyDescent="0.3">
      <c r="A31">
        <v>48</v>
      </c>
      <c r="B31" t="s">
        <v>904</v>
      </c>
      <c r="C31" s="76">
        <v>46213</v>
      </c>
      <c r="D31">
        <v>451.1</v>
      </c>
      <c r="E31">
        <v>483.4</v>
      </c>
      <c r="F31">
        <v>446</v>
      </c>
      <c r="G31">
        <v>476.15</v>
      </c>
      <c r="H31">
        <v>115487371</v>
      </c>
      <c r="I31">
        <v>442.41</v>
      </c>
      <c r="J31">
        <v>477.56</v>
      </c>
      <c r="K31">
        <v>407.26</v>
      </c>
      <c r="L31">
        <v>17.3993</v>
      </c>
      <c r="M31" s="13" t="s">
        <v>1112</v>
      </c>
      <c r="N31" s="13" t="s">
        <v>1113</v>
      </c>
      <c r="O31" s="13" t="s">
        <v>1114</v>
      </c>
    </row>
    <row r="32" spans="1:15" x14ac:dyDescent="0.3">
      <c r="A32">
        <v>54</v>
      </c>
      <c r="B32" t="s">
        <v>928</v>
      </c>
      <c r="C32" s="76">
        <v>46213</v>
      </c>
      <c r="D32">
        <v>950.05</v>
      </c>
      <c r="E32">
        <v>982.95</v>
      </c>
      <c r="F32">
        <v>950.05</v>
      </c>
      <c r="G32">
        <v>979.35</v>
      </c>
      <c r="H32">
        <v>1344271</v>
      </c>
      <c r="I32">
        <v>921.33</v>
      </c>
      <c r="J32">
        <v>981.06</v>
      </c>
      <c r="K32">
        <v>861.6</v>
      </c>
      <c r="L32">
        <v>29.569500000000001</v>
      </c>
      <c r="M32" s="13" t="s">
        <v>1112</v>
      </c>
      <c r="N32" s="13" t="s">
        <v>1113</v>
      </c>
      <c r="O32" s="13" t="s">
        <v>1114</v>
      </c>
    </row>
    <row r="33" spans="1:15" x14ac:dyDescent="0.3">
      <c r="A33">
        <v>57</v>
      </c>
      <c r="B33" t="s">
        <v>59</v>
      </c>
      <c r="C33" s="76">
        <v>46213</v>
      </c>
      <c r="D33">
        <v>1576.1</v>
      </c>
      <c r="E33">
        <v>1580.5</v>
      </c>
      <c r="F33">
        <v>1544.3</v>
      </c>
      <c r="G33">
        <v>1564.7</v>
      </c>
      <c r="H33">
        <v>1154492</v>
      </c>
      <c r="I33">
        <v>1543.67</v>
      </c>
      <c r="J33">
        <v>1612.72</v>
      </c>
      <c r="K33">
        <v>1474.63</v>
      </c>
      <c r="L33">
        <v>34.181399999999996</v>
      </c>
      <c r="M33" s="13" t="s">
        <v>1112</v>
      </c>
      <c r="N33" s="13" t="s">
        <v>1113</v>
      </c>
      <c r="O33" s="13" t="s">
        <v>1114</v>
      </c>
    </row>
    <row r="34" spans="1:15" x14ac:dyDescent="0.3">
      <c r="A34">
        <v>58</v>
      </c>
      <c r="B34" t="s">
        <v>135</v>
      </c>
      <c r="C34" s="76">
        <v>46213</v>
      </c>
      <c r="D34">
        <v>670</v>
      </c>
      <c r="E34">
        <v>692</v>
      </c>
      <c r="F34">
        <v>654.54999999999995</v>
      </c>
      <c r="G34">
        <v>685.75</v>
      </c>
      <c r="H34">
        <v>11338298</v>
      </c>
      <c r="I34">
        <v>685.75</v>
      </c>
      <c r="J34">
        <v>724.24</v>
      </c>
      <c r="K34">
        <v>647.26</v>
      </c>
      <c r="L34">
        <v>19.052499999999998</v>
      </c>
      <c r="M34" s="13" t="s">
        <v>1112</v>
      </c>
      <c r="N34" s="13" t="s">
        <v>1115</v>
      </c>
      <c r="O34" s="13" t="s">
        <v>1114</v>
      </c>
    </row>
    <row r="35" spans="1:15" x14ac:dyDescent="0.3">
      <c r="A35">
        <v>59</v>
      </c>
      <c r="B35" t="s">
        <v>383</v>
      </c>
      <c r="C35" s="76">
        <v>46213</v>
      </c>
      <c r="D35">
        <v>1161.5999999999999</v>
      </c>
      <c r="E35">
        <v>1164.9000000000001</v>
      </c>
      <c r="F35">
        <v>1145</v>
      </c>
      <c r="G35">
        <v>1150.8</v>
      </c>
      <c r="H35">
        <v>824192</v>
      </c>
      <c r="I35">
        <v>1114.47</v>
      </c>
      <c r="J35">
        <v>1159.72</v>
      </c>
      <c r="K35">
        <v>1069.23</v>
      </c>
      <c r="L35">
        <v>22.399000000000001</v>
      </c>
      <c r="M35" s="13" t="s">
        <v>1112</v>
      </c>
      <c r="N35" s="13" t="s">
        <v>1113</v>
      </c>
      <c r="O35" s="13" t="s">
        <v>1114</v>
      </c>
    </row>
    <row r="36" spans="1:15" x14ac:dyDescent="0.3">
      <c r="A36">
        <v>60</v>
      </c>
      <c r="B36" t="s">
        <v>972</v>
      </c>
      <c r="C36" s="76">
        <v>46213</v>
      </c>
      <c r="D36">
        <v>54.02</v>
      </c>
      <c r="E36">
        <v>54.45</v>
      </c>
      <c r="F36">
        <v>53.75</v>
      </c>
      <c r="G36">
        <v>53.92</v>
      </c>
      <c r="H36">
        <v>41945443</v>
      </c>
      <c r="I36">
        <v>55.66</v>
      </c>
      <c r="J36">
        <v>59.33</v>
      </c>
      <c r="K36">
        <v>51.99</v>
      </c>
      <c r="L36">
        <v>1.8176000000000001</v>
      </c>
      <c r="M36" s="13" t="s">
        <v>1112</v>
      </c>
      <c r="N36" s="13" t="s">
        <v>1116</v>
      </c>
      <c r="O36" s="13" t="s">
        <v>822</v>
      </c>
    </row>
    <row r="37" spans="1:15" x14ac:dyDescent="0.3">
      <c r="A37">
        <v>61</v>
      </c>
      <c r="B37" t="s">
        <v>968</v>
      </c>
      <c r="C37" s="76">
        <v>46213</v>
      </c>
      <c r="D37">
        <v>676.35</v>
      </c>
      <c r="E37">
        <v>682.2</v>
      </c>
      <c r="F37">
        <v>661.45</v>
      </c>
      <c r="G37">
        <v>668.55</v>
      </c>
      <c r="H37">
        <v>1238095</v>
      </c>
      <c r="I37">
        <v>658.79</v>
      </c>
      <c r="J37">
        <v>693.57</v>
      </c>
      <c r="K37">
        <v>624.02</v>
      </c>
      <c r="L37">
        <v>17.214700000000001</v>
      </c>
      <c r="M37" s="13" t="s">
        <v>1112</v>
      </c>
      <c r="N37" s="13" t="s">
        <v>1113</v>
      </c>
      <c r="O37" s="13" t="s">
        <v>1114</v>
      </c>
    </row>
    <row r="38" spans="1:15" x14ac:dyDescent="0.3">
      <c r="A38">
        <v>62</v>
      </c>
      <c r="B38" t="s">
        <v>934</v>
      </c>
      <c r="C38" s="76">
        <v>46213</v>
      </c>
      <c r="D38">
        <v>78.849999999999994</v>
      </c>
      <c r="E38">
        <v>79.95</v>
      </c>
      <c r="F38">
        <v>78.849999999999994</v>
      </c>
      <c r="G38">
        <v>79.819999999999993</v>
      </c>
      <c r="H38">
        <v>6253523</v>
      </c>
      <c r="I38">
        <v>80.900000000000006</v>
      </c>
      <c r="J38">
        <v>85.28</v>
      </c>
      <c r="K38">
        <v>76.52</v>
      </c>
      <c r="L38">
        <v>2.1686999999999999</v>
      </c>
      <c r="M38" s="13" t="s">
        <v>1112</v>
      </c>
      <c r="N38" s="13" t="s">
        <v>1116</v>
      </c>
      <c r="O38" s="13" t="s">
        <v>822</v>
      </c>
    </row>
    <row r="39" spans="1:15" x14ac:dyDescent="0.3">
      <c r="A39">
        <v>63</v>
      </c>
      <c r="B39" t="s">
        <v>1122</v>
      </c>
      <c r="C39" s="76">
        <v>46213</v>
      </c>
      <c r="D39">
        <v>1224</v>
      </c>
      <c r="E39">
        <v>1232.8</v>
      </c>
      <c r="F39">
        <v>1204.3</v>
      </c>
      <c r="G39">
        <v>1212.7</v>
      </c>
      <c r="H39">
        <v>438739</v>
      </c>
      <c r="I39">
        <v>1206.8800000000001</v>
      </c>
      <c r="J39">
        <v>1269.73</v>
      </c>
      <c r="K39">
        <v>1144.04</v>
      </c>
      <c r="L39">
        <v>31.111699999999999</v>
      </c>
      <c r="M39" s="13" t="s">
        <v>1112</v>
      </c>
      <c r="N39" s="13" t="s">
        <v>1113</v>
      </c>
      <c r="O39" s="13" t="s">
        <v>1114</v>
      </c>
    </row>
    <row r="40" spans="1:15" x14ac:dyDescent="0.3">
      <c r="A40">
        <v>64</v>
      </c>
      <c r="B40" t="s">
        <v>147</v>
      </c>
      <c r="C40" s="76">
        <v>46213</v>
      </c>
      <c r="D40">
        <v>171</v>
      </c>
      <c r="E40">
        <v>174.47</v>
      </c>
      <c r="F40">
        <v>171</v>
      </c>
      <c r="G40">
        <v>173.73</v>
      </c>
      <c r="H40">
        <v>3236963</v>
      </c>
      <c r="I40">
        <v>163.82</v>
      </c>
      <c r="J40">
        <v>172.7</v>
      </c>
      <c r="K40">
        <v>154.94</v>
      </c>
      <c r="L40">
        <v>4.3947000000000003</v>
      </c>
      <c r="M40" s="13" t="s">
        <v>1112</v>
      </c>
      <c r="N40" s="13" t="s">
        <v>1117</v>
      </c>
      <c r="O40" s="13" t="s">
        <v>1114</v>
      </c>
    </row>
    <row r="41" spans="1:15" x14ac:dyDescent="0.3">
      <c r="A41">
        <v>66</v>
      </c>
      <c r="B41" t="s">
        <v>131</v>
      </c>
      <c r="C41" s="76">
        <v>46213</v>
      </c>
      <c r="D41">
        <v>6870</v>
      </c>
      <c r="E41">
        <v>6871.5</v>
      </c>
      <c r="F41">
        <v>6775</v>
      </c>
      <c r="G41">
        <v>6836</v>
      </c>
      <c r="H41">
        <v>222860</v>
      </c>
      <c r="I41">
        <v>6426.67</v>
      </c>
      <c r="J41">
        <v>6716.98</v>
      </c>
      <c r="K41">
        <v>6136.36</v>
      </c>
      <c r="L41">
        <v>143.7193</v>
      </c>
      <c r="M41" s="13" t="s">
        <v>1112</v>
      </c>
      <c r="N41" s="13" t="s">
        <v>1117</v>
      </c>
      <c r="O41" s="13" t="s">
        <v>1114</v>
      </c>
    </row>
    <row r="42" spans="1:15" x14ac:dyDescent="0.3">
      <c r="A42">
        <v>67</v>
      </c>
      <c r="B42" t="s">
        <v>938</v>
      </c>
      <c r="C42" s="76">
        <v>46213</v>
      </c>
      <c r="D42">
        <v>328</v>
      </c>
      <c r="E42">
        <v>330.95</v>
      </c>
      <c r="F42">
        <v>324.64999999999998</v>
      </c>
      <c r="G42">
        <v>330.1</v>
      </c>
      <c r="H42">
        <v>10556295</v>
      </c>
      <c r="I42">
        <v>317.45999999999998</v>
      </c>
      <c r="J42">
        <v>331.88</v>
      </c>
      <c r="K42">
        <v>303.05</v>
      </c>
      <c r="L42">
        <v>7.1372999999999998</v>
      </c>
      <c r="M42" s="13" t="s">
        <v>1112</v>
      </c>
      <c r="N42" s="13" t="s">
        <v>1113</v>
      </c>
      <c r="O42" s="13" t="s">
        <v>1114</v>
      </c>
    </row>
    <row r="43" spans="1:15" x14ac:dyDescent="0.3">
      <c r="A43">
        <v>69</v>
      </c>
      <c r="B43" t="s">
        <v>87</v>
      </c>
      <c r="C43" s="76">
        <v>46213</v>
      </c>
      <c r="D43">
        <v>388.9</v>
      </c>
      <c r="E43">
        <v>395.8</v>
      </c>
      <c r="F43">
        <v>385.6</v>
      </c>
      <c r="G43">
        <v>395.25</v>
      </c>
      <c r="H43">
        <v>11887326</v>
      </c>
      <c r="I43">
        <v>400.97</v>
      </c>
      <c r="J43">
        <v>420.76</v>
      </c>
      <c r="K43">
        <v>381.19</v>
      </c>
      <c r="L43">
        <v>9.7944999999999993</v>
      </c>
      <c r="M43" s="13" t="s">
        <v>1112</v>
      </c>
      <c r="N43" s="13" t="s">
        <v>1116</v>
      </c>
      <c r="O43" s="13" t="s">
        <v>822</v>
      </c>
    </row>
    <row r="44" spans="1:15" x14ac:dyDescent="0.3">
      <c r="A44">
        <v>70</v>
      </c>
      <c r="B44" t="s">
        <v>39</v>
      </c>
      <c r="C44" s="76">
        <v>46213</v>
      </c>
      <c r="D44">
        <v>1800.1</v>
      </c>
      <c r="E44">
        <v>1852.9</v>
      </c>
      <c r="F44">
        <v>1800.1</v>
      </c>
      <c r="G44">
        <v>1828.1</v>
      </c>
      <c r="H44">
        <v>1489787</v>
      </c>
      <c r="I44">
        <v>1822.76</v>
      </c>
      <c r="J44">
        <v>1899.85</v>
      </c>
      <c r="K44">
        <v>1745.66</v>
      </c>
      <c r="L44">
        <v>38.166499999999999</v>
      </c>
      <c r="M44" s="13" t="s">
        <v>1112</v>
      </c>
      <c r="N44" s="13" t="s">
        <v>1113</v>
      </c>
      <c r="O44" s="13" t="s">
        <v>1114</v>
      </c>
    </row>
    <row r="45" spans="1:15" x14ac:dyDescent="0.3">
      <c r="A45">
        <v>71</v>
      </c>
      <c r="B45" t="s">
        <v>984</v>
      </c>
      <c r="C45" s="76">
        <v>46213</v>
      </c>
      <c r="D45">
        <v>1384.9</v>
      </c>
      <c r="E45">
        <v>1391.8</v>
      </c>
      <c r="F45">
        <v>1375.7</v>
      </c>
      <c r="G45">
        <v>1385.7</v>
      </c>
      <c r="H45">
        <v>568746</v>
      </c>
      <c r="I45">
        <v>1374.15</v>
      </c>
      <c r="J45">
        <v>1437.94</v>
      </c>
      <c r="K45">
        <v>1310.3699999999999</v>
      </c>
      <c r="L45">
        <v>31.578299999999999</v>
      </c>
      <c r="M45" s="13" t="s">
        <v>1112</v>
      </c>
      <c r="N45" s="13" t="s">
        <v>1113</v>
      </c>
      <c r="O45" s="13" t="s">
        <v>1114</v>
      </c>
    </row>
    <row r="46" spans="1:15" x14ac:dyDescent="0.3">
      <c r="A46">
        <v>72</v>
      </c>
      <c r="B46" t="s">
        <v>281</v>
      </c>
      <c r="C46" s="76">
        <v>46213</v>
      </c>
      <c r="D46">
        <v>1467</v>
      </c>
      <c r="E46">
        <v>1471.3</v>
      </c>
      <c r="F46">
        <v>1448.3</v>
      </c>
      <c r="G46">
        <v>1455.2</v>
      </c>
      <c r="H46">
        <v>1563905</v>
      </c>
      <c r="I46">
        <v>1423.47</v>
      </c>
      <c r="J46">
        <v>1475.77</v>
      </c>
      <c r="K46">
        <v>1371.17</v>
      </c>
      <c r="L46">
        <v>25.891100000000002</v>
      </c>
      <c r="M46" s="13" t="s">
        <v>1112</v>
      </c>
      <c r="N46" s="13" t="s">
        <v>1113</v>
      </c>
      <c r="O46" s="13" t="s">
        <v>1114</v>
      </c>
    </row>
    <row r="47" spans="1:15" x14ac:dyDescent="0.3">
      <c r="A47">
        <v>73</v>
      </c>
      <c r="B47" t="s">
        <v>307</v>
      </c>
      <c r="C47" s="76">
        <v>46213</v>
      </c>
      <c r="D47">
        <v>104.1</v>
      </c>
      <c r="E47">
        <v>107.55</v>
      </c>
      <c r="F47">
        <v>103.71</v>
      </c>
      <c r="G47">
        <v>105.41</v>
      </c>
      <c r="H47">
        <v>27098775</v>
      </c>
      <c r="I47">
        <v>107.48</v>
      </c>
      <c r="J47">
        <v>113.28</v>
      </c>
      <c r="K47">
        <v>101.68</v>
      </c>
      <c r="L47">
        <v>2.8723000000000001</v>
      </c>
      <c r="M47" s="13" t="s">
        <v>1112</v>
      </c>
      <c r="N47" s="13" t="s">
        <v>1116</v>
      </c>
      <c r="O47" s="13" t="s">
        <v>822</v>
      </c>
    </row>
    <row r="48" spans="1:15" x14ac:dyDescent="0.3">
      <c r="A48">
        <v>74</v>
      </c>
      <c r="B48" t="s">
        <v>914</v>
      </c>
      <c r="C48" s="76">
        <v>46213</v>
      </c>
      <c r="D48">
        <v>440</v>
      </c>
      <c r="E48">
        <v>446</v>
      </c>
      <c r="F48">
        <v>437.2</v>
      </c>
      <c r="G48">
        <v>443.05</v>
      </c>
      <c r="H48">
        <v>3238469</v>
      </c>
      <c r="I48">
        <v>435.54</v>
      </c>
      <c r="J48">
        <v>455.11</v>
      </c>
      <c r="K48">
        <v>415.98</v>
      </c>
      <c r="L48">
        <v>9.6849000000000007</v>
      </c>
      <c r="M48" s="13" t="s">
        <v>1112</v>
      </c>
      <c r="N48" s="13" t="s">
        <v>1113</v>
      </c>
      <c r="O48" s="13" t="s">
        <v>1114</v>
      </c>
    </row>
    <row r="49" spans="1:15" x14ac:dyDescent="0.3">
      <c r="A49">
        <v>76</v>
      </c>
      <c r="B49" t="s">
        <v>850</v>
      </c>
      <c r="C49" s="76">
        <v>46213</v>
      </c>
      <c r="D49">
        <v>345.15</v>
      </c>
      <c r="E49">
        <v>349.5</v>
      </c>
      <c r="F49">
        <v>342.55</v>
      </c>
      <c r="G49">
        <v>346.05</v>
      </c>
      <c r="H49">
        <v>4099400</v>
      </c>
      <c r="I49">
        <v>335.14</v>
      </c>
      <c r="J49">
        <v>356.31</v>
      </c>
      <c r="K49">
        <v>313.97000000000003</v>
      </c>
      <c r="L49">
        <v>10.4818</v>
      </c>
      <c r="M49" s="13" t="s">
        <v>1112</v>
      </c>
      <c r="N49" s="13" t="s">
        <v>1113</v>
      </c>
      <c r="O49" s="13" t="s">
        <v>1114</v>
      </c>
    </row>
    <row r="50" spans="1:15" x14ac:dyDescent="0.3">
      <c r="A50">
        <v>78</v>
      </c>
      <c r="B50" t="s">
        <v>149</v>
      </c>
      <c r="C50" s="76">
        <v>46213</v>
      </c>
      <c r="D50">
        <v>2283.9</v>
      </c>
      <c r="E50">
        <v>2304.1</v>
      </c>
      <c r="F50">
        <v>2247</v>
      </c>
      <c r="G50">
        <v>2282.9</v>
      </c>
      <c r="H50">
        <v>602305</v>
      </c>
      <c r="I50">
        <v>2238.75</v>
      </c>
      <c r="J50">
        <v>2349.5500000000002</v>
      </c>
      <c r="K50">
        <v>2127.94</v>
      </c>
      <c r="L50">
        <v>54.854500000000002</v>
      </c>
      <c r="M50" s="13" t="s">
        <v>1112</v>
      </c>
      <c r="N50" s="13" t="s">
        <v>1113</v>
      </c>
      <c r="O50" s="13" t="s">
        <v>1114</v>
      </c>
    </row>
    <row r="51" spans="1:15" x14ac:dyDescent="0.3">
      <c r="A51">
        <v>81</v>
      </c>
      <c r="B51" t="s">
        <v>868</v>
      </c>
      <c r="C51" s="76">
        <v>46213</v>
      </c>
      <c r="D51">
        <v>916.95</v>
      </c>
      <c r="E51">
        <v>923.7</v>
      </c>
      <c r="F51">
        <v>913.55</v>
      </c>
      <c r="G51">
        <v>916.6</v>
      </c>
      <c r="H51">
        <v>2065106</v>
      </c>
      <c r="I51">
        <v>921.62</v>
      </c>
      <c r="J51">
        <v>967.95</v>
      </c>
      <c r="K51">
        <v>875.28</v>
      </c>
      <c r="L51">
        <v>22.939399999999999</v>
      </c>
      <c r="M51" s="13" t="s">
        <v>1112</v>
      </c>
      <c r="N51" s="13" t="s">
        <v>1116</v>
      </c>
      <c r="O51" s="13" t="s">
        <v>822</v>
      </c>
    </row>
    <row r="52" spans="1:15" x14ac:dyDescent="0.3">
      <c r="A52">
        <v>84</v>
      </c>
      <c r="B52" t="s">
        <v>51</v>
      </c>
      <c r="C52" s="76">
        <v>46213</v>
      </c>
      <c r="D52">
        <v>2695</v>
      </c>
      <c r="E52">
        <v>2728.2</v>
      </c>
      <c r="F52">
        <v>2672.9</v>
      </c>
      <c r="G52">
        <v>2677.8</v>
      </c>
      <c r="H52">
        <v>982095</v>
      </c>
      <c r="I52">
        <v>2747.31</v>
      </c>
      <c r="J52">
        <v>2860.15</v>
      </c>
      <c r="K52">
        <v>2634.47</v>
      </c>
      <c r="L52">
        <v>55.862699999999997</v>
      </c>
      <c r="M52" s="13" t="s">
        <v>1112</v>
      </c>
      <c r="N52" s="13" t="s">
        <v>1116</v>
      </c>
      <c r="O52" s="13" t="s">
        <v>822</v>
      </c>
    </row>
    <row r="53" spans="1:15" x14ac:dyDescent="0.3">
      <c r="A53">
        <v>86</v>
      </c>
      <c r="B53" t="s">
        <v>91</v>
      </c>
      <c r="C53" s="76">
        <v>46213</v>
      </c>
      <c r="D53">
        <v>42325</v>
      </c>
      <c r="E53">
        <v>42485</v>
      </c>
      <c r="F53">
        <v>41720</v>
      </c>
      <c r="G53">
        <v>41815</v>
      </c>
      <c r="H53">
        <v>12016</v>
      </c>
      <c r="I53">
        <v>42195.21</v>
      </c>
      <c r="J53">
        <v>43965.25</v>
      </c>
      <c r="K53">
        <v>40425.160000000003</v>
      </c>
      <c r="L53">
        <v>876.25969999999995</v>
      </c>
      <c r="M53" s="13" t="s">
        <v>1112</v>
      </c>
      <c r="N53" s="13" t="s">
        <v>1116</v>
      </c>
      <c r="O53" s="13" t="s">
        <v>822</v>
      </c>
    </row>
    <row r="54" spans="1:15" x14ac:dyDescent="0.3">
      <c r="A54">
        <v>87</v>
      </c>
      <c r="B54" t="s">
        <v>107</v>
      </c>
      <c r="C54" s="76">
        <v>46213</v>
      </c>
      <c r="D54">
        <v>1441.3</v>
      </c>
      <c r="E54">
        <v>1454.5</v>
      </c>
      <c r="F54">
        <v>1435</v>
      </c>
      <c r="G54">
        <v>1439.4</v>
      </c>
      <c r="H54">
        <v>745842</v>
      </c>
      <c r="I54">
        <v>1398.79</v>
      </c>
      <c r="J54">
        <v>1456.5</v>
      </c>
      <c r="K54">
        <v>1341.08</v>
      </c>
      <c r="L54">
        <v>28.5688</v>
      </c>
      <c r="M54" s="13" t="s">
        <v>1112</v>
      </c>
      <c r="N54" s="13" t="s">
        <v>1113</v>
      </c>
      <c r="O54" s="13" t="s">
        <v>1114</v>
      </c>
    </row>
    <row r="55" spans="1:15" x14ac:dyDescent="0.3">
      <c r="A55">
        <v>88</v>
      </c>
      <c r="B55" t="s">
        <v>89</v>
      </c>
      <c r="C55" s="76">
        <v>46213</v>
      </c>
      <c r="D55">
        <v>407.2</v>
      </c>
      <c r="E55">
        <v>419.8</v>
      </c>
      <c r="F55">
        <v>404</v>
      </c>
      <c r="G55">
        <v>418.5</v>
      </c>
      <c r="H55">
        <v>4324350</v>
      </c>
      <c r="I55">
        <v>403.53</v>
      </c>
      <c r="J55">
        <v>424.62</v>
      </c>
      <c r="K55">
        <v>382.45</v>
      </c>
      <c r="L55">
        <v>10.438800000000001</v>
      </c>
      <c r="M55" s="13" t="s">
        <v>1112</v>
      </c>
      <c r="N55" s="13" t="s">
        <v>1113</v>
      </c>
      <c r="O55" s="13" t="s">
        <v>1114</v>
      </c>
    </row>
    <row r="56" spans="1:15" x14ac:dyDescent="0.3">
      <c r="A56">
        <v>90</v>
      </c>
      <c r="B56" t="s">
        <v>119</v>
      </c>
      <c r="C56" s="76">
        <v>46213</v>
      </c>
      <c r="D56">
        <v>260</v>
      </c>
      <c r="E56">
        <v>264.55</v>
      </c>
      <c r="F56">
        <v>260</v>
      </c>
      <c r="G56">
        <v>261.7</v>
      </c>
      <c r="H56">
        <v>1978921</v>
      </c>
      <c r="I56">
        <v>270.91000000000003</v>
      </c>
      <c r="J56">
        <v>288.08</v>
      </c>
      <c r="K56">
        <v>253.73</v>
      </c>
      <c r="L56">
        <v>8.5005000000000006</v>
      </c>
      <c r="M56" s="13" t="s">
        <v>1112</v>
      </c>
      <c r="N56" s="13" t="s">
        <v>1116</v>
      </c>
      <c r="O56" s="13" t="s">
        <v>822</v>
      </c>
    </row>
    <row r="57" spans="1:15" x14ac:dyDescent="0.3">
      <c r="A57">
        <v>91</v>
      </c>
      <c r="B57" t="s">
        <v>209</v>
      </c>
      <c r="C57" s="76">
        <v>46213</v>
      </c>
      <c r="D57">
        <v>5260</v>
      </c>
      <c r="E57">
        <v>5363</v>
      </c>
      <c r="F57">
        <v>5260</v>
      </c>
      <c r="G57">
        <v>5312</v>
      </c>
      <c r="H57">
        <v>458026</v>
      </c>
      <c r="I57">
        <v>5405.76</v>
      </c>
      <c r="J57">
        <v>5668.79</v>
      </c>
      <c r="K57">
        <v>5142.72</v>
      </c>
      <c r="L57">
        <v>130.21440000000001</v>
      </c>
      <c r="M57" s="13" t="s">
        <v>1112</v>
      </c>
      <c r="N57" s="13" t="s">
        <v>1116</v>
      </c>
      <c r="O57" s="13" t="s">
        <v>822</v>
      </c>
    </row>
    <row r="58" spans="1:15" x14ac:dyDescent="0.3">
      <c r="A58">
        <v>92</v>
      </c>
      <c r="B58" t="s">
        <v>113</v>
      </c>
      <c r="C58" s="76">
        <v>46213</v>
      </c>
      <c r="D58">
        <v>2069.4</v>
      </c>
      <c r="E58">
        <v>2071.9</v>
      </c>
      <c r="F58">
        <v>2047.1</v>
      </c>
      <c r="G58">
        <v>2052.4</v>
      </c>
      <c r="H58">
        <v>120766</v>
      </c>
      <c r="I58">
        <v>2005.7</v>
      </c>
      <c r="J58">
        <v>2109.0100000000002</v>
      </c>
      <c r="K58">
        <v>1902.39</v>
      </c>
      <c r="L58">
        <v>51.143900000000002</v>
      </c>
      <c r="M58" s="13" t="s">
        <v>1112</v>
      </c>
      <c r="N58" s="13" t="s">
        <v>1113</v>
      </c>
      <c r="O58" s="13" t="s">
        <v>1114</v>
      </c>
    </row>
    <row r="59" spans="1:15" x14ac:dyDescent="0.3">
      <c r="A59">
        <v>93</v>
      </c>
      <c r="B59" t="s">
        <v>864</v>
      </c>
      <c r="C59" s="76">
        <v>46213</v>
      </c>
      <c r="D59">
        <v>777.9</v>
      </c>
      <c r="E59">
        <v>795.4</v>
      </c>
      <c r="F59">
        <v>777.9</v>
      </c>
      <c r="G59">
        <v>790.5</v>
      </c>
      <c r="H59">
        <v>1579501</v>
      </c>
      <c r="I59">
        <v>761.39</v>
      </c>
      <c r="J59">
        <v>807.68</v>
      </c>
      <c r="K59">
        <v>715.1</v>
      </c>
      <c r="L59">
        <v>22.915500000000002</v>
      </c>
      <c r="M59" s="13" t="s">
        <v>1112</v>
      </c>
      <c r="N59" s="13" t="s">
        <v>1113</v>
      </c>
      <c r="O59" s="13" t="s">
        <v>1114</v>
      </c>
    </row>
    <row r="60" spans="1:15" x14ac:dyDescent="0.3">
      <c r="A60">
        <v>94</v>
      </c>
      <c r="B60" t="s">
        <v>335</v>
      </c>
      <c r="C60" s="76">
        <v>46213</v>
      </c>
      <c r="D60">
        <v>3490.7</v>
      </c>
      <c r="E60">
        <v>3542</v>
      </c>
      <c r="F60">
        <v>3486</v>
      </c>
      <c r="G60">
        <v>3496.5</v>
      </c>
      <c r="H60">
        <v>231262</v>
      </c>
      <c r="I60">
        <v>3666.17</v>
      </c>
      <c r="J60">
        <v>3864.32</v>
      </c>
      <c r="K60">
        <v>3468.01</v>
      </c>
      <c r="L60">
        <v>98.096500000000006</v>
      </c>
      <c r="M60" s="13" t="s">
        <v>1112</v>
      </c>
      <c r="N60" s="13" t="s">
        <v>1116</v>
      </c>
      <c r="O60" s="13" t="s">
        <v>822</v>
      </c>
    </row>
    <row r="61" spans="1:15" x14ac:dyDescent="0.3">
      <c r="A61">
        <v>95</v>
      </c>
      <c r="B61" t="s">
        <v>844</v>
      </c>
      <c r="C61" s="76">
        <v>46213</v>
      </c>
      <c r="D61">
        <v>1505</v>
      </c>
      <c r="E61">
        <v>1546.8</v>
      </c>
      <c r="F61">
        <v>1495.7</v>
      </c>
      <c r="G61">
        <v>1536.6</v>
      </c>
      <c r="H61">
        <v>2070226</v>
      </c>
      <c r="I61">
        <v>1489.79</v>
      </c>
      <c r="J61">
        <v>1579.41</v>
      </c>
      <c r="K61">
        <v>1400.16</v>
      </c>
      <c r="L61">
        <v>44.370199999999997</v>
      </c>
      <c r="M61" s="13" t="s">
        <v>1112</v>
      </c>
      <c r="N61" s="13" t="s">
        <v>1113</v>
      </c>
      <c r="O61" s="13" t="s">
        <v>1114</v>
      </c>
    </row>
    <row r="62" spans="1:15" x14ac:dyDescent="0.3">
      <c r="A62">
        <v>96</v>
      </c>
      <c r="B62" t="s">
        <v>361</v>
      </c>
      <c r="C62" s="76">
        <v>46213</v>
      </c>
      <c r="D62">
        <v>4578.6000000000004</v>
      </c>
      <c r="E62">
        <v>4602.8</v>
      </c>
      <c r="F62">
        <v>4560.7</v>
      </c>
      <c r="G62">
        <v>4584.3999999999996</v>
      </c>
      <c r="H62">
        <v>652646</v>
      </c>
      <c r="I62">
        <v>4595.4799999999996</v>
      </c>
      <c r="J62">
        <v>4768.1400000000003</v>
      </c>
      <c r="K62">
        <v>4422.82</v>
      </c>
      <c r="L62">
        <v>85.474699999999999</v>
      </c>
      <c r="M62" s="13" t="s">
        <v>1112</v>
      </c>
      <c r="N62" s="13" t="s">
        <v>1116</v>
      </c>
      <c r="O62" s="13" t="s">
        <v>822</v>
      </c>
    </row>
    <row r="63" spans="1:15" x14ac:dyDescent="0.3">
      <c r="A63">
        <v>97</v>
      </c>
      <c r="B63" t="s">
        <v>329</v>
      </c>
      <c r="C63" s="76">
        <v>46213</v>
      </c>
      <c r="D63">
        <v>1029.5</v>
      </c>
      <c r="E63">
        <v>1047.8</v>
      </c>
      <c r="F63">
        <v>1023.5</v>
      </c>
      <c r="G63">
        <v>1036</v>
      </c>
      <c r="H63">
        <v>8792150</v>
      </c>
      <c r="I63">
        <v>1032.8</v>
      </c>
      <c r="J63">
        <v>1072</v>
      </c>
      <c r="K63">
        <v>993.6</v>
      </c>
      <c r="L63">
        <v>19.4069</v>
      </c>
      <c r="M63" s="13" t="s">
        <v>1112</v>
      </c>
      <c r="N63" s="13" t="s">
        <v>1113</v>
      </c>
      <c r="O63" s="13" t="s">
        <v>1114</v>
      </c>
    </row>
    <row r="64" spans="1:15" x14ac:dyDescent="0.3">
      <c r="A64">
        <v>99</v>
      </c>
      <c r="B64" t="s">
        <v>26</v>
      </c>
      <c r="C64" s="76">
        <v>46213</v>
      </c>
      <c r="D64">
        <v>6835</v>
      </c>
      <c r="E64">
        <v>6911</v>
      </c>
      <c r="F64">
        <v>6812</v>
      </c>
      <c r="G64">
        <v>6836</v>
      </c>
      <c r="H64">
        <v>110261</v>
      </c>
      <c r="I64">
        <v>7045.13</v>
      </c>
      <c r="J64">
        <v>7390.68</v>
      </c>
      <c r="K64">
        <v>6699.58</v>
      </c>
      <c r="L64">
        <v>171.0643</v>
      </c>
      <c r="M64" s="13" t="s">
        <v>1112</v>
      </c>
      <c r="N64" s="13" t="s">
        <v>1116</v>
      </c>
      <c r="O64" s="13" t="s">
        <v>822</v>
      </c>
    </row>
    <row r="65" spans="1:15" x14ac:dyDescent="0.3">
      <c r="A65">
        <v>100</v>
      </c>
      <c r="B65" t="s">
        <v>884</v>
      </c>
      <c r="C65" s="76">
        <v>46213</v>
      </c>
      <c r="D65">
        <v>2113.4</v>
      </c>
      <c r="E65">
        <v>2131</v>
      </c>
      <c r="F65">
        <v>2099.1</v>
      </c>
      <c r="G65">
        <v>2115.3000000000002</v>
      </c>
      <c r="H65">
        <v>107592</v>
      </c>
      <c r="I65">
        <v>2323.06</v>
      </c>
      <c r="J65">
        <v>2520.58</v>
      </c>
      <c r="K65">
        <v>2125.5300000000002</v>
      </c>
      <c r="L65">
        <v>97.783699999999996</v>
      </c>
      <c r="M65" s="13" t="s">
        <v>1112</v>
      </c>
      <c r="N65" s="13" t="s">
        <v>1118</v>
      </c>
      <c r="O65" s="13" t="s">
        <v>1119</v>
      </c>
    </row>
    <row r="66" spans="1:15" x14ac:dyDescent="0.3">
      <c r="A66">
        <v>101</v>
      </c>
      <c r="B66" t="s">
        <v>980</v>
      </c>
      <c r="C66" s="76">
        <v>46213</v>
      </c>
      <c r="D66">
        <v>334.55</v>
      </c>
      <c r="E66">
        <v>340.25</v>
      </c>
      <c r="F66">
        <v>333.65</v>
      </c>
      <c r="G66">
        <v>337.95</v>
      </c>
      <c r="H66">
        <v>19331002</v>
      </c>
      <c r="I66">
        <v>361.26</v>
      </c>
      <c r="J66">
        <v>383.43</v>
      </c>
      <c r="K66">
        <v>339.1</v>
      </c>
      <c r="L66">
        <v>10.9726</v>
      </c>
      <c r="M66" s="13" t="s">
        <v>1112</v>
      </c>
      <c r="N66" s="13" t="s">
        <v>1118</v>
      </c>
      <c r="O66" s="13" t="s">
        <v>1119</v>
      </c>
    </row>
    <row r="67" spans="1:15" x14ac:dyDescent="0.3">
      <c r="A67">
        <v>102</v>
      </c>
      <c r="B67" t="s">
        <v>960</v>
      </c>
      <c r="C67" s="76">
        <v>46213</v>
      </c>
      <c r="D67">
        <v>4120.8</v>
      </c>
      <c r="E67">
        <v>4142.8999999999996</v>
      </c>
      <c r="F67">
        <v>4060</v>
      </c>
      <c r="G67">
        <v>4073.7</v>
      </c>
      <c r="H67">
        <v>303434</v>
      </c>
      <c r="I67">
        <v>4094.16</v>
      </c>
      <c r="J67">
        <v>4280.25</v>
      </c>
      <c r="K67">
        <v>3908.06</v>
      </c>
      <c r="L67">
        <v>92.124899999999997</v>
      </c>
      <c r="M67" s="13" t="s">
        <v>1112</v>
      </c>
      <c r="N67" s="13" t="s">
        <v>1116</v>
      </c>
      <c r="O67" s="13" t="s">
        <v>822</v>
      </c>
    </row>
    <row r="68" spans="1:15" x14ac:dyDescent="0.3">
      <c r="A68">
        <v>104</v>
      </c>
      <c r="B68" t="s">
        <v>289</v>
      </c>
      <c r="C68" s="76">
        <v>46213</v>
      </c>
      <c r="D68">
        <v>11340</v>
      </c>
      <c r="E68">
        <v>11685</v>
      </c>
      <c r="F68">
        <v>11249</v>
      </c>
      <c r="G68">
        <v>11651</v>
      </c>
      <c r="H68">
        <v>462353</v>
      </c>
      <c r="I68">
        <v>11203.08</v>
      </c>
      <c r="J68">
        <v>11740.17</v>
      </c>
      <c r="K68">
        <v>10666</v>
      </c>
      <c r="L68">
        <v>265.88229999999999</v>
      </c>
      <c r="M68" s="13" t="s">
        <v>1112</v>
      </c>
      <c r="N68" s="13" t="s">
        <v>1113</v>
      </c>
      <c r="O68" s="13" t="s">
        <v>1114</v>
      </c>
    </row>
    <row r="69" spans="1:15" x14ac:dyDescent="0.3">
      <c r="A69">
        <v>105</v>
      </c>
      <c r="B69" t="s">
        <v>238</v>
      </c>
      <c r="C69" s="76">
        <v>46213</v>
      </c>
      <c r="D69">
        <v>1517</v>
      </c>
      <c r="E69">
        <v>1548</v>
      </c>
      <c r="F69">
        <v>1504.1</v>
      </c>
      <c r="G69">
        <v>1537.8</v>
      </c>
      <c r="H69">
        <v>2041624</v>
      </c>
      <c r="I69">
        <v>1509.85</v>
      </c>
      <c r="J69">
        <v>1566.75</v>
      </c>
      <c r="K69">
        <v>1452.94</v>
      </c>
      <c r="L69">
        <v>28.169699999999999</v>
      </c>
      <c r="M69" s="13" t="s">
        <v>1112</v>
      </c>
      <c r="N69" s="13" t="s">
        <v>1113</v>
      </c>
      <c r="O69" s="13" t="s">
        <v>1114</v>
      </c>
    </row>
    <row r="70" spans="1:15" x14ac:dyDescent="0.3">
      <c r="A70">
        <v>106</v>
      </c>
      <c r="B70" t="s">
        <v>193</v>
      </c>
      <c r="C70" s="76">
        <v>46213</v>
      </c>
      <c r="D70">
        <v>14.15</v>
      </c>
      <c r="E70">
        <v>14.33</v>
      </c>
      <c r="F70">
        <v>14.02</v>
      </c>
      <c r="G70">
        <v>14.19</v>
      </c>
      <c r="H70">
        <v>273282577</v>
      </c>
      <c r="I70">
        <v>14.44</v>
      </c>
      <c r="J70">
        <v>15.37</v>
      </c>
      <c r="K70">
        <v>13.51</v>
      </c>
      <c r="L70">
        <v>0.45929999999999999</v>
      </c>
      <c r="M70" s="13" t="s">
        <v>1112</v>
      </c>
      <c r="N70" s="13" t="s">
        <v>1116</v>
      </c>
      <c r="O70" s="13" t="s">
        <v>822</v>
      </c>
    </row>
    <row r="71" spans="1:15" x14ac:dyDescent="0.3">
      <c r="A71">
        <v>110</v>
      </c>
      <c r="B71" t="s">
        <v>197</v>
      </c>
      <c r="C71" s="76">
        <v>46213</v>
      </c>
      <c r="D71">
        <v>79.900000000000006</v>
      </c>
      <c r="E71">
        <v>81.37</v>
      </c>
      <c r="F71">
        <v>79.790000000000006</v>
      </c>
      <c r="G71">
        <v>80.83</v>
      </c>
      <c r="H71">
        <v>14703154</v>
      </c>
      <c r="I71">
        <v>80.88</v>
      </c>
      <c r="J71">
        <v>84.71</v>
      </c>
      <c r="K71">
        <v>77.06</v>
      </c>
      <c r="L71">
        <v>1.8925000000000001</v>
      </c>
      <c r="M71" s="13" t="s">
        <v>1112</v>
      </c>
      <c r="N71" s="13" t="s">
        <v>1116</v>
      </c>
      <c r="O71" s="13" t="s">
        <v>822</v>
      </c>
    </row>
    <row r="72" spans="1:15" x14ac:dyDescent="0.3">
      <c r="A72">
        <v>112</v>
      </c>
      <c r="B72" t="s">
        <v>882</v>
      </c>
      <c r="C72" s="76">
        <v>46213</v>
      </c>
      <c r="D72">
        <v>112.64</v>
      </c>
      <c r="E72">
        <v>113.2</v>
      </c>
      <c r="F72">
        <v>112</v>
      </c>
      <c r="G72">
        <v>112.51</v>
      </c>
      <c r="H72">
        <v>10389470</v>
      </c>
      <c r="I72">
        <v>107.84</v>
      </c>
      <c r="J72">
        <v>113.32</v>
      </c>
      <c r="K72">
        <v>102.36</v>
      </c>
      <c r="L72">
        <v>2.7122000000000002</v>
      </c>
      <c r="M72" s="13" t="s">
        <v>1112</v>
      </c>
      <c r="N72" s="13" t="s">
        <v>1113</v>
      </c>
      <c r="O72" s="13" t="s">
        <v>1114</v>
      </c>
    </row>
    <row r="73" spans="1:15" x14ac:dyDescent="0.3">
      <c r="A73">
        <v>113</v>
      </c>
      <c r="B73" t="s">
        <v>920</v>
      </c>
      <c r="C73" s="76">
        <v>46213</v>
      </c>
      <c r="D73">
        <v>3903.1</v>
      </c>
      <c r="E73">
        <v>4083.2</v>
      </c>
      <c r="F73">
        <v>3900</v>
      </c>
      <c r="G73">
        <v>4037.2</v>
      </c>
      <c r="H73">
        <v>1024019</v>
      </c>
      <c r="I73">
        <v>4037.2</v>
      </c>
      <c r="J73">
        <v>4317.84</v>
      </c>
      <c r="K73">
        <v>3756.56</v>
      </c>
      <c r="L73">
        <v>138.93180000000001</v>
      </c>
      <c r="M73" s="13" t="s">
        <v>1112</v>
      </c>
      <c r="N73" s="13" t="s">
        <v>1115</v>
      </c>
      <c r="O73" s="13" t="s">
        <v>1114</v>
      </c>
    </row>
    <row r="74" spans="1:15" x14ac:dyDescent="0.3">
      <c r="A74">
        <v>114</v>
      </c>
      <c r="B74" t="s">
        <v>287</v>
      </c>
      <c r="C74" s="76">
        <v>46213</v>
      </c>
      <c r="D74">
        <v>1890.1</v>
      </c>
      <c r="E74">
        <v>1934.1</v>
      </c>
      <c r="F74">
        <v>1846</v>
      </c>
      <c r="G74">
        <v>1924.8</v>
      </c>
      <c r="H74">
        <v>752660</v>
      </c>
      <c r="I74">
        <v>1926.1</v>
      </c>
      <c r="J74">
        <v>2025.45</v>
      </c>
      <c r="K74">
        <v>1826.75</v>
      </c>
      <c r="L74">
        <v>49.1815</v>
      </c>
      <c r="M74" s="13" t="s">
        <v>1112</v>
      </c>
      <c r="N74" s="13" t="s">
        <v>1116</v>
      </c>
      <c r="O74" s="13" t="s">
        <v>822</v>
      </c>
    </row>
    <row r="75" spans="1:15" x14ac:dyDescent="0.3">
      <c r="A75">
        <v>115</v>
      </c>
      <c r="B75" t="s">
        <v>990</v>
      </c>
      <c r="C75" s="76">
        <v>46213</v>
      </c>
      <c r="D75">
        <v>118.19</v>
      </c>
      <c r="E75">
        <v>119.33</v>
      </c>
      <c r="F75">
        <v>117.02</v>
      </c>
      <c r="G75">
        <v>118.79</v>
      </c>
      <c r="H75">
        <v>5762497</v>
      </c>
      <c r="I75">
        <v>118.36</v>
      </c>
      <c r="J75">
        <v>126.86</v>
      </c>
      <c r="K75">
        <v>109.86</v>
      </c>
      <c r="L75">
        <v>4.2072000000000003</v>
      </c>
      <c r="M75" s="13" t="s">
        <v>1112</v>
      </c>
      <c r="N75" s="13" t="s">
        <v>1113</v>
      </c>
      <c r="O75" s="13" t="s">
        <v>1114</v>
      </c>
    </row>
    <row r="76" spans="1:15" x14ac:dyDescent="0.3">
      <c r="A76">
        <v>119</v>
      </c>
      <c r="B76" t="s">
        <v>269</v>
      </c>
      <c r="C76" s="76">
        <v>46213</v>
      </c>
      <c r="D76">
        <v>2292.1999999999998</v>
      </c>
      <c r="E76">
        <v>2363</v>
      </c>
      <c r="F76">
        <v>2292</v>
      </c>
      <c r="G76">
        <v>2321.9</v>
      </c>
      <c r="H76">
        <v>664698</v>
      </c>
      <c r="I76">
        <v>2315.17</v>
      </c>
      <c r="J76">
        <v>2475.0700000000002</v>
      </c>
      <c r="K76">
        <v>2155.27</v>
      </c>
      <c r="L76">
        <v>79.160200000000003</v>
      </c>
      <c r="M76" s="13" t="s">
        <v>1112</v>
      </c>
      <c r="N76" s="13" t="s">
        <v>1113</v>
      </c>
      <c r="O76" s="13" t="s">
        <v>1114</v>
      </c>
    </row>
    <row r="77" spans="1:15" x14ac:dyDescent="0.3">
      <c r="A77">
        <v>120</v>
      </c>
      <c r="B77" t="s">
        <v>936</v>
      </c>
      <c r="C77" s="76">
        <v>46213</v>
      </c>
      <c r="D77">
        <v>1960</v>
      </c>
      <c r="E77">
        <v>1993.7</v>
      </c>
      <c r="F77">
        <v>1943.8</v>
      </c>
      <c r="G77">
        <v>1977.6</v>
      </c>
      <c r="H77">
        <v>512282</v>
      </c>
      <c r="I77">
        <v>1977.6</v>
      </c>
      <c r="J77">
        <v>2078.21</v>
      </c>
      <c r="K77">
        <v>1876.99</v>
      </c>
      <c r="L77">
        <v>49.8078</v>
      </c>
      <c r="M77" s="13" t="s">
        <v>1112</v>
      </c>
      <c r="N77" s="13" t="s">
        <v>1115</v>
      </c>
      <c r="O77" s="13" t="s">
        <v>1114</v>
      </c>
    </row>
    <row r="78" spans="1:15" x14ac:dyDescent="0.3">
      <c r="A78">
        <v>121</v>
      </c>
      <c r="B78" t="s">
        <v>277</v>
      </c>
      <c r="C78" s="76">
        <v>46213</v>
      </c>
      <c r="D78">
        <v>1215</v>
      </c>
      <c r="E78">
        <v>1229.0999999999999</v>
      </c>
      <c r="F78">
        <v>1201.0999999999999</v>
      </c>
      <c r="G78">
        <v>1204.05</v>
      </c>
      <c r="H78">
        <v>2000844</v>
      </c>
      <c r="I78">
        <v>1155.5899999999999</v>
      </c>
      <c r="J78">
        <v>1231.94</v>
      </c>
      <c r="K78">
        <v>1079.25</v>
      </c>
      <c r="L78">
        <v>37.793599999999998</v>
      </c>
      <c r="M78" s="13" t="s">
        <v>1112</v>
      </c>
      <c r="N78" s="13" t="s">
        <v>1113</v>
      </c>
      <c r="O78" s="13" t="s">
        <v>1114</v>
      </c>
    </row>
    <row r="79" spans="1:15" x14ac:dyDescent="0.3">
      <c r="A79">
        <v>123</v>
      </c>
      <c r="B79" t="s">
        <v>252</v>
      </c>
      <c r="C79" s="76">
        <v>46213</v>
      </c>
      <c r="D79">
        <v>334.2</v>
      </c>
      <c r="E79">
        <v>342.95</v>
      </c>
      <c r="F79">
        <v>334.2</v>
      </c>
      <c r="G79">
        <v>341.3</v>
      </c>
      <c r="H79">
        <v>1912160</v>
      </c>
      <c r="I79">
        <v>344.91</v>
      </c>
      <c r="J79">
        <v>362.55</v>
      </c>
      <c r="K79">
        <v>327.27999999999997</v>
      </c>
      <c r="L79">
        <v>8.7312999999999992</v>
      </c>
      <c r="M79" s="13" t="s">
        <v>1112</v>
      </c>
      <c r="N79" s="13" t="s">
        <v>1116</v>
      </c>
      <c r="O79" s="13" t="s">
        <v>822</v>
      </c>
    </row>
    <row r="80" spans="1:15" x14ac:dyDescent="0.3">
      <c r="A80">
        <v>125</v>
      </c>
      <c r="B80" t="s">
        <v>263</v>
      </c>
      <c r="C80" s="76">
        <v>46213</v>
      </c>
      <c r="D80">
        <v>1587</v>
      </c>
      <c r="E80">
        <v>1638.1</v>
      </c>
      <c r="F80">
        <v>1584.3</v>
      </c>
      <c r="G80">
        <v>1633.1</v>
      </c>
      <c r="H80">
        <v>774815</v>
      </c>
      <c r="I80">
        <v>1619.85</v>
      </c>
      <c r="J80">
        <v>1701.89</v>
      </c>
      <c r="K80">
        <v>1537.82</v>
      </c>
      <c r="L80">
        <v>40.610300000000002</v>
      </c>
      <c r="M80" s="13" t="s">
        <v>1112</v>
      </c>
      <c r="N80" s="13" t="s">
        <v>1113</v>
      </c>
      <c r="O80" s="13" t="s">
        <v>1114</v>
      </c>
    </row>
    <row r="81" spans="1:15" x14ac:dyDescent="0.3">
      <c r="A81">
        <v>126</v>
      </c>
      <c r="B81" t="s">
        <v>143</v>
      </c>
      <c r="C81" s="76">
        <v>46213</v>
      </c>
      <c r="D81">
        <v>429</v>
      </c>
      <c r="E81">
        <v>431</v>
      </c>
      <c r="F81">
        <v>422.15</v>
      </c>
      <c r="G81">
        <v>424.4</v>
      </c>
      <c r="H81">
        <v>3513217</v>
      </c>
      <c r="I81">
        <v>417.24</v>
      </c>
      <c r="J81">
        <v>438.15</v>
      </c>
      <c r="K81">
        <v>396.32</v>
      </c>
      <c r="L81">
        <v>10.354100000000001</v>
      </c>
      <c r="M81" s="13" t="s">
        <v>1112</v>
      </c>
      <c r="N81" s="13" t="s">
        <v>1113</v>
      </c>
      <c r="O81" s="13" t="s">
        <v>1114</v>
      </c>
    </row>
    <row r="82" spans="1:15" x14ac:dyDescent="0.3">
      <c r="A82">
        <v>128</v>
      </c>
      <c r="B82" t="s">
        <v>267</v>
      </c>
      <c r="C82" s="76">
        <v>46213</v>
      </c>
      <c r="D82">
        <v>144.19999999999999</v>
      </c>
      <c r="E82">
        <v>144.85</v>
      </c>
      <c r="F82">
        <v>142.62</v>
      </c>
      <c r="G82">
        <v>143.19</v>
      </c>
      <c r="H82">
        <v>8178532</v>
      </c>
      <c r="I82">
        <v>150.44</v>
      </c>
      <c r="J82">
        <v>158.01</v>
      </c>
      <c r="K82">
        <v>142.87</v>
      </c>
      <c r="L82">
        <v>3.7458999999999998</v>
      </c>
      <c r="M82" s="13" t="s">
        <v>1112</v>
      </c>
      <c r="N82" s="13" t="s">
        <v>1116</v>
      </c>
      <c r="O82" s="13" t="s">
        <v>822</v>
      </c>
    </row>
    <row r="83" spans="1:15" x14ac:dyDescent="0.3">
      <c r="A83">
        <v>129</v>
      </c>
      <c r="B83" t="s">
        <v>173</v>
      </c>
      <c r="C83" s="76">
        <v>46213</v>
      </c>
      <c r="D83">
        <v>824</v>
      </c>
      <c r="E83">
        <v>827.7</v>
      </c>
      <c r="F83">
        <v>820.3</v>
      </c>
      <c r="G83">
        <v>824.95</v>
      </c>
      <c r="H83">
        <v>23595785</v>
      </c>
      <c r="I83">
        <v>827.66</v>
      </c>
      <c r="J83">
        <v>860.2</v>
      </c>
      <c r="K83">
        <v>795.11</v>
      </c>
      <c r="L83">
        <v>16.1126</v>
      </c>
      <c r="M83" s="13" t="s">
        <v>1112</v>
      </c>
      <c r="N83" s="13" t="s">
        <v>1116</v>
      </c>
      <c r="O83" s="13" t="s">
        <v>822</v>
      </c>
    </row>
    <row r="84" spans="1:15" x14ac:dyDescent="0.3">
      <c r="A84">
        <v>131</v>
      </c>
      <c r="B84" t="s">
        <v>944</v>
      </c>
      <c r="C84" s="76">
        <v>46213</v>
      </c>
      <c r="D84">
        <v>1268.9000000000001</v>
      </c>
      <c r="E84">
        <v>1359</v>
      </c>
      <c r="F84">
        <v>1268.9000000000001</v>
      </c>
      <c r="G84">
        <v>1341.8</v>
      </c>
      <c r="H84">
        <v>6813451</v>
      </c>
      <c r="I84">
        <v>1341.8</v>
      </c>
      <c r="J84">
        <v>1418.34</v>
      </c>
      <c r="K84">
        <v>1265.26</v>
      </c>
      <c r="L84">
        <v>37.8934</v>
      </c>
      <c r="M84" s="13" t="s">
        <v>1112</v>
      </c>
      <c r="N84" s="13" t="s">
        <v>1115</v>
      </c>
      <c r="O84" s="13" t="s">
        <v>1114</v>
      </c>
    </row>
    <row r="85" spans="1:15" x14ac:dyDescent="0.3">
      <c r="A85">
        <v>132</v>
      </c>
      <c r="B85" t="s">
        <v>187</v>
      </c>
      <c r="C85" s="76">
        <v>46213</v>
      </c>
      <c r="D85">
        <v>1389.7</v>
      </c>
      <c r="E85">
        <v>1408.2</v>
      </c>
      <c r="F85">
        <v>1389.6</v>
      </c>
      <c r="G85">
        <v>1401.2</v>
      </c>
      <c r="H85">
        <v>6409645</v>
      </c>
      <c r="I85">
        <v>1395.22</v>
      </c>
      <c r="J85">
        <v>1442.71</v>
      </c>
      <c r="K85">
        <v>1347.73</v>
      </c>
      <c r="L85">
        <v>23.51</v>
      </c>
      <c r="M85" s="13" t="s">
        <v>1112</v>
      </c>
      <c r="N85" s="13" t="s">
        <v>1113</v>
      </c>
      <c r="O85" s="13" t="s">
        <v>1114</v>
      </c>
    </row>
    <row r="86" spans="1:15" x14ac:dyDescent="0.3">
      <c r="A86">
        <v>133</v>
      </c>
      <c r="B86" t="s">
        <v>93</v>
      </c>
      <c r="C86" s="76">
        <v>46213</v>
      </c>
      <c r="D86">
        <v>312</v>
      </c>
      <c r="E86">
        <v>313.75</v>
      </c>
      <c r="F86">
        <v>309.10000000000002</v>
      </c>
      <c r="G86">
        <v>309.75</v>
      </c>
      <c r="H86">
        <v>3799709</v>
      </c>
      <c r="I86">
        <v>292.26</v>
      </c>
      <c r="J86">
        <v>310.39999999999998</v>
      </c>
      <c r="K86">
        <v>274.12</v>
      </c>
      <c r="L86">
        <v>8.9794999999999998</v>
      </c>
      <c r="M86" s="13" t="s">
        <v>1112</v>
      </c>
      <c r="N86" s="13" t="s">
        <v>1113</v>
      </c>
      <c r="O86" s="13" t="s">
        <v>1114</v>
      </c>
    </row>
    <row r="87" spans="1:15" x14ac:dyDescent="0.3">
      <c r="A87">
        <v>134</v>
      </c>
      <c r="B87" t="s">
        <v>303</v>
      </c>
      <c r="C87" s="76">
        <v>46213</v>
      </c>
      <c r="D87">
        <v>1604</v>
      </c>
      <c r="E87">
        <v>1613.8</v>
      </c>
      <c r="F87">
        <v>1585.8</v>
      </c>
      <c r="G87">
        <v>1598.5</v>
      </c>
      <c r="H87">
        <v>738374</v>
      </c>
      <c r="I87">
        <v>1552.52</v>
      </c>
      <c r="J87">
        <v>1613.58</v>
      </c>
      <c r="K87">
        <v>1491.46</v>
      </c>
      <c r="L87">
        <v>30.229399999999998</v>
      </c>
      <c r="M87" s="13" t="s">
        <v>1112</v>
      </c>
      <c r="N87" s="13" t="s">
        <v>1113</v>
      </c>
      <c r="O87" s="13" t="s">
        <v>1114</v>
      </c>
    </row>
    <row r="88" spans="1:15" x14ac:dyDescent="0.3">
      <c r="A88">
        <v>138</v>
      </c>
      <c r="B88" t="s">
        <v>924</v>
      </c>
      <c r="C88" s="76">
        <v>46213</v>
      </c>
      <c r="D88">
        <v>1102.3</v>
      </c>
      <c r="E88">
        <v>1114.4000000000001</v>
      </c>
      <c r="F88">
        <v>1085</v>
      </c>
      <c r="G88">
        <v>1108.0999999999999</v>
      </c>
      <c r="H88">
        <v>1749088</v>
      </c>
      <c r="I88">
        <v>1075.19</v>
      </c>
      <c r="J88">
        <v>1136</v>
      </c>
      <c r="K88">
        <v>1014.39</v>
      </c>
      <c r="L88">
        <v>30.1021</v>
      </c>
      <c r="M88" s="13" t="s">
        <v>1112</v>
      </c>
      <c r="N88" s="13" t="s">
        <v>1113</v>
      </c>
      <c r="O88" s="13" t="s">
        <v>1114</v>
      </c>
    </row>
    <row r="89" spans="1:15" x14ac:dyDescent="0.3">
      <c r="A89">
        <v>139</v>
      </c>
      <c r="B89" t="s">
        <v>139</v>
      </c>
      <c r="C89" s="76">
        <v>46213</v>
      </c>
      <c r="D89">
        <v>7399.5</v>
      </c>
      <c r="E89">
        <v>7455</v>
      </c>
      <c r="F89">
        <v>7335</v>
      </c>
      <c r="G89">
        <v>7365.5</v>
      </c>
      <c r="H89">
        <v>497082</v>
      </c>
      <c r="I89">
        <v>7248.87</v>
      </c>
      <c r="J89">
        <v>7559.07</v>
      </c>
      <c r="K89">
        <v>6938.66</v>
      </c>
      <c r="L89">
        <v>153.5676</v>
      </c>
      <c r="M89" s="13" t="s">
        <v>1112</v>
      </c>
      <c r="N89" s="13" t="s">
        <v>1113</v>
      </c>
      <c r="O89" s="13" t="s">
        <v>1114</v>
      </c>
    </row>
    <row r="90" spans="1:15" x14ac:dyDescent="0.3">
      <c r="A90">
        <v>141</v>
      </c>
      <c r="B90" t="s">
        <v>249</v>
      </c>
      <c r="C90" s="76">
        <v>46213</v>
      </c>
      <c r="D90">
        <v>3109</v>
      </c>
      <c r="E90">
        <v>3135</v>
      </c>
      <c r="F90">
        <v>3105.2</v>
      </c>
      <c r="G90">
        <v>3129.4</v>
      </c>
      <c r="H90">
        <v>1814898</v>
      </c>
      <c r="I90">
        <v>3037.27</v>
      </c>
      <c r="J90">
        <v>3199.75</v>
      </c>
      <c r="K90">
        <v>2874.8</v>
      </c>
      <c r="L90">
        <v>80.432000000000002</v>
      </c>
      <c r="M90" s="13" t="s">
        <v>1112</v>
      </c>
      <c r="N90" s="13" t="s">
        <v>1113</v>
      </c>
      <c r="O90" s="13" t="s">
        <v>1114</v>
      </c>
    </row>
    <row r="91" spans="1:15" x14ac:dyDescent="0.3">
      <c r="A91">
        <v>146</v>
      </c>
      <c r="B91" t="s">
        <v>333</v>
      </c>
      <c r="C91" s="76">
        <v>46213</v>
      </c>
      <c r="D91">
        <v>1049</v>
      </c>
      <c r="E91">
        <v>1052</v>
      </c>
      <c r="F91">
        <v>1039</v>
      </c>
      <c r="G91">
        <v>1044.0999999999999</v>
      </c>
      <c r="H91">
        <v>2773485</v>
      </c>
      <c r="I91">
        <v>1023.17</v>
      </c>
      <c r="J91">
        <v>1074.57</v>
      </c>
      <c r="K91">
        <v>971.78</v>
      </c>
      <c r="L91">
        <v>25.444400000000002</v>
      </c>
      <c r="M91" s="13" t="s">
        <v>1112</v>
      </c>
      <c r="N91" s="13" t="s">
        <v>1113</v>
      </c>
      <c r="O91" s="13" t="s">
        <v>1114</v>
      </c>
    </row>
    <row r="92" spans="1:15" x14ac:dyDescent="0.3">
      <c r="A92">
        <v>151</v>
      </c>
      <c r="B92" t="s">
        <v>840</v>
      </c>
      <c r="C92" s="76">
        <v>46213</v>
      </c>
      <c r="D92">
        <v>1106.8</v>
      </c>
      <c r="E92">
        <v>1133.5999999999999</v>
      </c>
      <c r="F92">
        <v>1104</v>
      </c>
      <c r="G92">
        <v>1129</v>
      </c>
      <c r="H92">
        <v>2189046</v>
      </c>
      <c r="I92">
        <v>1146.43</v>
      </c>
      <c r="J92">
        <v>1218.97</v>
      </c>
      <c r="K92">
        <v>1073.9000000000001</v>
      </c>
      <c r="L92">
        <v>35.909999999999997</v>
      </c>
      <c r="M92" s="13" t="s">
        <v>1112</v>
      </c>
      <c r="N92" s="13" t="s">
        <v>1116</v>
      </c>
      <c r="O92" s="13" t="s">
        <v>822</v>
      </c>
    </row>
    <row r="93" spans="1:15" x14ac:dyDescent="0.3">
      <c r="A93">
        <v>152</v>
      </c>
      <c r="B93" t="s">
        <v>948</v>
      </c>
      <c r="C93" s="76">
        <v>46213</v>
      </c>
      <c r="D93">
        <v>2110.4</v>
      </c>
      <c r="E93">
        <v>2149</v>
      </c>
      <c r="F93">
        <v>2075.6999999999998</v>
      </c>
      <c r="G93">
        <v>2138.9</v>
      </c>
      <c r="H93">
        <v>914460</v>
      </c>
      <c r="I93">
        <v>2098.54</v>
      </c>
      <c r="J93">
        <v>2206.84</v>
      </c>
      <c r="K93">
        <v>1990.23</v>
      </c>
      <c r="L93">
        <v>53.616700000000002</v>
      </c>
      <c r="M93" s="13" t="s">
        <v>1112</v>
      </c>
      <c r="N93" s="13" t="s">
        <v>1113</v>
      </c>
      <c r="O93" s="13" t="s">
        <v>1114</v>
      </c>
    </row>
    <row r="94" spans="1:15" x14ac:dyDescent="0.3">
      <c r="A94">
        <v>153</v>
      </c>
      <c r="B94" t="s">
        <v>986</v>
      </c>
      <c r="C94" s="76">
        <v>46213</v>
      </c>
      <c r="D94">
        <v>1165</v>
      </c>
      <c r="E94">
        <v>1179.9000000000001</v>
      </c>
      <c r="F94">
        <v>1157.5</v>
      </c>
      <c r="G94">
        <v>1166.0999999999999</v>
      </c>
      <c r="H94">
        <v>925292</v>
      </c>
      <c r="I94">
        <v>1081.19</v>
      </c>
      <c r="J94">
        <v>1155.22</v>
      </c>
      <c r="K94">
        <v>1007.17</v>
      </c>
      <c r="L94">
        <v>36.647500000000001</v>
      </c>
      <c r="M94" s="13" t="s">
        <v>1112</v>
      </c>
      <c r="N94" s="13" t="s">
        <v>1117</v>
      </c>
      <c r="O94" s="13" t="s">
        <v>1114</v>
      </c>
    </row>
    <row r="95" spans="1:15" x14ac:dyDescent="0.3">
      <c r="A95">
        <v>155</v>
      </c>
      <c r="B95" t="s">
        <v>858</v>
      </c>
      <c r="C95" s="76">
        <v>46213</v>
      </c>
      <c r="D95">
        <v>1330</v>
      </c>
      <c r="E95">
        <v>1354.9</v>
      </c>
      <c r="F95">
        <v>1321.9</v>
      </c>
      <c r="G95">
        <v>1344.5</v>
      </c>
      <c r="H95">
        <v>851349</v>
      </c>
      <c r="I95">
        <v>1402.72</v>
      </c>
      <c r="J95">
        <v>1504.76</v>
      </c>
      <c r="K95">
        <v>1300.68</v>
      </c>
      <c r="L95">
        <v>50.514499999999998</v>
      </c>
      <c r="M95" s="13" t="s">
        <v>1112</v>
      </c>
      <c r="N95" s="13" t="s">
        <v>1116</v>
      </c>
      <c r="O95" s="13" t="s">
        <v>822</v>
      </c>
    </row>
    <row r="96" spans="1:15" x14ac:dyDescent="0.3">
      <c r="A96">
        <v>156</v>
      </c>
      <c r="B96" t="s">
        <v>175</v>
      </c>
      <c r="C96" s="76">
        <v>46213</v>
      </c>
      <c r="D96">
        <v>555</v>
      </c>
      <c r="E96">
        <v>570</v>
      </c>
      <c r="F96">
        <v>554</v>
      </c>
      <c r="G96">
        <v>567.70000000000005</v>
      </c>
      <c r="H96">
        <v>6139132</v>
      </c>
      <c r="I96">
        <v>590.5</v>
      </c>
      <c r="J96">
        <v>620.79999999999995</v>
      </c>
      <c r="K96">
        <v>560.19000000000005</v>
      </c>
      <c r="L96">
        <v>15.0031</v>
      </c>
      <c r="M96" s="13" t="s">
        <v>1112</v>
      </c>
      <c r="N96" s="13" t="s">
        <v>1116</v>
      </c>
      <c r="O96" s="13" t="s">
        <v>822</v>
      </c>
    </row>
    <row r="97" spans="1:15" x14ac:dyDescent="0.3">
      <c r="A97">
        <v>158</v>
      </c>
      <c r="B97" t="s">
        <v>367</v>
      </c>
      <c r="C97" s="76">
        <v>46213</v>
      </c>
      <c r="D97">
        <v>3644.1</v>
      </c>
      <c r="E97">
        <v>3668</v>
      </c>
      <c r="F97">
        <v>3608.6</v>
      </c>
      <c r="G97">
        <v>3623.1</v>
      </c>
      <c r="H97">
        <v>345846</v>
      </c>
      <c r="I97">
        <v>3609.83</v>
      </c>
      <c r="J97">
        <v>3777.98</v>
      </c>
      <c r="K97">
        <v>3441.68</v>
      </c>
      <c r="L97">
        <v>83.242699999999999</v>
      </c>
      <c r="M97" s="13" t="s">
        <v>1112</v>
      </c>
      <c r="N97" s="13" t="s">
        <v>1113</v>
      </c>
      <c r="O97" s="13" t="s">
        <v>1114</v>
      </c>
    </row>
    <row r="98" spans="1:15" x14ac:dyDescent="0.3">
      <c r="A98">
        <v>161</v>
      </c>
      <c r="B98" t="s">
        <v>30</v>
      </c>
      <c r="C98" s="76">
        <v>46213</v>
      </c>
      <c r="D98">
        <v>400</v>
      </c>
      <c r="E98">
        <v>409</v>
      </c>
      <c r="F98">
        <v>400</v>
      </c>
      <c r="G98">
        <v>408.3</v>
      </c>
      <c r="H98">
        <v>3040201</v>
      </c>
      <c r="I98">
        <v>387.91</v>
      </c>
      <c r="J98">
        <v>406.53</v>
      </c>
      <c r="K98">
        <v>369.3</v>
      </c>
      <c r="L98">
        <v>9.2144999999999992</v>
      </c>
      <c r="M98" s="13" t="s">
        <v>1112</v>
      </c>
      <c r="N98" s="13" t="s">
        <v>1117</v>
      </c>
      <c r="O98" s="13" t="s">
        <v>1114</v>
      </c>
    </row>
    <row r="99" spans="1:15" x14ac:dyDescent="0.3">
      <c r="A99">
        <v>162</v>
      </c>
      <c r="B99" t="s">
        <v>203</v>
      </c>
      <c r="C99" s="76">
        <v>46213</v>
      </c>
      <c r="D99">
        <v>737</v>
      </c>
      <c r="E99">
        <v>754</v>
      </c>
      <c r="F99">
        <v>731.6</v>
      </c>
      <c r="G99">
        <v>752.3</v>
      </c>
      <c r="H99">
        <v>3032002</v>
      </c>
      <c r="I99">
        <v>725.24</v>
      </c>
      <c r="J99">
        <v>760.69</v>
      </c>
      <c r="K99">
        <v>689.79</v>
      </c>
      <c r="L99">
        <v>17.5487</v>
      </c>
      <c r="M99" s="13" t="s">
        <v>1112</v>
      </c>
      <c r="N99" s="13" t="s">
        <v>1113</v>
      </c>
      <c r="O99" s="13" t="s">
        <v>1114</v>
      </c>
    </row>
    <row r="100" spans="1:15" x14ac:dyDescent="0.3">
      <c r="A100">
        <v>165</v>
      </c>
      <c r="B100" t="s">
        <v>157</v>
      </c>
      <c r="C100" s="76">
        <v>46213</v>
      </c>
      <c r="D100">
        <v>2048.4</v>
      </c>
      <c r="E100">
        <v>2138</v>
      </c>
      <c r="F100">
        <v>2022</v>
      </c>
      <c r="G100">
        <v>2133</v>
      </c>
      <c r="H100">
        <v>1296667</v>
      </c>
      <c r="I100">
        <v>2037.36</v>
      </c>
      <c r="J100">
        <v>2172.14</v>
      </c>
      <c r="K100">
        <v>1902.57</v>
      </c>
      <c r="L100">
        <v>66.724699999999999</v>
      </c>
      <c r="M100" s="13" t="s">
        <v>1112</v>
      </c>
      <c r="N100" s="13" t="s">
        <v>1113</v>
      </c>
      <c r="O100" s="13" t="s">
        <v>1114</v>
      </c>
    </row>
    <row r="101" spans="1:15" x14ac:dyDescent="0.3">
      <c r="A101">
        <v>167</v>
      </c>
      <c r="B101" t="s">
        <v>872</v>
      </c>
      <c r="C101" s="76">
        <v>46213</v>
      </c>
      <c r="D101">
        <v>524</v>
      </c>
      <c r="E101">
        <v>524</v>
      </c>
      <c r="F101">
        <v>512.85</v>
      </c>
      <c r="G101">
        <v>520.29999999999995</v>
      </c>
      <c r="H101">
        <v>13914959</v>
      </c>
      <c r="I101">
        <v>517.86</v>
      </c>
      <c r="J101">
        <v>544.54</v>
      </c>
      <c r="K101">
        <v>491.18</v>
      </c>
      <c r="L101">
        <v>13.208299999999999</v>
      </c>
      <c r="M101" s="13" t="s">
        <v>1112</v>
      </c>
      <c r="N101" s="13" t="s">
        <v>1113</v>
      </c>
      <c r="O101" s="13" t="s">
        <v>1114</v>
      </c>
    </row>
    <row r="102" spans="1:15" x14ac:dyDescent="0.3">
      <c r="A102">
        <v>170</v>
      </c>
      <c r="B102" t="s">
        <v>319</v>
      </c>
      <c r="C102" s="76">
        <v>46213</v>
      </c>
      <c r="D102">
        <v>354</v>
      </c>
      <c r="E102">
        <v>356.65</v>
      </c>
      <c r="F102">
        <v>350.75</v>
      </c>
      <c r="G102">
        <v>351.95</v>
      </c>
      <c r="H102">
        <v>4023218</v>
      </c>
      <c r="I102">
        <v>364.97</v>
      </c>
      <c r="J102">
        <v>387.09</v>
      </c>
      <c r="K102">
        <v>342.84</v>
      </c>
      <c r="L102">
        <v>10.952</v>
      </c>
      <c r="M102" s="13" t="s">
        <v>1112</v>
      </c>
      <c r="N102" s="13" t="s">
        <v>1116</v>
      </c>
      <c r="O102" s="13" t="s">
        <v>822</v>
      </c>
    </row>
    <row r="103" spans="1:15" x14ac:dyDescent="0.3">
      <c r="A103">
        <v>171</v>
      </c>
      <c r="B103" t="s">
        <v>183</v>
      </c>
      <c r="C103" s="76">
        <v>46213</v>
      </c>
      <c r="D103">
        <v>395.1</v>
      </c>
      <c r="E103">
        <v>398.8</v>
      </c>
      <c r="F103">
        <v>394.4</v>
      </c>
      <c r="G103">
        <v>395.3</v>
      </c>
      <c r="H103">
        <v>3011646</v>
      </c>
      <c r="I103">
        <v>389.53</v>
      </c>
      <c r="J103">
        <v>414.96</v>
      </c>
      <c r="K103">
        <v>364.1</v>
      </c>
      <c r="L103">
        <v>12.5876</v>
      </c>
      <c r="M103" s="13" t="s">
        <v>1112</v>
      </c>
      <c r="N103" s="13" t="s">
        <v>1113</v>
      </c>
      <c r="O103" s="13" t="s">
        <v>1114</v>
      </c>
    </row>
    <row r="104" spans="1:15" x14ac:dyDescent="0.3">
      <c r="A104">
        <v>172</v>
      </c>
      <c r="B104" t="s">
        <v>171</v>
      </c>
      <c r="C104" s="76">
        <v>46213</v>
      </c>
      <c r="D104">
        <v>2755</v>
      </c>
      <c r="E104">
        <v>2789.8</v>
      </c>
      <c r="F104">
        <v>2748</v>
      </c>
      <c r="G104">
        <v>2761.2</v>
      </c>
      <c r="H104">
        <v>846266</v>
      </c>
      <c r="I104">
        <v>2693.67</v>
      </c>
      <c r="J104">
        <v>2830.96</v>
      </c>
      <c r="K104">
        <v>2556.38</v>
      </c>
      <c r="L104">
        <v>67.965100000000007</v>
      </c>
      <c r="M104" s="13" t="s">
        <v>1112</v>
      </c>
      <c r="N104" s="13" t="s">
        <v>1113</v>
      </c>
      <c r="O104" s="13" t="s">
        <v>1114</v>
      </c>
    </row>
    <row r="105" spans="1:15" x14ac:dyDescent="0.3">
      <c r="A105">
        <v>173</v>
      </c>
      <c r="B105" t="s">
        <v>105</v>
      </c>
      <c r="C105" s="76">
        <v>46213</v>
      </c>
      <c r="D105">
        <v>1804.9</v>
      </c>
      <c r="E105">
        <v>1827</v>
      </c>
      <c r="F105">
        <v>1802</v>
      </c>
      <c r="G105">
        <v>1807.8</v>
      </c>
      <c r="H105">
        <v>741849</v>
      </c>
      <c r="I105">
        <v>1775.46</v>
      </c>
      <c r="J105">
        <v>1869.76</v>
      </c>
      <c r="K105">
        <v>1681.16</v>
      </c>
      <c r="L105">
        <v>46.683700000000002</v>
      </c>
      <c r="M105" s="13" t="s">
        <v>1112</v>
      </c>
      <c r="N105" s="13" t="s">
        <v>1113</v>
      </c>
      <c r="O105" s="13" t="s">
        <v>1114</v>
      </c>
    </row>
    <row r="106" spans="1:15" x14ac:dyDescent="0.3">
      <c r="A106">
        <v>175</v>
      </c>
      <c r="B106" t="s">
        <v>866</v>
      </c>
      <c r="C106" s="76">
        <v>46213</v>
      </c>
      <c r="D106">
        <v>1353.5</v>
      </c>
      <c r="E106">
        <v>1443</v>
      </c>
      <c r="F106">
        <v>1352.7</v>
      </c>
      <c r="G106">
        <v>1431.9</v>
      </c>
      <c r="H106">
        <v>9178914</v>
      </c>
      <c r="I106">
        <v>1329.62</v>
      </c>
      <c r="J106">
        <v>1411.97</v>
      </c>
      <c r="K106">
        <v>1247.26</v>
      </c>
      <c r="L106">
        <v>40.7699</v>
      </c>
      <c r="M106" s="13" t="s">
        <v>1112</v>
      </c>
      <c r="N106" s="13" t="s">
        <v>1117</v>
      </c>
      <c r="O106" s="13" t="s">
        <v>1114</v>
      </c>
    </row>
    <row r="107" spans="1:15" x14ac:dyDescent="0.3">
      <c r="A107">
        <v>176</v>
      </c>
      <c r="B107" t="s">
        <v>846</v>
      </c>
      <c r="C107" s="76">
        <v>46213</v>
      </c>
      <c r="D107">
        <v>218.5</v>
      </c>
      <c r="E107">
        <v>220.6</v>
      </c>
      <c r="F107">
        <v>216.8</v>
      </c>
      <c r="G107">
        <v>218.45</v>
      </c>
      <c r="H107">
        <v>26196232</v>
      </c>
      <c r="I107">
        <v>231.31</v>
      </c>
      <c r="J107">
        <v>242.63</v>
      </c>
      <c r="K107">
        <v>219.99</v>
      </c>
      <c r="L107">
        <v>5.6037999999999997</v>
      </c>
      <c r="M107" s="13" t="s">
        <v>1112</v>
      </c>
      <c r="N107" s="13" t="s">
        <v>1118</v>
      </c>
      <c r="O107" s="13" t="s">
        <v>1119</v>
      </c>
    </row>
    <row r="108" spans="1:15" x14ac:dyDescent="0.3">
      <c r="A108">
        <v>178</v>
      </c>
      <c r="B108" t="s">
        <v>946</v>
      </c>
      <c r="C108" s="76">
        <v>46213</v>
      </c>
      <c r="D108">
        <v>586.65</v>
      </c>
      <c r="E108">
        <v>593.5</v>
      </c>
      <c r="F108">
        <v>578.29999999999995</v>
      </c>
      <c r="G108">
        <v>583.15</v>
      </c>
      <c r="H108">
        <v>1121288</v>
      </c>
      <c r="I108">
        <v>550.87</v>
      </c>
      <c r="J108">
        <v>603.34</v>
      </c>
      <c r="K108">
        <v>498.39</v>
      </c>
      <c r="L108">
        <v>25.976700000000001</v>
      </c>
      <c r="M108" s="13" t="s">
        <v>1112</v>
      </c>
      <c r="N108" s="13" t="s">
        <v>1113</v>
      </c>
      <c r="O108" s="13" t="s">
        <v>1114</v>
      </c>
    </row>
    <row r="109" spans="1:15" x14ac:dyDescent="0.3">
      <c r="A109">
        <v>181</v>
      </c>
      <c r="B109" t="s">
        <v>900</v>
      </c>
      <c r="C109" s="76">
        <v>46213</v>
      </c>
      <c r="D109">
        <v>235</v>
      </c>
      <c r="E109">
        <v>243.5</v>
      </c>
      <c r="F109">
        <v>233.95</v>
      </c>
      <c r="G109">
        <v>241.96</v>
      </c>
      <c r="H109">
        <v>27714158</v>
      </c>
      <c r="I109">
        <v>231.41</v>
      </c>
      <c r="J109">
        <v>245.45</v>
      </c>
      <c r="K109">
        <v>217.38</v>
      </c>
      <c r="L109">
        <v>6.9458000000000002</v>
      </c>
      <c r="M109" s="13" t="s">
        <v>1112</v>
      </c>
      <c r="N109" s="13" t="s">
        <v>1113</v>
      </c>
      <c r="O109" s="13" t="s">
        <v>1114</v>
      </c>
    </row>
    <row r="110" spans="1:15" x14ac:dyDescent="0.3">
      <c r="A110">
        <v>182</v>
      </c>
      <c r="B110" t="s">
        <v>956</v>
      </c>
      <c r="C110" s="76">
        <v>46213</v>
      </c>
      <c r="D110">
        <v>1099</v>
      </c>
      <c r="E110">
        <v>1134</v>
      </c>
      <c r="F110">
        <v>1085.8</v>
      </c>
      <c r="G110">
        <v>1117.2</v>
      </c>
      <c r="H110">
        <v>2453790</v>
      </c>
      <c r="I110">
        <v>1021.47</v>
      </c>
      <c r="J110">
        <v>1101.6300000000001</v>
      </c>
      <c r="K110">
        <v>941.3</v>
      </c>
      <c r="L110">
        <v>39.685899999999997</v>
      </c>
      <c r="M110" s="13" t="s">
        <v>1112</v>
      </c>
      <c r="N110" s="13" t="s">
        <v>1117</v>
      </c>
      <c r="O110" s="13" t="s">
        <v>1114</v>
      </c>
    </row>
    <row r="111" spans="1:15" x14ac:dyDescent="0.3">
      <c r="A111">
        <v>183</v>
      </c>
      <c r="B111" t="s">
        <v>994</v>
      </c>
      <c r="C111" s="76">
        <v>46213</v>
      </c>
      <c r="D111">
        <v>23.9</v>
      </c>
      <c r="E111">
        <v>24.03</v>
      </c>
      <c r="F111">
        <v>23.8</v>
      </c>
      <c r="G111">
        <v>23.94</v>
      </c>
      <c r="H111">
        <v>44492915</v>
      </c>
      <c r="I111">
        <v>24.79</v>
      </c>
      <c r="J111">
        <v>25.97</v>
      </c>
      <c r="K111">
        <v>23.62</v>
      </c>
      <c r="L111">
        <v>0.58140000000000003</v>
      </c>
      <c r="M111" s="13" t="s">
        <v>1112</v>
      </c>
      <c r="N111" s="13" t="s">
        <v>1116</v>
      </c>
      <c r="O111" s="13" t="s">
        <v>822</v>
      </c>
    </row>
    <row r="112" spans="1:15" x14ac:dyDescent="0.3">
      <c r="A112">
        <v>185</v>
      </c>
      <c r="B112" t="s">
        <v>45</v>
      </c>
      <c r="C112" s="76">
        <v>46213</v>
      </c>
      <c r="D112">
        <v>8849</v>
      </c>
      <c r="E112">
        <v>8886.5</v>
      </c>
      <c r="F112">
        <v>8773.5</v>
      </c>
      <c r="G112">
        <v>8841</v>
      </c>
      <c r="H112">
        <v>264694</v>
      </c>
      <c r="I112">
        <v>8869.32</v>
      </c>
      <c r="J112">
        <v>9156.7199999999993</v>
      </c>
      <c r="K112">
        <v>8581.93</v>
      </c>
      <c r="L112">
        <v>142.27430000000001</v>
      </c>
      <c r="M112" s="13" t="s">
        <v>1112</v>
      </c>
      <c r="N112" s="13" t="s">
        <v>1116</v>
      </c>
      <c r="O112" s="13" t="s">
        <v>822</v>
      </c>
    </row>
    <row r="113" spans="1:15" x14ac:dyDescent="0.3">
      <c r="A113">
        <v>188</v>
      </c>
      <c r="B113" t="s">
        <v>199</v>
      </c>
      <c r="C113" s="76">
        <v>46213</v>
      </c>
      <c r="D113">
        <v>118.52</v>
      </c>
      <c r="E113">
        <v>120.65</v>
      </c>
      <c r="F113">
        <v>118.43</v>
      </c>
      <c r="G113">
        <v>119.64</v>
      </c>
      <c r="H113">
        <v>7925614</v>
      </c>
      <c r="I113">
        <v>123.4</v>
      </c>
      <c r="J113">
        <v>132.35</v>
      </c>
      <c r="K113">
        <v>114.44</v>
      </c>
      <c r="L113">
        <v>4.4344999999999999</v>
      </c>
      <c r="M113" s="13" t="s">
        <v>1112</v>
      </c>
      <c r="N113" s="13" t="s">
        <v>1116</v>
      </c>
      <c r="O113" s="13" t="s">
        <v>822</v>
      </c>
    </row>
    <row r="114" spans="1:15" x14ac:dyDescent="0.3">
      <c r="A114">
        <v>189</v>
      </c>
      <c r="B114" t="s">
        <v>49</v>
      </c>
      <c r="C114" s="76">
        <v>46213</v>
      </c>
      <c r="D114">
        <v>157.71</v>
      </c>
      <c r="E114">
        <v>157.9</v>
      </c>
      <c r="F114">
        <v>155.69999999999999</v>
      </c>
      <c r="G114">
        <v>157.49</v>
      </c>
      <c r="H114">
        <v>17409676</v>
      </c>
      <c r="I114">
        <v>155.88999999999999</v>
      </c>
      <c r="J114">
        <v>165.04</v>
      </c>
      <c r="K114">
        <v>146.74</v>
      </c>
      <c r="L114">
        <v>4.5284000000000004</v>
      </c>
      <c r="M114" s="13" t="s">
        <v>1112</v>
      </c>
      <c r="N114" s="13" t="s">
        <v>1113</v>
      </c>
      <c r="O114" s="13" t="s">
        <v>1114</v>
      </c>
    </row>
    <row r="115" spans="1:15" x14ac:dyDescent="0.3">
      <c r="A115">
        <v>190</v>
      </c>
      <c r="B115" t="s">
        <v>133</v>
      </c>
      <c r="C115" s="76">
        <v>46213</v>
      </c>
      <c r="D115">
        <v>13875</v>
      </c>
      <c r="E115">
        <v>14030</v>
      </c>
      <c r="F115">
        <v>13362</v>
      </c>
      <c r="G115">
        <v>13421</v>
      </c>
      <c r="H115">
        <v>1689462</v>
      </c>
      <c r="I115">
        <v>12601.61</v>
      </c>
      <c r="J115">
        <v>13466.29</v>
      </c>
      <c r="K115">
        <v>11736.94</v>
      </c>
      <c r="L115">
        <v>428.05689999999998</v>
      </c>
      <c r="M115" s="13" t="s">
        <v>1112</v>
      </c>
      <c r="N115" s="13" t="s">
        <v>1113</v>
      </c>
      <c r="O115" s="13" t="s">
        <v>1114</v>
      </c>
    </row>
    <row r="116" spans="1:15" x14ac:dyDescent="0.3">
      <c r="A116">
        <v>191</v>
      </c>
      <c r="B116" t="s">
        <v>876</v>
      </c>
      <c r="C116" s="76">
        <v>46213</v>
      </c>
      <c r="D116">
        <v>294.7</v>
      </c>
      <c r="E116">
        <v>295.2</v>
      </c>
      <c r="F116">
        <v>287.14999999999998</v>
      </c>
      <c r="G116">
        <v>289.64999999999998</v>
      </c>
      <c r="H116">
        <v>24239849</v>
      </c>
      <c r="I116">
        <v>277.62</v>
      </c>
      <c r="J116">
        <v>295.27999999999997</v>
      </c>
      <c r="K116">
        <v>259.97000000000003</v>
      </c>
      <c r="L116">
        <v>8.7411999999999992</v>
      </c>
      <c r="M116" s="13" t="s">
        <v>1112</v>
      </c>
      <c r="N116" s="13" t="s">
        <v>1113</v>
      </c>
      <c r="O116" s="13" t="s">
        <v>1114</v>
      </c>
    </row>
    <row r="117" spans="1:15" x14ac:dyDescent="0.3">
      <c r="A117">
        <v>193</v>
      </c>
      <c r="B117" t="s">
        <v>918</v>
      </c>
      <c r="C117" s="76">
        <v>46213</v>
      </c>
      <c r="D117">
        <v>323</v>
      </c>
      <c r="E117">
        <v>328.75</v>
      </c>
      <c r="F117">
        <v>319</v>
      </c>
      <c r="G117">
        <v>321.25</v>
      </c>
      <c r="H117">
        <v>9600170</v>
      </c>
      <c r="I117">
        <v>334.55</v>
      </c>
      <c r="J117">
        <v>350.23</v>
      </c>
      <c r="K117">
        <v>318.87</v>
      </c>
      <c r="L117">
        <v>7.7643000000000004</v>
      </c>
      <c r="M117" s="13" t="s">
        <v>1112</v>
      </c>
      <c r="N117" s="13" t="s">
        <v>1116</v>
      </c>
      <c r="O117" s="13" t="s">
        <v>822</v>
      </c>
    </row>
    <row r="118" spans="1:15" x14ac:dyDescent="0.3">
      <c r="A118">
        <v>196</v>
      </c>
      <c r="B118" t="s">
        <v>83</v>
      </c>
      <c r="C118" s="76">
        <v>46213</v>
      </c>
      <c r="D118">
        <v>2143.4</v>
      </c>
      <c r="E118">
        <v>2159.9</v>
      </c>
      <c r="F118">
        <v>2108.1</v>
      </c>
      <c r="G118">
        <v>2117</v>
      </c>
      <c r="H118">
        <v>495091</v>
      </c>
      <c r="I118">
        <v>2133.58</v>
      </c>
      <c r="J118">
        <v>2227</v>
      </c>
      <c r="K118">
        <v>2040.17</v>
      </c>
      <c r="L118">
        <v>46.243499999999997</v>
      </c>
      <c r="M118" s="13" t="s">
        <v>1112</v>
      </c>
      <c r="N118" s="13" t="s">
        <v>1116</v>
      </c>
      <c r="O118" s="13" t="s">
        <v>822</v>
      </c>
    </row>
    <row r="119" spans="1:15" x14ac:dyDescent="0.3">
      <c r="A119">
        <v>197</v>
      </c>
      <c r="B119" t="s">
        <v>248</v>
      </c>
      <c r="C119" s="76">
        <v>46213</v>
      </c>
      <c r="D119">
        <v>2503.4</v>
      </c>
      <c r="E119">
        <v>2521.8000000000002</v>
      </c>
      <c r="F119">
        <v>2482</v>
      </c>
      <c r="G119">
        <v>2496.3000000000002</v>
      </c>
      <c r="H119">
        <v>568432</v>
      </c>
      <c r="I119">
        <v>2467.87</v>
      </c>
      <c r="J119">
        <v>2564.6799999999998</v>
      </c>
      <c r="K119">
        <v>2371.0500000000002</v>
      </c>
      <c r="L119">
        <v>47.926600000000001</v>
      </c>
      <c r="M119" s="13" t="s">
        <v>1112</v>
      </c>
      <c r="N119" s="13" t="s">
        <v>1113</v>
      </c>
      <c r="O119" s="13" t="s">
        <v>1114</v>
      </c>
    </row>
    <row r="120" spans="1:15" x14ac:dyDescent="0.3">
      <c r="A120">
        <v>199</v>
      </c>
      <c r="B120" t="s">
        <v>109</v>
      </c>
      <c r="C120" s="76">
        <v>46213</v>
      </c>
      <c r="D120">
        <v>430.15</v>
      </c>
      <c r="E120">
        <v>432.6</v>
      </c>
      <c r="F120">
        <v>426.75</v>
      </c>
      <c r="G120">
        <v>429.3</v>
      </c>
      <c r="H120">
        <v>4872051</v>
      </c>
      <c r="I120">
        <v>450.38</v>
      </c>
      <c r="J120">
        <v>470.2</v>
      </c>
      <c r="K120">
        <v>430.56</v>
      </c>
      <c r="L120">
        <v>9.8132999999999999</v>
      </c>
      <c r="M120" s="13" t="s">
        <v>1112</v>
      </c>
      <c r="N120" s="13" t="s">
        <v>1118</v>
      </c>
      <c r="O120" s="13" t="s">
        <v>1119</v>
      </c>
    </row>
    <row r="121" spans="1:15" x14ac:dyDescent="0.3">
      <c r="A121">
        <v>200</v>
      </c>
      <c r="B121" t="s">
        <v>317</v>
      </c>
      <c r="C121" s="76">
        <v>46213</v>
      </c>
      <c r="D121">
        <v>365.05</v>
      </c>
      <c r="E121">
        <v>381.6</v>
      </c>
      <c r="F121">
        <v>365</v>
      </c>
      <c r="G121">
        <v>380.65</v>
      </c>
      <c r="H121">
        <v>9127348</v>
      </c>
      <c r="I121">
        <v>354.26</v>
      </c>
      <c r="J121">
        <v>372.7</v>
      </c>
      <c r="K121">
        <v>335.82</v>
      </c>
      <c r="L121">
        <v>9.1278000000000006</v>
      </c>
      <c r="M121" s="13" t="s">
        <v>1112</v>
      </c>
      <c r="N121" s="13" t="s">
        <v>1117</v>
      </c>
      <c r="O121" s="13" t="s">
        <v>1114</v>
      </c>
    </row>
    <row r="122" spans="1:15" x14ac:dyDescent="0.3">
      <c r="A122">
        <v>205</v>
      </c>
      <c r="B122" t="s">
        <v>61</v>
      </c>
      <c r="C122" s="76">
        <v>46213</v>
      </c>
      <c r="D122">
        <v>1304</v>
      </c>
      <c r="E122">
        <v>1326.6</v>
      </c>
      <c r="F122">
        <v>1303.9000000000001</v>
      </c>
      <c r="G122">
        <v>1323.7</v>
      </c>
      <c r="H122">
        <v>3549139</v>
      </c>
      <c r="I122">
        <v>1352.91</v>
      </c>
      <c r="J122">
        <v>1405.59</v>
      </c>
      <c r="K122">
        <v>1300.23</v>
      </c>
      <c r="L122">
        <v>26.0808</v>
      </c>
      <c r="M122" s="13" t="s">
        <v>1112</v>
      </c>
      <c r="N122" s="13" t="s">
        <v>1116</v>
      </c>
      <c r="O122" s="13" t="s">
        <v>822</v>
      </c>
    </row>
    <row r="123" spans="1:15" x14ac:dyDescent="0.3">
      <c r="A123">
        <v>207</v>
      </c>
      <c r="B123" t="s">
        <v>256</v>
      </c>
      <c r="C123" s="76">
        <v>46213</v>
      </c>
      <c r="D123">
        <v>13800</v>
      </c>
      <c r="E123">
        <v>13987</v>
      </c>
      <c r="F123">
        <v>13776</v>
      </c>
      <c r="G123">
        <v>13854</v>
      </c>
      <c r="H123">
        <v>430154</v>
      </c>
      <c r="I123">
        <v>14034.55</v>
      </c>
      <c r="J123">
        <v>14633.12</v>
      </c>
      <c r="K123">
        <v>13435.98</v>
      </c>
      <c r="L123">
        <v>296.32119999999998</v>
      </c>
      <c r="M123" s="13" t="s">
        <v>1112</v>
      </c>
      <c r="N123" s="13" t="s">
        <v>1116</v>
      </c>
      <c r="O123" s="13" t="s">
        <v>822</v>
      </c>
    </row>
    <row r="124" spans="1:15" x14ac:dyDescent="0.3">
      <c r="A124">
        <v>208</v>
      </c>
      <c r="B124" t="s">
        <v>854</v>
      </c>
      <c r="C124" s="76">
        <v>46213</v>
      </c>
      <c r="D124">
        <v>10687</v>
      </c>
      <c r="E124">
        <v>10695</v>
      </c>
      <c r="F124">
        <v>10493</v>
      </c>
      <c r="G124">
        <v>10654</v>
      </c>
      <c r="H124">
        <v>23369</v>
      </c>
      <c r="I124">
        <v>10280.01</v>
      </c>
      <c r="J124">
        <v>10944.38</v>
      </c>
      <c r="K124">
        <v>9615.64</v>
      </c>
      <c r="L124">
        <v>328.89600000000002</v>
      </c>
      <c r="M124" s="13" t="s">
        <v>1112</v>
      </c>
      <c r="N124" s="13" t="s">
        <v>1113</v>
      </c>
      <c r="O124" s="13" t="s">
        <v>1114</v>
      </c>
    </row>
    <row r="125" spans="1:15" x14ac:dyDescent="0.3">
      <c r="A125">
        <v>209</v>
      </c>
      <c r="B125" t="s">
        <v>57</v>
      </c>
      <c r="C125" s="76">
        <v>46213</v>
      </c>
      <c r="D125">
        <v>1052</v>
      </c>
      <c r="E125">
        <v>1079.9000000000001</v>
      </c>
      <c r="F125">
        <v>1050</v>
      </c>
      <c r="G125">
        <v>1072.0999999999999</v>
      </c>
      <c r="H125">
        <v>1470963</v>
      </c>
      <c r="I125">
        <v>1064.48</v>
      </c>
      <c r="J125">
        <v>1112.3599999999999</v>
      </c>
      <c r="K125">
        <v>1016.6</v>
      </c>
      <c r="L125">
        <v>23.7028</v>
      </c>
      <c r="M125" s="13" t="s">
        <v>1112</v>
      </c>
      <c r="N125" s="13" t="s">
        <v>1113</v>
      </c>
      <c r="O125" s="13" t="s">
        <v>1114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338DE7-EF18-4E5D-B362-ECB757A9C7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COOKIES</vt:lpstr>
      <vt:lpstr>User_Credential</vt:lpstr>
      <vt:lpstr>OrderBook</vt:lpstr>
      <vt:lpstr>Data</vt:lpstr>
      <vt:lpstr>luxalgo</vt:lpstr>
      <vt:lpstr>M_W_BOLLI</vt:lpstr>
      <vt:lpstr>live</vt:lpstr>
      <vt:lpstr>fno_qty</vt:lpstr>
      <vt:lpstr>CONTRACTS</vt:lpstr>
      <vt:lpstr>preopen</vt:lpstr>
      <vt:lpstr>downtrend</vt:lpstr>
      <vt:lpstr>uptrend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MANJESH</dc:creator>
  <cp:keywords/>
  <dc:description/>
  <cp:lastModifiedBy>Soiku Official</cp:lastModifiedBy>
  <cp:revision/>
  <dcterms:created xsi:type="dcterms:W3CDTF">2022-03-26T08:47:10Z</dcterms:created>
  <dcterms:modified xsi:type="dcterms:W3CDTF">2026-07-12T07:51:15Z</dcterms:modified>
  <cp:category/>
  <cp:contentStatus/>
</cp:coreProperties>
</file>